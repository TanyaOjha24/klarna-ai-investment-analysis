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jhat\Downloads\"/>
    </mc:Choice>
  </mc:AlternateContent>
  <xr:revisionPtr revIDLastSave="0" documentId="13_ncr:1_{4DC0BCD3-8A72-42A9-A52E-297B1A2B2897}" xr6:coauthVersionLast="47" xr6:coauthVersionMax="47" xr10:uidLastSave="{00000000-0000-0000-0000-000000000000}"/>
  <bookViews>
    <workbookView xWindow="-108" yWindow="-108" windowWidth="23256" windowHeight="12456" activeTab="2" xr2:uid="{00000000-000D-0000-FFFF-FFFF00000000}"/>
  </bookViews>
  <sheets>
    <sheet name="Dashboard" sheetId="1" r:id="rId1"/>
    <sheet name="Executive Memo" sheetId="2" r:id="rId2"/>
    <sheet name="Waterfall Chart" sheetId="3" r:id="rId3"/>
    <sheet name="Value Driver Analysis" sheetId="4" r:id="rId4"/>
    <sheet name="Counterfactual Analysis" sheetId="5" r:id="rId5"/>
    <sheet name="Operational KPIs" sheetId="6" r:id="rId6"/>
    <sheet name="Inputs" sheetId="7" r:id="rId7"/>
    <sheet name="Cash Flow Model" sheetId="8" r:id="rId8"/>
    <sheet name="Monte Carlo" sheetId="9" r:id="rId9"/>
    <sheet name="Reality Check" sheetId="10" r:id="rId10"/>
    <sheet name="Assumptions" sheetId="11" r:id="rId11"/>
    <sheet name="Project Charter" sheetId="12" r:id="rId12"/>
    <sheet name="Build Roadmap"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0" l="1"/>
  <c r="E36" i="10"/>
  <c r="E35" i="10"/>
  <c r="E34" i="10"/>
  <c r="E33" i="10"/>
  <c r="B9" i="10"/>
  <c r="B7" i="10"/>
  <c r="B6" i="10"/>
  <c r="E12" i="9"/>
  <c r="D12" i="9"/>
  <c r="C12" i="9"/>
  <c r="E11" i="9"/>
  <c r="D11" i="9"/>
  <c r="C11" i="9"/>
  <c r="E10" i="9"/>
  <c r="D10" i="9"/>
  <c r="C10" i="9"/>
  <c r="E9" i="9"/>
  <c r="D9" i="9"/>
  <c r="C9" i="9"/>
  <c r="E8" i="9"/>
  <c r="D8" i="9"/>
  <c r="C8" i="9"/>
  <c r="E7" i="9"/>
  <c r="D7" i="9"/>
  <c r="C7" i="9"/>
  <c r="N1" i="9"/>
  <c r="M1" i="9"/>
  <c r="L1" i="9"/>
  <c r="G16" i="8"/>
  <c r="F16" i="8"/>
  <c r="E16" i="8"/>
  <c r="D16" i="8"/>
  <c r="C16" i="8"/>
  <c r="B16" i="8"/>
  <c r="G15" i="8"/>
  <c r="F15" i="8"/>
  <c r="E15" i="8"/>
  <c r="D15" i="8"/>
  <c r="C15" i="8"/>
  <c r="B15" i="8"/>
  <c r="G14" i="8"/>
  <c r="F14" i="8"/>
  <c r="E14" i="8"/>
  <c r="D14" i="8"/>
  <c r="C14" i="8"/>
  <c r="B14" i="8"/>
  <c r="G13" i="8"/>
  <c r="F13" i="8"/>
  <c r="E13" i="8"/>
  <c r="D13" i="8"/>
  <c r="C13" i="8"/>
  <c r="B13" i="8"/>
  <c r="G10" i="8"/>
  <c r="F10" i="8"/>
  <c r="E10" i="8"/>
  <c r="D10" i="8"/>
  <c r="C10" i="8"/>
  <c r="G9" i="8"/>
  <c r="F9" i="8"/>
  <c r="E9" i="8"/>
  <c r="D9" i="8"/>
  <c r="C9" i="8"/>
  <c r="B9" i="8"/>
  <c r="G8" i="8"/>
  <c r="F8" i="8"/>
  <c r="E8" i="8"/>
  <c r="D8" i="8"/>
  <c r="C8" i="8"/>
  <c r="B8" i="8"/>
  <c r="G7" i="8"/>
  <c r="F7" i="8"/>
  <c r="E7" i="8"/>
  <c r="D7" i="8"/>
  <c r="C7" i="8"/>
  <c r="B7" i="8"/>
  <c r="G6" i="8"/>
  <c r="F6" i="8"/>
  <c r="E6" i="8"/>
  <c r="D6" i="8"/>
  <c r="C6" i="8"/>
  <c r="B6" i="8"/>
  <c r="C57" i="7"/>
  <c r="C56" i="7"/>
  <c r="C55" i="7"/>
  <c r="C54" i="7"/>
  <c r="C53" i="7"/>
  <c r="D13" i="6"/>
  <c r="C13" i="6"/>
  <c r="B13" i="6"/>
  <c r="D12" i="6"/>
  <c r="C12" i="6"/>
  <c r="B12" i="6"/>
  <c r="D11" i="6"/>
  <c r="C11" i="6"/>
  <c r="B11" i="6"/>
  <c r="D10" i="6"/>
  <c r="C10" i="6"/>
  <c r="B10" i="6"/>
  <c r="D9" i="6"/>
  <c r="C9" i="6"/>
  <c r="B9" i="6"/>
  <c r="C8" i="6"/>
  <c r="B8" i="6"/>
  <c r="C7" i="6"/>
  <c r="D6" i="6"/>
  <c r="C6" i="6"/>
  <c r="B6" i="6"/>
  <c r="H24" i="5"/>
  <c r="G24" i="5"/>
  <c r="F24" i="5"/>
  <c r="E24" i="5"/>
  <c r="D24" i="5"/>
  <c r="G23" i="5"/>
  <c r="F23" i="5"/>
  <c r="E23" i="5"/>
  <c r="D23" i="5"/>
  <c r="E20" i="5"/>
  <c r="H8" i="5"/>
  <c r="F8" i="5"/>
  <c r="E8" i="5"/>
  <c r="H6" i="5"/>
  <c r="E6" i="5"/>
  <c r="E32" i="4"/>
  <c r="A31" i="4"/>
  <c r="E30" i="4"/>
  <c r="E28" i="4"/>
  <c r="B25" i="4"/>
  <c r="B24" i="4"/>
  <c r="B23" i="4"/>
  <c r="B22" i="4"/>
  <c r="B16" i="4"/>
  <c r="B15" i="4"/>
  <c r="B10" i="4"/>
  <c r="B9" i="4"/>
  <c r="B8" i="4"/>
  <c r="B7" i="4"/>
  <c r="B6" i="4"/>
  <c r="F10" i="3"/>
  <c r="C10" i="3"/>
  <c r="E9" i="3"/>
  <c r="C9" i="3"/>
  <c r="E8" i="3"/>
  <c r="C8" i="3"/>
  <c r="E7" i="3"/>
  <c r="C7" i="3"/>
  <c r="E6" i="3"/>
  <c r="C6" i="3"/>
  <c r="H22" i="1"/>
  <c r="G1016" i="9" l="1"/>
  <c r="F1016" i="9"/>
  <c r="E1016" i="9"/>
  <c r="D1016" i="9"/>
  <c r="C1016" i="9"/>
  <c r="B1016" i="9"/>
  <c r="G1015" i="9"/>
  <c r="F1015" i="9"/>
  <c r="E1015" i="9"/>
  <c r="D1015" i="9"/>
  <c r="C1015" i="9"/>
  <c r="B1015" i="9"/>
  <c r="G1014" i="9"/>
  <c r="F1014" i="9"/>
  <c r="E1014" i="9"/>
  <c r="D1014" i="9"/>
  <c r="C1014" i="9"/>
  <c r="B1014" i="9"/>
  <c r="G1013" i="9"/>
  <c r="F1013" i="9"/>
  <c r="E1013" i="9"/>
  <c r="D1013" i="9"/>
  <c r="C1013" i="9"/>
  <c r="B1013" i="9"/>
  <c r="G1012" i="9"/>
  <c r="F1012" i="9"/>
  <c r="E1012" i="9"/>
  <c r="D1012" i="9"/>
  <c r="C1012" i="9"/>
  <c r="B1012" i="9"/>
  <c r="G1011" i="9"/>
  <c r="F1011" i="9"/>
  <c r="E1011" i="9"/>
  <c r="D1011" i="9"/>
  <c r="C1011" i="9"/>
  <c r="B1011" i="9"/>
  <c r="G1010" i="9"/>
  <c r="F1010" i="9"/>
  <c r="E1010" i="9"/>
  <c r="D1010" i="9"/>
  <c r="C1010" i="9"/>
  <c r="B1010" i="9"/>
  <c r="G1009" i="9"/>
  <c r="F1009" i="9"/>
  <c r="E1009" i="9"/>
  <c r="D1009" i="9"/>
  <c r="C1009" i="9"/>
  <c r="B1009" i="9"/>
  <c r="G1008" i="9"/>
  <c r="F1008" i="9"/>
  <c r="E1008" i="9"/>
  <c r="D1008" i="9"/>
  <c r="C1008" i="9"/>
  <c r="B1008" i="9"/>
  <c r="G1007" i="9"/>
  <c r="F1007" i="9"/>
  <c r="E1007" i="9"/>
  <c r="D1007" i="9"/>
  <c r="C1007" i="9"/>
  <c r="B1007" i="9"/>
  <c r="G1006" i="9"/>
  <c r="F1006" i="9"/>
  <c r="E1006" i="9"/>
  <c r="D1006" i="9"/>
  <c r="C1006" i="9"/>
  <c r="B1006" i="9"/>
  <c r="G1005" i="9"/>
  <c r="F1005" i="9"/>
  <c r="E1005" i="9"/>
  <c r="D1005" i="9"/>
  <c r="C1005" i="9"/>
  <c r="B1005" i="9"/>
  <c r="G1004" i="9"/>
  <c r="F1004" i="9"/>
  <c r="E1004" i="9"/>
  <c r="D1004" i="9"/>
  <c r="C1004" i="9"/>
  <c r="B1004" i="9"/>
  <c r="G1003" i="9"/>
  <c r="F1003" i="9"/>
  <c r="E1003" i="9"/>
  <c r="D1003" i="9"/>
  <c r="C1003" i="9"/>
  <c r="B1003" i="9"/>
  <c r="G1002" i="9"/>
  <c r="F1002" i="9"/>
  <c r="E1002" i="9"/>
  <c r="D1002" i="9"/>
  <c r="C1002" i="9"/>
  <c r="B1002" i="9"/>
  <c r="G1001" i="9"/>
  <c r="F1001" i="9"/>
  <c r="E1001" i="9"/>
  <c r="D1001" i="9"/>
  <c r="C1001" i="9"/>
  <c r="B1001" i="9"/>
  <c r="G1000" i="9"/>
  <c r="F1000" i="9"/>
  <c r="E1000" i="9"/>
  <c r="D1000" i="9"/>
  <c r="C1000" i="9"/>
  <c r="B1000" i="9"/>
  <c r="G999" i="9"/>
  <c r="F999" i="9"/>
  <c r="E999" i="9"/>
  <c r="D999" i="9"/>
  <c r="C999" i="9"/>
  <c r="B999" i="9"/>
  <c r="G998" i="9"/>
  <c r="F998" i="9"/>
  <c r="E998" i="9"/>
  <c r="D998" i="9"/>
  <c r="C998" i="9"/>
  <c r="B998" i="9"/>
  <c r="G997" i="9"/>
  <c r="F997" i="9"/>
  <c r="E997" i="9"/>
  <c r="D997" i="9"/>
  <c r="C997" i="9"/>
  <c r="B997" i="9"/>
  <c r="G996" i="9"/>
  <c r="F996" i="9"/>
  <c r="E996" i="9"/>
  <c r="D996" i="9"/>
  <c r="C996" i="9"/>
  <c r="B996" i="9"/>
  <c r="G995" i="9"/>
  <c r="F995" i="9"/>
  <c r="E995" i="9"/>
  <c r="D995" i="9"/>
  <c r="C995" i="9"/>
  <c r="B995" i="9"/>
  <c r="G994" i="9"/>
  <c r="F994" i="9"/>
  <c r="E994" i="9"/>
  <c r="D994" i="9"/>
  <c r="C994" i="9"/>
  <c r="B994" i="9"/>
  <c r="G993" i="9"/>
  <c r="F993" i="9"/>
  <c r="E993" i="9"/>
  <c r="D993" i="9"/>
  <c r="C993" i="9"/>
  <c r="B993" i="9"/>
  <c r="G992" i="9"/>
  <c r="F992" i="9"/>
  <c r="E992" i="9"/>
  <c r="D992" i="9"/>
  <c r="C992" i="9"/>
  <c r="B992" i="9"/>
  <c r="G991" i="9"/>
  <c r="F991" i="9"/>
  <c r="E991" i="9"/>
  <c r="D991" i="9"/>
  <c r="C991" i="9"/>
  <c r="B991" i="9"/>
  <c r="G990" i="9"/>
  <c r="F990" i="9"/>
  <c r="E990" i="9"/>
  <c r="D990" i="9"/>
  <c r="C990" i="9"/>
  <c r="B990" i="9"/>
  <c r="G989" i="9"/>
  <c r="F989" i="9"/>
  <c r="E989" i="9"/>
  <c r="D989" i="9"/>
  <c r="C989" i="9"/>
  <c r="B989" i="9"/>
  <c r="G988" i="9"/>
  <c r="F988" i="9"/>
  <c r="E988" i="9"/>
  <c r="D988" i="9"/>
  <c r="C988" i="9"/>
  <c r="B988" i="9"/>
  <c r="G987" i="9"/>
  <c r="F987" i="9"/>
  <c r="E987" i="9"/>
  <c r="D987" i="9"/>
  <c r="C987" i="9"/>
  <c r="B987" i="9"/>
  <c r="G986" i="9"/>
  <c r="F986" i="9"/>
  <c r="E986" i="9"/>
  <c r="D986" i="9"/>
  <c r="C986" i="9"/>
  <c r="B986" i="9"/>
  <c r="G985" i="9"/>
  <c r="F985" i="9"/>
  <c r="E985" i="9"/>
  <c r="D985" i="9"/>
  <c r="C985" i="9"/>
  <c r="B985" i="9"/>
  <c r="G984" i="9"/>
  <c r="F984" i="9"/>
  <c r="E984" i="9"/>
  <c r="D984" i="9"/>
  <c r="C984" i="9"/>
  <c r="B984" i="9"/>
  <c r="G983" i="9"/>
  <c r="F983" i="9"/>
  <c r="E983" i="9"/>
  <c r="D983" i="9"/>
  <c r="C983" i="9"/>
  <c r="B983" i="9"/>
  <c r="G982" i="9"/>
  <c r="F982" i="9"/>
  <c r="E982" i="9"/>
  <c r="D982" i="9"/>
  <c r="C982" i="9"/>
  <c r="B982" i="9"/>
  <c r="G981" i="9"/>
  <c r="F981" i="9"/>
  <c r="E981" i="9"/>
  <c r="D981" i="9"/>
  <c r="C981" i="9"/>
  <c r="B981" i="9"/>
  <c r="G980" i="9"/>
  <c r="F980" i="9"/>
  <c r="E980" i="9"/>
  <c r="D980" i="9"/>
  <c r="C980" i="9"/>
  <c r="B980" i="9"/>
  <c r="G979" i="9"/>
  <c r="F979" i="9"/>
  <c r="E979" i="9"/>
  <c r="D979" i="9"/>
  <c r="C979" i="9"/>
  <c r="B979" i="9"/>
  <c r="G978" i="9"/>
  <c r="F978" i="9"/>
  <c r="E978" i="9"/>
  <c r="D978" i="9"/>
  <c r="C978" i="9"/>
  <c r="B978" i="9"/>
  <c r="G977" i="9"/>
  <c r="F977" i="9"/>
  <c r="E977" i="9"/>
  <c r="D977" i="9"/>
  <c r="C977" i="9"/>
  <c r="B977" i="9"/>
  <c r="G976" i="9"/>
  <c r="F976" i="9"/>
  <c r="E976" i="9"/>
  <c r="D976" i="9"/>
  <c r="C976" i="9"/>
  <c r="B976" i="9"/>
  <c r="G975" i="9"/>
  <c r="F975" i="9"/>
  <c r="E975" i="9"/>
  <c r="D975" i="9"/>
  <c r="C975" i="9"/>
  <c r="B975" i="9"/>
  <c r="G974" i="9"/>
  <c r="F974" i="9"/>
  <c r="E974" i="9"/>
  <c r="D974" i="9"/>
  <c r="C974" i="9"/>
  <c r="B974" i="9"/>
  <c r="G973" i="9"/>
  <c r="F973" i="9"/>
  <c r="E973" i="9"/>
  <c r="D973" i="9"/>
  <c r="C973" i="9"/>
  <c r="B973" i="9"/>
  <c r="G972" i="9"/>
  <c r="F972" i="9"/>
  <c r="E972" i="9"/>
  <c r="D972" i="9"/>
  <c r="C972" i="9"/>
  <c r="B972" i="9"/>
  <c r="G971" i="9"/>
  <c r="F971" i="9"/>
  <c r="E971" i="9"/>
  <c r="D971" i="9"/>
  <c r="C971" i="9"/>
  <c r="B971" i="9"/>
  <c r="G970" i="9"/>
  <c r="F970" i="9"/>
  <c r="E970" i="9"/>
  <c r="D970" i="9"/>
  <c r="C970" i="9"/>
  <c r="B970" i="9"/>
  <c r="G969" i="9"/>
  <c r="F969" i="9"/>
  <c r="E969" i="9"/>
  <c r="D969" i="9"/>
  <c r="C969" i="9"/>
  <c r="B969" i="9"/>
  <c r="G968" i="9"/>
  <c r="F968" i="9"/>
  <c r="E968" i="9"/>
  <c r="D968" i="9"/>
  <c r="C968" i="9"/>
  <c r="B968" i="9"/>
  <c r="G967" i="9"/>
  <c r="F967" i="9"/>
  <c r="E967" i="9"/>
  <c r="D967" i="9"/>
  <c r="C967" i="9"/>
  <c r="B967" i="9"/>
  <c r="G966" i="9"/>
  <c r="F966" i="9"/>
  <c r="E966" i="9"/>
  <c r="D966" i="9"/>
  <c r="C966" i="9"/>
  <c r="B966" i="9"/>
  <c r="G965" i="9"/>
  <c r="F965" i="9"/>
  <c r="E965" i="9"/>
  <c r="D965" i="9"/>
  <c r="C965" i="9"/>
  <c r="B965" i="9"/>
  <c r="G964" i="9"/>
  <c r="F964" i="9"/>
  <c r="E964" i="9"/>
  <c r="D964" i="9"/>
  <c r="C964" i="9"/>
  <c r="B964" i="9"/>
  <c r="G963" i="9"/>
  <c r="F963" i="9"/>
  <c r="E963" i="9"/>
  <c r="D963" i="9"/>
  <c r="C963" i="9"/>
  <c r="B963" i="9"/>
  <c r="G962" i="9"/>
  <c r="F962" i="9"/>
  <c r="E962" i="9"/>
  <c r="D962" i="9"/>
  <c r="C962" i="9"/>
  <c r="B962" i="9"/>
  <c r="G961" i="9"/>
  <c r="F961" i="9"/>
  <c r="E961" i="9"/>
  <c r="D961" i="9"/>
  <c r="C961" i="9"/>
  <c r="B961" i="9"/>
  <c r="G960" i="9"/>
  <c r="F960" i="9"/>
  <c r="E960" i="9"/>
  <c r="D960" i="9"/>
  <c r="C960" i="9"/>
  <c r="B960" i="9"/>
  <c r="G959" i="9"/>
  <c r="F959" i="9"/>
  <c r="E959" i="9"/>
  <c r="D959" i="9"/>
  <c r="C959" i="9"/>
  <c r="B959" i="9"/>
  <c r="G958" i="9"/>
  <c r="F958" i="9"/>
  <c r="E958" i="9"/>
  <c r="D958" i="9"/>
  <c r="C958" i="9"/>
  <c r="B958" i="9"/>
  <c r="G957" i="9"/>
  <c r="F957" i="9"/>
  <c r="E957" i="9"/>
  <c r="D957" i="9"/>
  <c r="C957" i="9"/>
  <c r="B957" i="9"/>
  <c r="G956" i="9"/>
  <c r="F956" i="9"/>
  <c r="E956" i="9"/>
  <c r="D956" i="9"/>
  <c r="C956" i="9"/>
  <c r="B956" i="9"/>
  <c r="G955" i="9"/>
  <c r="F955" i="9"/>
  <c r="E955" i="9"/>
  <c r="D955" i="9"/>
  <c r="C955" i="9"/>
  <c r="B955" i="9"/>
  <c r="G954" i="9"/>
  <c r="E954" i="9"/>
  <c r="D954" i="9"/>
  <c r="C954" i="9"/>
  <c r="B954" i="9"/>
  <c r="G953" i="9"/>
  <c r="F953" i="9"/>
  <c r="E953" i="9"/>
  <c r="D953" i="9"/>
  <c r="C953" i="9"/>
  <c r="B953" i="9"/>
  <c r="F952" i="9"/>
  <c r="E952" i="9"/>
  <c r="C952" i="9"/>
  <c r="B952" i="9"/>
  <c r="G951" i="9"/>
  <c r="E951" i="9"/>
  <c r="C951" i="9"/>
  <c r="G950" i="9"/>
  <c r="F950" i="9"/>
  <c r="E950" i="9"/>
  <c r="C950" i="9"/>
  <c r="G949" i="9"/>
  <c r="F949" i="9"/>
  <c r="D949" i="9"/>
  <c r="B949" i="9"/>
  <c r="E948" i="9"/>
  <c r="C948" i="9"/>
  <c r="F947" i="9"/>
  <c r="D947" i="9"/>
  <c r="B947" i="9"/>
  <c r="F946" i="9"/>
  <c r="D946" i="9"/>
  <c r="B946" i="9"/>
  <c r="F945" i="9"/>
  <c r="D945" i="9"/>
  <c r="C945" i="9"/>
  <c r="G944" i="9"/>
  <c r="F944" i="9"/>
  <c r="D944" i="9"/>
  <c r="B944" i="9"/>
  <c r="E943" i="9"/>
  <c r="C943" i="9"/>
  <c r="F942" i="9"/>
  <c r="D942" i="9"/>
  <c r="B942" i="9"/>
  <c r="D941" i="9"/>
  <c r="B941" i="9"/>
  <c r="G940" i="9"/>
  <c r="E940" i="9"/>
  <c r="C940" i="9"/>
  <c r="F939" i="9"/>
  <c r="C939" i="9"/>
  <c r="G938" i="9"/>
  <c r="F938" i="9"/>
  <c r="D938" i="9"/>
  <c r="B938" i="9"/>
  <c r="G937" i="9"/>
  <c r="E937" i="9"/>
  <c r="C937" i="9"/>
  <c r="G936" i="9"/>
  <c r="E936" i="9"/>
  <c r="C936" i="9"/>
  <c r="G935" i="9"/>
  <c r="E935" i="9"/>
  <c r="C935" i="9"/>
  <c r="B935" i="9"/>
  <c r="F934" i="9"/>
  <c r="D934" i="9"/>
  <c r="B934" i="9"/>
  <c r="F933" i="9"/>
  <c r="D933" i="9"/>
  <c r="B933" i="9"/>
  <c r="G932" i="9"/>
  <c r="F932" i="9"/>
  <c r="D932" i="9"/>
  <c r="B932" i="9"/>
  <c r="G931" i="9"/>
  <c r="E931" i="9"/>
  <c r="C931" i="9"/>
  <c r="B931" i="9"/>
  <c r="G930" i="9"/>
  <c r="F930" i="9"/>
  <c r="E930" i="9"/>
  <c r="D930" i="9"/>
  <c r="C930" i="9"/>
  <c r="B930" i="9"/>
  <c r="G929" i="9"/>
  <c r="F929" i="9"/>
  <c r="D929" i="9"/>
  <c r="C929" i="9"/>
  <c r="F928" i="9"/>
  <c r="D928" i="9"/>
  <c r="B928" i="9"/>
  <c r="F927" i="9"/>
  <c r="D927" i="9"/>
  <c r="B927" i="9"/>
  <c r="G926" i="9"/>
  <c r="E926" i="9"/>
  <c r="D926" i="9"/>
  <c r="G925" i="9"/>
  <c r="F925" i="9"/>
  <c r="D925" i="9"/>
  <c r="B925" i="9"/>
  <c r="E924" i="9"/>
  <c r="C924" i="9"/>
  <c r="G923" i="9"/>
  <c r="E923" i="9"/>
  <c r="C923" i="9"/>
  <c r="E922" i="9"/>
  <c r="C922" i="9"/>
  <c r="E921" i="9"/>
  <c r="C921" i="9"/>
  <c r="E920" i="9"/>
  <c r="E910" i="9"/>
  <c r="C910" i="9"/>
  <c r="G909" i="9"/>
  <c r="E909" i="9"/>
  <c r="B909" i="9"/>
  <c r="D908" i="9"/>
  <c r="B908" i="9"/>
  <c r="E907" i="9"/>
  <c r="C907" i="9"/>
  <c r="G906" i="9"/>
  <c r="F906" i="9"/>
  <c r="D906" i="9"/>
  <c r="B906" i="9"/>
  <c r="F905" i="9"/>
  <c r="D905" i="9"/>
  <c r="B905" i="9"/>
  <c r="G904" i="9"/>
  <c r="F904" i="9"/>
  <c r="D904" i="9"/>
  <c r="B904" i="9"/>
  <c r="F903" i="9"/>
  <c r="D903" i="9"/>
  <c r="B903" i="9"/>
  <c r="G902" i="9"/>
  <c r="D902" i="9"/>
  <c r="B902" i="9"/>
  <c r="F901" i="9"/>
  <c r="D901" i="9"/>
  <c r="B901" i="9"/>
  <c r="G900" i="9"/>
  <c r="F900" i="9"/>
  <c r="D900" i="9"/>
  <c r="B900" i="9"/>
  <c r="F899" i="9"/>
  <c r="C899" i="9"/>
  <c r="G898" i="9"/>
  <c r="E898" i="9"/>
  <c r="C898" i="9"/>
  <c r="E897" i="9"/>
  <c r="C897" i="9"/>
  <c r="G896" i="9"/>
  <c r="D896" i="9"/>
  <c r="B896" i="9"/>
  <c r="E895" i="9"/>
  <c r="C895" i="9"/>
  <c r="G894" i="9"/>
  <c r="E894" i="9"/>
  <c r="C894" i="9"/>
  <c r="F893" i="9"/>
  <c r="D210" i="9"/>
  <c r="G209" i="9"/>
  <c r="E209" i="9"/>
  <c r="C209" i="9"/>
  <c r="E208" i="9"/>
  <c r="C208" i="9"/>
  <c r="G207" i="9"/>
  <c r="F207" i="9"/>
  <c r="C207" i="9"/>
  <c r="G206" i="9"/>
  <c r="E206" i="9"/>
  <c r="C206" i="9"/>
  <c r="E205" i="9"/>
  <c r="C205" i="9"/>
  <c r="G204" i="9"/>
  <c r="E204" i="9"/>
  <c r="C204" i="9"/>
  <c r="G203" i="9"/>
  <c r="E203" i="9"/>
  <c r="D203" i="9"/>
  <c r="B203" i="9"/>
  <c r="F202" i="9"/>
  <c r="C202" i="9"/>
  <c r="F201" i="9"/>
  <c r="C201" i="9"/>
  <c r="G200" i="9"/>
  <c r="E200" i="9"/>
  <c r="C200" i="9"/>
  <c r="E199" i="9"/>
  <c r="B199" i="9"/>
  <c r="E198" i="9"/>
  <c r="B198" i="9"/>
  <c r="G197" i="9"/>
  <c r="E197" i="9"/>
  <c r="B197" i="9"/>
  <c r="G196" i="9"/>
  <c r="C196" i="9"/>
  <c r="G195" i="9"/>
  <c r="D195" i="9"/>
  <c r="F194" i="9"/>
  <c r="C194" i="9"/>
  <c r="E193" i="9"/>
  <c r="B193" i="9"/>
  <c r="G192" i="9"/>
  <c r="E192" i="9"/>
  <c r="C192" i="9"/>
  <c r="E191" i="9"/>
  <c r="C191" i="9"/>
  <c r="G190" i="9"/>
  <c r="E190" i="9"/>
  <c r="C190" i="9"/>
  <c r="G189" i="9"/>
  <c r="E189" i="9"/>
  <c r="C189" i="9"/>
  <c r="E188" i="9"/>
  <c r="B188" i="9"/>
  <c r="G187" i="9"/>
  <c r="D187" i="9"/>
  <c r="B187" i="9"/>
  <c r="G186" i="9"/>
  <c r="D186" i="9"/>
  <c r="E185" i="9"/>
  <c r="B185" i="9"/>
  <c r="G184" i="9"/>
  <c r="E184" i="9"/>
  <c r="B184" i="9"/>
  <c r="E183" i="9"/>
  <c r="F182" i="9"/>
  <c r="C182" i="9"/>
  <c r="G181" i="9"/>
  <c r="D181" i="9"/>
  <c r="E180" i="9"/>
  <c r="B180" i="9"/>
  <c r="F179" i="9"/>
  <c r="F175" i="9"/>
  <c r="C175" i="9"/>
  <c r="G174" i="9"/>
  <c r="E174" i="9"/>
  <c r="E173" i="9"/>
  <c r="C173" i="9"/>
  <c r="E172" i="9"/>
  <c r="B172" i="9"/>
  <c r="G171" i="9"/>
  <c r="E171" i="9"/>
  <c r="C171" i="9"/>
  <c r="D170" i="9"/>
  <c r="F169" i="9"/>
  <c r="C169" i="9"/>
  <c r="G168" i="9"/>
  <c r="C168" i="9"/>
  <c r="F167" i="9"/>
  <c r="C167" i="9"/>
  <c r="D166" i="9"/>
  <c r="F165" i="9"/>
  <c r="C165" i="9"/>
  <c r="E164" i="9"/>
  <c r="E163" i="9"/>
  <c r="B163" i="9"/>
  <c r="G162" i="9"/>
  <c r="D162" i="9"/>
  <c r="G161" i="9"/>
  <c r="B161" i="9"/>
  <c r="F160" i="9"/>
  <c r="C160" i="9"/>
  <c r="C159" i="9"/>
  <c r="F158" i="9"/>
  <c r="D158" i="9"/>
  <c r="F157" i="9"/>
  <c r="B157" i="9"/>
  <c r="F156" i="9"/>
  <c r="B156" i="9"/>
  <c r="F155" i="9"/>
  <c r="D155" i="9"/>
  <c r="D154" i="9"/>
  <c r="E153" i="9"/>
  <c r="B153" i="9"/>
  <c r="G152" i="9"/>
  <c r="D152" i="9"/>
  <c r="G151" i="9"/>
  <c r="D151" i="9"/>
  <c r="F150" i="9"/>
  <c r="C150" i="9"/>
  <c r="G149" i="9"/>
  <c r="D149" i="9"/>
  <c r="D148" i="9"/>
  <c r="G147" i="9"/>
  <c r="D147" i="9"/>
  <c r="G146" i="9"/>
  <c r="D146" i="9"/>
  <c r="F145" i="9"/>
  <c r="C145" i="9"/>
  <c r="C144" i="9"/>
  <c r="G143" i="9"/>
  <c r="C143" i="9"/>
  <c r="G142" i="9"/>
  <c r="F142" i="9"/>
  <c r="D142" i="9"/>
  <c r="B142" i="9"/>
  <c r="E141" i="9"/>
  <c r="D141" i="9"/>
  <c r="F140" i="9"/>
  <c r="D140" i="9"/>
  <c r="B140" i="9"/>
  <c r="F139" i="9"/>
  <c r="B139" i="9"/>
  <c r="F138" i="9"/>
  <c r="B138" i="9"/>
  <c r="D137" i="9"/>
  <c r="D136" i="9"/>
  <c r="B135" i="9"/>
  <c r="F134" i="9"/>
  <c r="B134" i="9"/>
  <c r="E133" i="9"/>
  <c r="E132" i="9"/>
  <c r="F131" i="9"/>
  <c r="C130" i="9"/>
  <c r="G121" i="9"/>
  <c r="F120" i="9"/>
  <c r="D119" i="9"/>
  <c r="D118" i="9"/>
  <c r="E117" i="9"/>
  <c r="C116" i="9"/>
  <c r="F115" i="9"/>
  <c r="B115" i="9"/>
  <c r="E113" i="9"/>
  <c r="E112" i="9"/>
  <c r="B112" i="9"/>
  <c r="E111" i="9"/>
  <c r="G110" i="9"/>
  <c r="E110" i="9"/>
  <c r="E109" i="9"/>
  <c r="B109" i="9"/>
  <c r="D108" i="9"/>
  <c r="E107" i="9"/>
  <c r="C106" i="9"/>
  <c r="G105" i="9"/>
  <c r="C105" i="9"/>
  <c r="G104" i="9"/>
  <c r="C104" i="9"/>
  <c r="G103" i="9"/>
  <c r="C103" i="9"/>
  <c r="B102" i="9"/>
  <c r="E101" i="9"/>
  <c r="E100" i="9"/>
  <c r="F99" i="9"/>
  <c r="B99" i="9"/>
  <c r="D98" i="9"/>
  <c r="B98" i="9"/>
  <c r="G97" i="9"/>
  <c r="C97" i="9"/>
  <c r="G96" i="9"/>
  <c r="D96" i="9"/>
  <c r="D95" i="9"/>
  <c r="G94" i="9"/>
  <c r="D94" i="9"/>
  <c r="B93" i="9"/>
  <c r="F92" i="9"/>
  <c r="F85" i="9"/>
  <c r="C85" i="9"/>
  <c r="B85" i="9"/>
  <c r="F84" i="9"/>
  <c r="C84" i="9"/>
  <c r="C83" i="9"/>
  <c r="D82" i="9"/>
  <c r="F81" i="9"/>
  <c r="D81" i="9"/>
  <c r="D79" i="9"/>
  <c r="F78" i="9"/>
  <c r="B78" i="9"/>
  <c r="F77" i="9"/>
  <c r="B77" i="9"/>
  <c r="F76" i="9"/>
  <c r="D75" i="9"/>
  <c r="D74" i="9"/>
  <c r="D73" i="9"/>
  <c r="B72" i="9"/>
  <c r="E71" i="9"/>
  <c r="D70" i="9"/>
  <c r="F69" i="9"/>
  <c r="B69" i="9"/>
  <c r="G68" i="9"/>
  <c r="B68" i="9"/>
  <c r="G67" i="9"/>
  <c r="B67" i="9"/>
  <c r="G66" i="9"/>
  <c r="B66" i="9"/>
  <c r="G65" i="9"/>
  <c r="E65" i="9"/>
  <c r="G64" i="9"/>
  <c r="C64" i="9"/>
  <c r="G63" i="9"/>
  <c r="D63" i="9"/>
  <c r="F62" i="9"/>
  <c r="D62" i="9"/>
  <c r="F61" i="9"/>
  <c r="C61" i="9"/>
  <c r="F60" i="9"/>
  <c r="D60" i="9"/>
  <c r="C59" i="9"/>
  <c r="F58" i="9"/>
  <c r="C58" i="9"/>
  <c r="G57" i="9"/>
  <c r="C57" i="9"/>
  <c r="E56" i="9"/>
  <c r="B56" i="9"/>
  <c r="F55" i="9"/>
  <c r="C55" i="9"/>
  <c r="G54" i="9"/>
  <c r="D54" i="9"/>
  <c r="F53" i="9"/>
  <c r="C52" i="9"/>
  <c r="G51" i="9"/>
  <c r="C50" i="9"/>
  <c r="G49" i="9"/>
  <c r="C49" i="9"/>
  <c r="F48" i="9"/>
  <c r="B48" i="9"/>
  <c r="E47" i="9"/>
  <c r="D46" i="9"/>
  <c r="D45" i="9"/>
  <c r="D44" i="9"/>
  <c r="F43" i="9"/>
  <c r="C42" i="9"/>
  <c r="F41" i="9"/>
  <c r="B41" i="9"/>
  <c r="F40" i="9"/>
  <c r="B40" i="9"/>
  <c r="G39" i="9"/>
  <c r="D39" i="9"/>
  <c r="D38" i="9"/>
  <c r="F37" i="9"/>
  <c r="C37" i="9"/>
  <c r="D36" i="9"/>
  <c r="G35" i="9"/>
  <c r="D35" i="9"/>
  <c r="F34" i="9"/>
  <c r="B34" i="9"/>
  <c r="G33" i="9"/>
  <c r="B33" i="9"/>
  <c r="F32" i="9"/>
  <c r="B32" i="9"/>
  <c r="E31" i="9"/>
  <c r="E30" i="9"/>
  <c r="F29" i="9"/>
  <c r="F28" i="9"/>
  <c r="B28" i="9"/>
  <c r="F27" i="9"/>
  <c r="C27" i="9"/>
  <c r="F26" i="9"/>
  <c r="B26" i="9"/>
  <c r="D25" i="9"/>
  <c r="E23" i="9"/>
  <c r="B23" i="9"/>
  <c r="G22" i="9"/>
  <c r="B22" i="9"/>
  <c r="G21" i="9"/>
  <c r="C21" i="9"/>
  <c r="B20" i="9"/>
  <c r="E19" i="9"/>
  <c r="F18" i="9"/>
  <c r="B18" i="9"/>
  <c r="E17" i="9"/>
  <c r="F954" i="9"/>
  <c r="G952" i="9"/>
  <c r="D952" i="9"/>
  <c r="F951" i="9"/>
  <c r="D951" i="9"/>
  <c r="B951" i="9"/>
  <c r="D950" i="9"/>
  <c r="B950" i="9"/>
  <c r="E949" i="9"/>
  <c r="C949" i="9"/>
  <c r="G948" i="9"/>
  <c r="F948" i="9"/>
  <c r="D948" i="9"/>
  <c r="B948" i="9"/>
  <c r="G947" i="9"/>
  <c r="E947" i="9"/>
  <c r="C947" i="9"/>
  <c r="G946" i="9"/>
  <c r="E946" i="9"/>
  <c r="C946" i="9"/>
  <c r="G945" i="9"/>
  <c r="E945" i="9"/>
  <c r="B945" i="9"/>
  <c r="E944" i="9"/>
  <c r="C944" i="9"/>
  <c r="G943" i="9"/>
  <c r="F943" i="9"/>
  <c r="D943" i="9"/>
  <c r="B943" i="9"/>
  <c r="G942" i="9"/>
  <c r="E942" i="9"/>
  <c r="C942" i="9"/>
  <c r="G941" i="9"/>
  <c r="F941" i="9"/>
  <c r="E941" i="9"/>
  <c r="C941" i="9"/>
  <c r="F940" i="9"/>
  <c r="D940" i="9"/>
  <c r="B940" i="9"/>
  <c r="G939" i="9"/>
  <c r="E939" i="9"/>
  <c r="D939" i="9"/>
  <c r="B939" i="9"/>
  <c r="E938" i="9"/>
  <c r="C938" i="9"/>
  <c r="F937" i="9"/>
  <c r="D937" i="9"/>
  <c r="B937" i="9"/>
  <c r="F936" i="9"/>
  <c r="D936" i="9"/>
  <c r="B936" i="9"/>
  <c r="F935" i="9"/>
  <c r="D935" i="9"/>
  <c r="G934" i="9"/>
  <c r="E934" i="9"/>
  <c r="C934" i="9"/>
  <c r="G933" i="9"/>
  <c r="E933" i="9"/>
  <c r="C933" i="9"/>
  <c r="E932" i="9"/>
  <c r="C932" i="9"/>
  <c r="F931" i="9"/>
  <c r="D931" i="9"/>
  <c r="E929" i="9"/>
  <c r="B929" i="9"/>
  <c r="G928" i="9"/>
  <c r="E928" i="9"/>
  <c r="C928" i="9"/>
  <c r="G927" i="9"/>
  <c r="E927" i="9"/>
  <c r="C927" i="9"/>
  <c r="F926" i="9"/>
  <c r="C926" i="9"/>
  <c r="B926" i="9"/>
  <c r="E925" i="9"/>
  <c r="C925" i="9"/>
  <c r="G924" i="9"/>
  <c r="F924" i="9"/>
  <c r="D924" i="9"/>
  <c r="B924" i="9"/>
  <c r="F923" i="9"/>
  <c r="D923" i="9"/>
  <c r="B923" i="9"/>
  <c r="G922" i="9"/>
  <c r="F922" i="9"/>
  <c r="D922" i="9"/>
  <c r="B922" i="9"/>
  <c r="G921" i="9"/>
  <c r="F921" i="9"/>
  <c r="D921" i="9"/>
  <c r="B921" i="9"/>
  <c r="G920" i="9"/>
  <c r="F920" i="9"/>
  <c r="D920" i="9"/>
  <c r="C920" i="9"/>
  <c r="B920" i="9"/>
  <c r="G919" i="9"/>
  <c r="F919" i="9"/>
  <c r="E919" i="9"/>
  <c r="D919" i="9"/>
  <c r="C919" i="9"/>
  <c r="B919" i="9"/>
  <c r="G918" i="9"/>
  <c r="F918" i="9"/>
  <c r="E918" i="9"/>
  <c r="D918" i="9"/>
  <c r="C918" i="9"/>
  <c r="B918" i="9"/>
  <c r="G917" i="9"/>
  <c r="F917" i="9"/>
  <c r="E917" i="9"/>
  <c r="D917" i="9"/>
  <c r="C917" i="9"/>
  <c r="B917" i="9"/>
  <c r="G916" i="9"/>
  <c r="F916" i="9"/>
  <c r="E916" i="9"/>
  <c r="D916" i="9"/>
  <c r="C916" i="9"/>
  <c r="B916" i="9"/>
  <c r="G915" i="9"/>
  <c r="F915" i="9"/>
  <c r="E915" i="9"/>
  <c r="D915" i="9"/>
  <c r="C915" i="9"/>
  <c r="B915" i="9"/>
  <c r="G914" i="9"/>
  <c r="F914" i="9"/>
  <c r="E914" i="9"/>
  <c r="D914" i="9"/>
  <c r="C914" i="9"/>
  <c r="B914" i="9"/>
  <c r="G913" i="9"/>
  <c r="F913" i="9"/>
  <c r="E913" i="9"/>
  <c r="D913" i="9"/>
  <c r="C913" i="9"/>
  <c r="B913" i="9"/>
  <c r="G912" i="9"/>
  <c r="F912" i="9"/>
  <c r="E912" i="9"/>
  <c r="D912" i="9"/>
  <c r="C912" i="9"/>
  <c r="B912" i="9"/>
  <c r="G911" i="9"/>
  <c r="F911" i="9"/>
  <c r="E911" i="9"/>
  <c r="D911" i="9"/>
  <c r="C911" i="9"/>
  <c r="B911" i="9"/>
  <c r="G910" i="9"/>
  <c r="F910" i="9"/>
  <c r="D910" i="9"/>
  <c r="B910" i="9"/>
  <c r="F909" i="9"/>
  <c r="D909" i="9"/>
  <c r="C909" i="9"/>
  <c r="G908" i="9"/>
  <c r="F908" i="9"/>
  <c r="E908" i="9"/>
  <c r="C908" i="9"/>
  <c r="G907" i="9"/>
  <c r="F907" i="9"/>
  <c r="D907" i="9"/>
  <c r="B907" i="9"/>
  <c r="E906" i="9"/>
  <c r="C906" i="9"/>
  <c r="G905" i="9"/>
  <c r="E905" i="9"/>
  <c r="C905" i="9"/>
  <c r="E904" i="9"/>
  <c r="C904" i="9"/>
  <c r="G903" i="9"/>
  <c r="E903" i="9"/>
  <c r="C903" i="9"/>
  <c r="F902" i="9"/>
  <c r="E902" i="9"/>
  <c r="C902" i="9"/>
  <c r="G901" i="9"/>
  <c r="E901" i="9"/>
  <c r="C901" i="9"/>
  <c r="E900" i="9"/>
  <c r="C900" i="9"/>
  <c r="G899" i="9"/>
  <c r="E899" i="9"/>
  <c r="D899" i="9"/>
  <c r="B899" i="9"/>
  <c r="F898" i="9"/>
  <c r="D898" i="9"/>
  <c r="B898" i="9"/>
  <c r="G897" i="9"/>
  <c r="F897" i="9"/>
  <c r="D897" i="9"/>
  <c r="B897" i="9"/>
  <c r="F896" i="9"/>
  <c r="E896" i="9"/>
  <c r="C896" i="9"/>
  <c r="G895" i="9"/>
  <c r="F895" i="9"/>
  <c r="D895" i="9"/>
  <c r="B895" i="9"/>
  <c r="F894" i="9"/>
  <c r="D894" i="9"/>
  <c r="B894" i="9"/>
  <c r="G893" i="9"/>
  <c r="E893" i="9"/>
  <c r="F210" i="9"/>
  <c r="E210" i="9"/>
  <c r="C210" i="9"/>
  <c r="B210" i="9"/>
  <c r="F209" i="9"/>
  <c r="D209" i="9"/>
  <c r="B209" i="9"/>
  <c r="G208" i="9"/>
  <c r="F208" i="9"/>
  <c r="D208" i="9"/>
  <c r="B208" i="9"/>
  <c r="E207" i="9"/>
  <c r="D207" i="9"/>
  <c r="B207" i="9"/>
  <c r="F206" i="9"/>
  <c r="D206" i="9"/>
  <c r="B206" i="9"/>
  <c r="G205" i="9"/>
  <c r="F205" i="9"/>
  <c r="D205" i="9"/>
  <c r="B205" i="9"/>
  <c r="F204" i="9"/>
  <c r="D204" i="9"/>
  <c r="B204" i="9"/>
  <c r="F203" i="9"/>
  <c r="C203" i="9"/>
  <c r="G202" i="9"/>
  <c r="E202" i="9"/>
  <c r="D202" i="9"/>
  <c r="B202" i="9"/>
  <c r="G201" i="9"/>
  <c r="E201" i="9"/>
  <c r="D201" i="9"/>
  <c r="B201" i="9"/>
  <c r="F200" i="9"/>
  <c r="D200" i="9"/>
  <c r="B200" i="9"/>
  <c r="G199" i="9"/>
  <c r="D199" i="9"/>
  <c r="F198" i="9"/>
  <c r="D198" i="9"/>
  <c r="F197" i="9"/>
  <c r="C197" i="9"/>
  <c r="E196" i="9"/>
  <c r="B196" i="9"/>
  <c r="E195" i="9"/>
  <c r="B195" i="9"/>
  <c r="E194" i="9"/>
  <c r="B194" i="9"/>
  <c r="G193" i="9"/>
  <c r="D193" i="9"/>
  <c r="F192" i="9"/>
  <c r="D192" i="9"/>
  <c r="D188" i="9"/>
  <c r="F187" i="9"/>
  <c r="C187" i="9"/>
  <c r="E186" i="9"/>
  <c r="B186" i="9"/>
  <c r="G185" i="9"/>
  <c r="C185" i="9"/>
  <c r="C184" i="9"/>
  <c r="F183" i="9"/>
  <c r="C183" i="9"/>
  <c r="D182" i="9"/>
  <c r="E181" i="9"/>
  <c r="B181" i="9"/>
  <c r="G180" i="9"/>
  <c r="D180" i="9"/>
  <c r="E179" i="9"/>
  <c r="C179" i="9"/>
  <c r="G178" i="9"/>
  <c r="E178" i="9"/>
  <c r="C178" i="9"/>
  <c r="G177" i="9"/>
  <c r="E177" i="9"/>
  <c r="C177" i="9"/>
  <c r="F176" i="9"/>
  <c r="D176" i="9"/>
  <c r="B176" i="9"/>
  <c r="G175" i="9"/>
  <c r="E175" i="9"/>
  <c r="B175" i="9"/>
  <c r="F174" i="9"/>
  <c r="C174" i="9"/>
  <c r="G173" i="9"/>
  <c r="D173" i="9"/>
  <c r="B173" i="9"/>
  <c r="G172" i="9"/>
  <c r="D172" i="9"/>
  <c r="B171" i="9"/>
  <c r="G170" i="9"/>
  <c r="E170" i="9"/>
  <c r="B170" i="9"/>
  <c r="G169" i="9"/>
  <c r="E169" i="9"/>
  <c r="B169" i="9"/>
  <c r="E168" i="9"/>
  <c r="B168" i="9"/>
  <c r="G167" i="9"/>
  <c r="E167" i="9"/>
  <c r="B167" i="9"/>
  <c r="G166" i="9"/>
  <c r="E166" i="9"/>
  <c r="B166" i="9"/>
  <c r="G165" i="9"/>
  <c r="D165" i="9"/>
  <c r="F164" i="9"/>
  <c r="D164" i="9"/>
  <c r="G163" i="9"/>
  <c r="D163" i="9"/>
  <c r="F162" i="9"/>
  <c r="C162" i="9"/>
  <c r="E161" i="9"/>
  <c r="C161" i="9"/>
  <c r="G160" i="9"/>
  <c r="D160" i="9"/>
  <c r="F159" i="9"/>
  <c r="D159" i="9"/>
  <c r="G158" i="9"/>
  <c r="E158" i="9"/>
  <c r="B158" i="9"/>
  <c r="G157" i="9"/>
  <c r="D157" i="9"/>
  <c r="G156" i="9"/>
  <c r="D156" i="9"/>
  <c r="G155" i="9"/>
  <c r="B155" i="9"/>
  <c r="G154" i="9"/>
  <c r="E154" i="9"/>
  <c r="B154" i="9"/>
  <c r="G153" i="9"/>
  <c r="D153" i="9"/>
  <c r="F152" i="9"/>
  <c r="C152" i="9"/>
  <c r="F151" i="9"/>
  <c r="B151" i="9"/>
  <c r="G150" i="9"/>
  <c r="D150" i="9"/>
  <c r="F149" i="9"/>
  <c r="B149" i="9"/>
  <c r="G148" i="9"/>
  <c r="E148" i="9"/>
  <c r="B148" i="9"/>
  <c r="E147" i="9"/>
  <c r="B147" i="9"/>
  <c r="E146" i="9"/>
  <c r="B146" i="9"/>
  <c r="G145" i="9"/>
  <c r="D145" i="9"/>
  <c r="F144" i="9"/>
  <c r="D144" i="9"/>
  <c r="B144" i="9"/>
  <c r="F143" i="9"/>
  <c r="D143" i="9"/>
  <c r="B143" i="9"/>
  <c r="E142" i="9"/>
  <c r="C142" i="9"/>
  <c r="G141" i="9"/>
  <c r="F141" i="9"/>
  <c r="B141" i="9"/>
  <c r="E140" i="9"/>
  <c r="D139" i="9"/>
  <c r="C138" i="9"/>
  <c r="G137" i="9"/>
  <c r="B137" i="9"/>
  <c r="G136" i="9"/>
  <c r="C136" i="9"/>
  <c r="G135" i="9"/>
  <c r="D135" i="9"/>
  <c r="C134" i="9"/>
  <c r="F133" i="9"/>
  <c r="B133" i="9"/>
  <c r="F132" i="9"/>
  <c r="C132" i="9"/>
  <c r="B131" i="9"/>
  <c r="E130" i="9"/>
  <c r="F129" i="9"/>
  <c r="C129" i="9"/>
  <c r="D128" i="9"/>
  <c r="F127" i="9"/>
  <c r="C127" i="9"/>
  <c r="G126" i="9"/>
  <c r="C126" i="9"/>
  <c r="G125" i="9"/>
  <c r="C125" i="9"/>
  <c r="F124" i="9"/>
  <c r="C124" i="9"/>
  <c r="G123" i="9"/>
  <c r="D123" i="9"/>
  <c r="F122" i="9"/>
  <c r="E121" i="9"/>
  <c r="G120" i="9"/>
  <c r="C120" i="9"/>
  <c r="G119" i="9"/>
  <c r="C119" i="9"/>
  <c r="G118" i="9"/>
  <c r="D117" i="9"/>
  <c r="G116" i="9"/>
  <c r="E116" i="9"/>
  <c r="E115" i="9"/>
  <c r="F114" i="9"/>
  <c r="G113" i="9"/>
  <c r="C113" i="9"/>
  <c r="G112" i="9"/>
  <c r="F111" i="9"/>
  <c r="B111" i="9"/>
  <c r="D110" i="9"/>
  <c r="C108" i="9"/>
  <c r="F107" i="9"/>
  <c r="B107" i="9"/>
  <c r="E106" i="9"/>
  <c r="B106" i="9"/>
  <c r="E105" i="9"/>
  <c r="D104" i="9"/>
  <c r="B104" i="9"/>
  <c r="E103" i="9"/>
  <c r="B103" i="9"/>
  <c r="E102" i="9"/>
  <c r="F101" i="9"/>
  <c r="B101" i="9"/>
  <c r="F100" i="9"/>
  <c r="B100" i="9"/>
  <c r="C99" i="9"/>
  <c r="G98" i="9"/>
  <c r="D97" i="9"/>
  <c r="F96" i="9"/>
  <c r="B96" i="9"/>
  <c r="E95" i="9"/>
  <c r="F94" i="9"/>
  <c r="B94" i="9"/>
  <c r="E93" i="9"/>
  <c r="E92" i="9"/>
  <c r="B92" i="9"/>
  <c r="G91" i="9"/>
  <c r="D91" i="9"/>
  <c r="B90" i="9"/>
  <c r="F89" i="9"/>
  <c r="B89" i="9"/>
  <c r="E88" i="9"/>
  <c r="B88" i="9"/>
  <c r="F87" i="9"/>
  <c r="B87" i="9"/>
  <c r="E86" i="9"/>
  <c r="B86" i="9"/>
  <c r="E85" i="9"/>
  <c r="G84" i="9"/>
  <c r="D84" i="9"/>
  <c r="F83" i="9"/>
  <c r="D83" i="9"/>
  <c r="F82" i="9"/>
  <c r="C82" i="9"/>
  <c r="F80" i="9"/>
  <c r="C80" i="9"/>
  <c r="G79" i="9"/>
  <c r="B79" i="9"/>
  <c r="G78" i="9"/>
  <c r="C78" i="9"/>
  <c r="G77" i="9"/>
  <c r="C77" i="9"/>
  <c r="D76" i="9"/>
  <c r="G75" i="9"/>
  <c r="C75" i="9"/>
  <c r="G74" i="9"/>
  <c r="C74" i="9"/>
  <c r="G73" i="9"/>
  <c r="C73" i="9"/>
  <c r="G72" i="9"/>
  <c r="C72" i="9"/>
  <c r="G71" i="9"/>
  <c r="D71" i="9"/>
  <c r="G70" i="9"/>
  <c r="B70" i="9"/>
  <c r="G69" i="9"/>
  <c r="D69" i="9"/>
  <c r="F68" i="9"/>
  <c r="D68" i="9"/>
  <c r="F67" i="9"/>
  <c r="D67" i="9"/>
  <c r="F66" i="9"/>
  <c r="C66" i="9"/>
  <c r="C65" i="9"/>
  <c r="E64" i="9"/>
  <c r="B64" i="9"/>
  <c r="E63" i="9"/>
  <c r="C62" i="9"/>
  <c r="E61" i="9"/>
  <c r="B61" i="9"/>
  <c r="G60" i="9"/>
  <c r="C60" i="9"/>
  <c r="G59" i="9"/>
  <c r="E59" i="9"/>
  <c r="D58" i="9"/>
  <c r="E57" i="9"/>
  <c r="E55" i="9"/>
  <c r="E54" i="9"/>
  <c r="E53" i="9"/>
  <c r="B53" i="9"/>
  <c r="F51" i="9"/>
  <c r="B51" i="9"/>
  <c r="E50" i="9"/>
  <c r="B50" i="9"/>
  <c r="D49" i="9"/>
  <c r="E48" i="9"/>
  <c r="F47" i="9"/>
  <c r="B47" i="9"/>
  <c r="G46" i="9"/>
  <c r="C46" i="9"/>
  <c r="E45" i="9"/>
  <c r="B45" i="9"/>
  <c r="G44" i="9"/>
  <c r="C44" i="9"/>
  <c r="C43" i="9"/>
  <c r="G42" i="9"/>
  <c r="D42" i="9"/>
  <c r="D41" i="9"/>
  <c r="D40" i="9"/>
  <c r="E33" i="9"/>
  <c r="E32" i="9"/>
  <c r="G31" i="9"/>
  <c r="C31" i="9"/>
  <c r="G30" i="9"/>
  <c r="D30" i="9"/>
  <c r="C29" i="9"/>
  <c r="E28" i="9"/>
  <c r="D27" i="9"/>
  <c r="B27" i="9"/>
  <c r="G26" i="9"/>
  <c r="C26" i="9"/>
  <c r="F25" i="9"/>
  <c r="B25" i="9"/>
  <c r="G24" i="9"/>
  <c r="D24" i="9"/>
  <c r="C23" i="9"/>
  <c r="E22" i="9"/>
  <c r="D21" i="9"/>
  <c r="B21" i="9"/>
  <c r="E20" i="9"/>
  <c r="F19" i="9"/>
  <c r="C19" i="9"/>
  <c r="G18" i="9"/>
  <c r="D18" i="9"/>
  <c r="D17" i="9"/>
  <c r="G19" i="8"/>
  <c r="E19" i="8"/>
  <c r="C19" i="8"/>
  <c r="D893" i="9"/>
  <c r="C893" i="9"/>
  <c r="B893" i="9"/>
  <c r="G892" i="9"/>
  <c r="F892" i="9"/>
  <c r="E892" i="9"/>
  <c r="D892" i="9"/>
  <c r="C892" i="9"/>
  <c r="B892" i="9"/>
  <c r="G891" i="9"/>
  <c r="F891" i="9"/>
  <c r="E891" i="9"/>
  <c r="D891" i="9"/>
  <c r="C891" i="9"/>
  <c r="B891" i="9"/>
  <c r="G890" i="9"/>
  <c r="F890" i="9"/>
  <c r="E890" i="9"/>
  <c r="D890" i="9"/>
  <c r="C890" i="9"/>
  <c r="B890" i="9"/>
  <c r="G889" i="9"/>
  <c r="F889" i="9"/>
  <c r="E889" i="9"/>
  <c r="D889" i="9"/>
  <c r="C889" i="9"/>
  <c r="B889" i="9"/>
  <c r="G888" i="9"/>
  <c r="F888" i="9"/>
  <c r="E888" i="9"/>
  <c r="D888" i="9"/>
  <c r="C888" i="9"/>
  <c r="B888" i="9"/>
  <c r="G887" i="9"/>
  <c r="F887" i="9"/>
  <c r="E887" i="9"/>
  <c r="D887" i="9"/>
  <c r="C887" i="9"/>
  <c r="B887" i="9"/>
  <c r="G886" i="9"/>
  <c r="F886" i="9"/>
  <c r="E886" i="9"/>
  <c r="D886" i="9"/>
  <c r="C886" i="9"/>
  <c r="B886" i="9"/>
  <c r="G885" i="9"/>
  <c r="F885" i="9"/>
  <c r="E885" i="9"/>
  <c r="D885" i="9"/>
  <c r="C885" i="9"/>
  <c r="B885" i="9"/>
  <c r="G884" i="9"/>
  <c r="F884" i="9"/>
  <c r="E884" i="9"/>
  <c r="D884" i="9"/>
  <c r="C884" i="9"/>
  <c r="B884" i="9"/>
  <c r="G883" i="9"/>
  <c r="F883" i="9"/>
  <c r="E883" i="9"/>
  <c r="D883" i="9"/>
  <c r="C883" i="9"/>
  <c r="B883" i="9"/>
  <c r="G882" i="9"/>
  <c r="F882" i="9"/>
  <c r="E882" i="9"/>
  <c r="D882" i="9"/>
  <c r="C882" i="9"/>
  <c r="B882" i="9"/>
  <c r="G881" i="9"/>
  <c r="F881" i="9"/>
  <c r="E881" i="9"/>
  <c r="D881" i="9"/>
  <c r="C881" i="9"/>
  <c r="B881" i="9"/>
  <c r="G880" i="9"/>
  <c r="F880" i="9"/>
  <c r="E880" i="9"/>
  <c r="D880" i="9"/>
  <c r="C880" i="9"/>
  <c r="B880" i="9"/>
  <c r="G879" i="9"/>
  <c r="F879" i="9"/>
  <c r="E879" i="9"/>
  <c r="D879" i="9"/>
  <c r="C879" i="9"/>
  <c r="B879" i="9"/>
  <c r="G878" i="9"/>
  <c r="F878" i="9"/>
  <c r="E878" i="9"/>
  <c r="D878" i="9"/>
  <c r="C878" i="9"/>
  <c r="B878" i="9"/>
  <c r="G877" i="9"/>
  <c r="F877" i="9"/>
  <c r="E877" i="9"/>
  <c r="D877" i="9"/>
  <c r="C877" i="9"/>
  <c r="B877" i="9"/>
  <c r="G876" i="9"/>
  <c r="F876" i="9"/>
  <c r="E876" i="9"/>
  <c r="D876" i="9"/>
  <c r="C876" i="9"/>
  <c r="B876" i="9"/>
  <c r="G875" i="9"/>
  <c r="F875" i="9"/>
  <c r="E875" i="9"/>
  <c r="D875" i="9"/>
  <c r="C875" i="9"/>
  <c r="B875" i="9"/>
  <c r="G874" i="9"/>
  <c r="F874" i="9"/>
  <c r="E874" i="9"/>
  <c r="D874" i="9"/>
  <c r="C874" i="9"/>
  <c r="B874" i="9"/>
  <c r="G873" i="9"/>
  <c r="F873" i="9"/>
  <c r="E873" i="9"/>
  <c r="D873" i="9"/>
  <c r="C873" i="9"/>
  <c r="B873" i="9"/>
  <c r="G872" i="9"/>
  <c r="F872" i="9"/>
  <c r="E872" i="9"/>
  <c r="D872" i="9"/>
  <c r="C872" i="9"/>
  <c r="B872" i="9"/>
  <c r="G871" i="9"/>
  <c r="F871" i="9"/>
  <c r="E871" i="9"/>
  <c r="D871" i="9"/>
  <c r="C871" i="9"/>
  <c r="B871" i="9"/>
  <c r="G870" i="9"/>
  <c r="F870" i="9"/>
  <c r="E870" i="9"/>
  <c r="D870" i="9"/>
  <c r="C870" i="9"/>
  <c r="B870" i="9"/>
  <c r="G869" i="9"/>
  <c r="F869" i="9"/>
  <c r="E869" i="9"/>
  <c r="D869" i="9"/>
  <c r="C869" i="9"/>
  <c r="B869" i="9"/>
  <c r="G868" i="9"/>
  <c r="F868" i="9"/>
  <c r="E868" i="9"/>
  <c r="D868" i="9"/>
  <c r="C868" i="9"/>
  <c r="B868" i="9"/>
  <c r="G867" i="9"/>
  <c r="F867" i="9"/>
  <c r="E867" i="9"/>
  <c r="D867" i="9"/>
  <c r="C867" i="9"/>
  <c r="B867" i="9"/>
  <c r="G866" i="9"/>
  <c r="F866" i="9"/>
  <c r="E866" i="9"/>
  <c r="D866" i="9"/>
  <c r="C866" i="9"/>
  <c r="B866" i="9"/>
  <c r="G865" i="9"/>
  <c r="F865" i="9"/>
  <c r="E865" i="9"/>
  <c r="D865" i="9"/>
  <c r="C865" i="9"/>
  <c r="B865" i="9"/>
  <c r="G864" i="9"/>
  <c r="F864" i="9"/>
  <c r="E864" i="9"/>
  <c r="D864" i="9"/>
  <c r="C864" i="9"/>
  <c r="B864" i="9"/>
  <c r="G863" i="9"/>
  <c r="F863" i="9"/>
  <c r="E863" i="9"/>
  <c r="D863" i="9"/>
  <c r="C863" i="9"/>
  <c r="B863" i="9"/>
  <c r="G862" i="9"/>
  <c r="F862" i="9"/>
  <c r="E862" i="9"/>
  <c r="D862" i="9"/>
  <c r="C862" i="9"/>
  <c r="B862" i="9"/>
  <c r="G861" i="9"/>
  <c r="F861" i="9"/>
  <c r="E861" i="9"/>
  <c r="D861" i="9"/>
  <c r="C861" i="9"/>
  <c r="B861" i="9"/>
  <c r="G860" i="9"/>
  <c r="F860" i="9"/>
  <c r="E860" i="9"/>
  <c r="D860" i="9"/>
  <c r="C860" i="9"/>
  <c r="B860" i="9"/>
  <c r="G859" i="9"/>
  <c r="F859" i="9"/>
  <c r="E859" i="9"/>
  <c r="D859" i="9"/>
  <c r="C859" i="9"/>
  <c r="B859" i="9"/>
  <c r="G858" i="9"/>
  <c r="F858" i="9"/>
  <c r="E858" i="9"/>
  <c r="D858" i="9"/>
  <c r="C858" i="9"/>
  <c r="B858" i="9"/>
  <c r="G857" i="9"/>
  <c r="F857" i="9"/>
  <c r="E857" i="9"/>
  <c r="D857" i="9"/>
  <c r="C857" i="9"/>
  <c r="B857" i="9"/>
  <c r="G856" i="9"/>
  <c r="F856" i="9"/>
  <c r="E856" i="9"/>
  <c r="D856" i="9"/>
  <c r="C856" i="9"/>
  <c r="B856" i="9"/>
  <c r="G855" i="9"/>
  <c r="F855" i="9"/>
  <c r="E855" i="9"/>
  <c r="D855" i="9"/>
  <c r="C855" i="9"/>
  <c r="B855" i="9"/>
  <c r="G854" i="9"/>
  <c r="F854" i="9"/>
  <c r="E854" i="9"/>
  <c r="D854" i="9"/>
  <c r="C854" i="9"/>
  <c r="B854" i="9"/>
  <c r="G853" i="9"/>
  <c r="F853" i="9"/>
  <c r="E853" i="9"/>
  <c r="D853" i="9"/>
  <c r="C853" i="9"/>
  <c r="B853" i="9"/>
  <c r="G852" i="9"/>
  <c r="F852" i="9"/>
  <c r="E852" i="9"/>
  <c r="D852" i="9"/>
  <c r="C852" i="9"/>
  <c r="B852" i="9"/>
  <c r="G851" i="9"/>
  <c r="F851" i="9"/>
  <c r="E851" i="9"/>
  <c r="D851" i="9"/>
  <c r="C851" i="9"/>
  <c r="B851" i="9"/>
  <c r="G850" i="9"/>
  <c r="F850" i="9"/>
  <c r="E850" i="9"/>
  <c r="D850" i="9"/>
  <c r="C850" i="9"/>
  <c r="B850" i="9"/>
  <c r="G849" i="9"/>
  <c r="F849" i="9"/>
  <c r="E849" i="9"/>
  <c r="D849" i="9"/>
  <c r="C849" i="9"/>
  <c r="B849" i="9"/>
  <c r="G848" i="9"/>
  <c r="F848" i="9"/>
  <c r="E848" i="9"/>
  <c r="D848" i="9"/>
  <c r="C848" i="9"/>
  <c r="B848" i="9"/>
  <c r="G847" i="9"/>
  <c r="F847" i="9"/>
  <c r="E847" i="9"/>
  <c r="D847" i="9"/>
  <c r="C847" i="9"/>
  <c r="B847" i="9"/>
  <c r="G846" i="9"/>
  <c r="F846" i="9"/>
  <c r="E846" i="9"/>
  <c r="D846" i="9"/>
  <c r="C846" i="9"/>
  <c r="B846" i="9"/>
  <c r="G845" i="9"/>
  <c r="F845" i="9"/>
  <c r="E845" i="9"/>
  <c r="D845" i="9"/>
  <c r="C845" i="9"/>
  <c r="B845" i="9"/>
  <c r="G844" i="9"/>
  <c r="F844" i="9"/>
  <c r="E844" i="9"/>
  <c r="D844" i="9"/>
  <c r="C844" i="9"/>
  <c r="B844" i="9"/>
  <c r="G843" i="9"/>
  <c r="F843" i="9"/>
  <c r="E843" i="9"/>
  <c r="D843" i="9"/>
  <c r="C843" i="9"/>
  <c r="B843" i="9"/>
  <c r="G842" i="9"/>
  <c r="F842" i="9"/>
  <c r="E842" i="9"/>
  <c r="D842" i="9"/>
  <c r="C842" i="9"/>
  <c r="B842" i="9"/>
  <c r="G841" i="9"/>
  <c r="F841" i="9"/>
  <c r="E841" i="9"/>
  <c r="D841" i="9"/>
  <c r="C841" i="9"/>
  <c r="B841" i="9"/>
  <c r="G840" i="9"/>
  <c r="F840" i="9"/>
  <c r="E840" i="9"/>
  <c r="D840" i="9"/>
  <c r="C840" i="9"/>
  <c r="B840" i="9"/>
  <c r="G839" i="9"/>
  <c r="F839" i="9"/>
  <c r="E839" i="9"/>
  <c r="D839" i="9"/>
  <c r="C839" i="9"/>
  <c r="B839" i="9"/>
  <c r="G838" i="9"/>
  <c r="F838" i="9"/>
  <c r="E838" i="9"/>
  <c r="D838" i="9"/>
  <c r="C838" i="9"/>
  <c r="B838" i="9"/>
  <c r="G837" i="9"/>
  <c r="F837" i="9"/>
  <c r="E837" i="9"/>
  <c r="D837" i="9"/>
  <c r="C837" i="9"/>
  <c r="B837" i="9"/>
  <c r="G836" i="9"/>
  <c r="F836" i="9"/>
  <c r="E836" i="9"/>
  <c r="D836" i="9"/>
  <c r="C836" i="9"/>
  <c r="B836" i="9"/>
  <c r="G835" i="9"/>
  <c r="F835" i="9"/>
  <c r="E835" i="9"/>
  <c r="D835" i="9"/>
  <c r="C835" i="9"/>
  <c r="B835" i="9"/>
  <c r="G834" i="9"/>
  <c r="F834" i="9"/>
  <c r="E834" i="9"/>
  <c r="D834" i="9"/>
  <c r="C834" i="9"/>
  <c r="B834" i="9"/>
  <c r="G833" i="9"/>
  <c r="F833" i="9"/>
  <c r="E833" i="9"/>
  <c r="D833" i="9"/>
  <c r="C833" i="9"/>
  <c r="B833" i="9"/>
  <c r="G832" i="9"/>
  <c r="F832" i="9"/>
  <c r="E832" i="9"/>
  <c r="D832" i="9"/>
  <c r="C832" i="9"/>
  <c r="B832" i="9"/>
  <c r="G831" i="9"/>
  <c r="F831" i="9"/>
  <c r="E831" i="9"/>
  <c r="D831" i="9"/>
  <c r="C831" i="9"/>
  <c r="B831" i="9"/>
  <c r="G830" i="9"/>
  <c r="F830" i="9"/>
  <c r="E830" i="9"/>
  <c r="D830" i="9"/>
  <c r="C830" i="9"/>
  <c r="B830" i="9"/>
  <c r="G829" i="9"/>
  <c r="F829" i="9"/>
  <c r="E829" i="9"/>
  <c r="D829" i="9"/>
  <c r="C829" i="9"/>
  <c r="B829" i="9"/>
  <c r="C773" i="9"/>
  <c r="B773" i="9"/>
  <c r="G772" i="9"/>
  <c r="F772" i="9"/>
  <c r="E772" i="9"/>
  <c r="D772" i="9"/>
  <c r="C772" i="9"/>
  <c r="B772" i="9"/>
  <c r="G771" i="9"/>
  <c r="F771" i="9"/>
  <c r="E771" i="9"/>
  <c r="D771" i="9"/>
  <c r="C771" i="9"/>
  <c r="B771" i="9"/>
  <c r="G770" i="9"/>
  <c r="F770" i="9"/>
  <c r="E770" i="9"/>
  <c r="D770" i="9"/>
  <c r="C770" i="9"/>
  <c r="B770" i="9"/>
  <c r="G769" i="9"/>
  <c r="F769" i="9"/>
  <c r="E769" i="9"/>
  <c r="D769" i="9"/>
  <c r="C769" i="9"/>
  <c r="B769" i="9"/>
  <c r="G768" i="9"/>
  <c r="F768" i="9"/>
  <c r="E768" i="9"/>
  <c r="D768" i="9"/>
  <c r="C768" i="9"/>
  <c r="B768" i="9"/>
  <c r="G767" i="9"/>
  <c r="F767" i="9"/>
  <c r="E767" i="9"/>
  <c r="D767" i="9"/>
  <c r="C767" i="9"/>
  <c r="B767" i="9"/>
  <c r="G766" i="9"/>
  <c r="F766" i="9"/>
  <c r="E766" i="9"/>
  <c r="D766" i="9"/>
  <c r="C766" i="9"/>
  <c r="B766" i="9"/>
  <c r="G765" i="9"/>
  <c r="F765" i="9"/>
  <c r="E765" i="9"/>
  <c r="D765" i="9"/>
  <c r="C765" i="9"/>
  <c r="B765" i="9"/>
  <c r="G764" i="9"/>
  <c r="F764" i="9"/>
  <c r="E764" i="9"/>
  <c r="D764" i="9"/>
  <c r="C764" i="9"/>
  <c r="B764" i="9"/>
  <c r="G763" i="9"/>
  <c r="F763" i="9"/>
  <c r="E763" i="9"/>
  <c r="D763" i="9"/>
  <c r="C763" i="9"/>
  <c r="B763" i="9"/>
  <c r="G762" i="9"/>
  <c r="F762" i="9"/>
  <c r="E762" i="9"/>
  <c r="D762" i="9"/>
  <c r="C762" i="9"/>
  <c r="B762" i="9"/>
  <c r="G761" i="9"/>
  <c r="F761" i="9"/>
  <c r="E761" i="9"/>
  <c r="D761" i="9"/>
  <c r="C761" i="9"/>
  <c r="B761" i="9"/>
  <c r="G760" i="9"/>
  <c r="F760" i="9"/>
  <c r="E760" i="9"/>
  <c r="D760" i="9"/>
  <c r="C760" i="9"/>
  <c r="B760" i="9"/>
  <c r="G759" i="9"/>
  <c r="F759" i="9"/>
  <c r="E759" i="9"/>
  <c r="D759" i="9"/>
  <c r="C759" i="9"/>
  <c r="B759" i="9"/>
  <c r="G758" i="9"/>
  <c r="F758" i="9"/>
  <c r="E758" i="9"/>
  <c r="D758" i="9"/>
  <c r="C758" i="9"/>
  <c r="B758" i="9"/>
  <c r="G757" i="9"/>
  <c r="F757" i="9"/>
  <c r="E757" i="9"/>
  <c r="D757" i="9"/>
  <c r="C757" i="9"/>
  <c r="B757" i="9"/>
  <c r="G756" i="9"/>
  <c r="F756" i="9"/>
  <c r="E756" i="9"/>
  <c r="D756" i="9"/>
  <c r="C756" i="9"/>
  <c r="B756" i="9"/>
  <c r="G755" i="9"/>
  <c r="E755" i="9"/>
  <c r="D755" i="9"/>
  <c r="C755" i="9"/>
  <c r="G754" i="9"/>
  <c r="E754" i="9"/>
  <c r="C754" i="9"/>
  <c r="G753" i="9"/>
  <c r="E753" i="9"/>
  <c r="C753" i="9"/>
  <c r="G752" i="9"/>
  <c r="E752" i="9"/>
  <c r="C752" i="9"/>
  <c r="F751" i="9"/>
  <c r="D751" i="9"/>
  <c r="B751" i="9"/>
  <c r="G750" i="9"/>
  <c r="E750" i="9"/>
  <c r="C750" i="9"/>
  <c r="F749" i="9"/>
  <c r="D749" i="9"/>
  <c r="C749" i="9"/>
  <c r="F746" i="9"/>
  <c r="E746" i="9"/>
  <c r="C746" i="9"/>
  <c r="F745" i="9"/>
  <c r="D745" i="9"/>
  <c r="B745" i="9"/>
  <c r="G744" i="9"/>
  <c r="D744" i="9"/>
  <c r="C744" i="9"/>
  <c r="G743" i="9"/>
  <c r="E743" i="9"/>
  <c r="C743" i="9"/>
  <c r="G742" i="9"/>
  <c r="E742" i="9"/>
  <c r="C742" i="9"/>
  <c r="G741" i="9"/>
  <c r="E741" i="9"/>
  <c r="D741" i="9"/>
  <c r="C741" i="9"/>
  <c r="B741" i="9"/>
  <c r="G740" i="9"/>
  <c r="F740" i="9"/>
  <c r="E740" i="9"/>
  <c r="D740" i="9"/>
  <c r="C740" i="9"/>
  <c r="B740" i="9"/>
  <c r="G739" i="9"/>
  <c r="F739" i="9"/>
  <c r="E739" i="9"/>
  <c r="D739" i="9"/>
  <c r="C739" i="9"/>
  <c r="B739" i="9"/>
  <c r="G738" i="9"/>
  <c r="F738" i="9"/>
  <c r="E738" i="9"/>
  <c r="D738" i="9"/>
  <c r="C738" i="9"/>
  <c r="B738" i="9"/>
  <c r="G737" i="9"/>
  <c r="F737" i="9"/>
  <c r="E737" i="9"/>
  <c r="D737" i="9"/>
  <c r="C737" i="9"/>
  <c r="B737" i="9"/>
  <c r="G736" i="9"/>
  <c r="E736" i="9"/>
  <c r="C736" i="9"/>
  <c r="G735" i="9"/>
  <c r="E735" i="9"/>
  <c r="B735" i="9"/>
  <c r="G734" i="9"/>
  <c r="E734" i="9"/>
  <c r="C734" i="9"/>
  <c r="G733" i="9"/>
  <c r="E733" i="9"/>
  <c r="B733" i="9"/>
  <c r="G732" i="9"/>
  <c r="E732" i="9"/>
  <c r="B732" i="9"/>
  <c r="F731" i="9"/>
  <c r="D731" i="9"/>
  <c r="B731" i="9"/>
  <c r="F730" i="9"/>
  <c r="D730" i="9"/>
  <c r="B730" i="9"/>
  <c r="F729" i="9"/>
  <c r="D729" i="9"/>
  <c r="B729" i="9"/>
  <c r="F728" i="9"/>
  <c r="D728" i="9"/>
  <c r="B728" i="9"/>
  <c r="G727" i="9"/>
  <c r="E727" i="9"/>
  <c r="C727" i="9"/>
  <c r="G726" i="9"/>
  <c r="E726" i="9"/>
  <c r="C726" i="9"/>
  <c r="G725" i="9"/>
  <c r="E725" i="9"/>
  <c r="C725" i="9"/>
  <c r="F724" i="9"/>
  <c r="D724" i="9"/>
  <c r="B724" i="9"/>
  <c r="F723" i="9"/>
  <c r="D723" i="9"/>
  <c r="B723" i="9"/>
  <c r="F722" i="9"/>
  <c r="D722" i="9"/>
  <c r="B722" i="9"/>
  <c r="F721" i="9"/>
  <c r="D721" i="9"/>
  <c r="G720" i="9"/>
  <c r="F720" i="9"/>
  <c r="E720" i="9"/>
  <c r="C720" i="9"/>
  <c r="F719" i="9"/>
  <c r="D719" i="9"/>
  <c r="B719" i="9"/>
  <c r="G718" i="9"/>
  <c r="E718" i="9"/>
  <c r="B718" i="9"/>
  <c r="F717" i="9"/>
  <c r="D717" i="9"/>
  <c r="B717" i="9"/>
  <c r="F716" i="9"/>
  <c r="C716" i="9"/>
  <c r="F715" i="9"/>
  <c r="D715" i="9"/>
  <c r="B715" i="9"/>
  <c r="F714" i="9"/>
  <c r="D714" i="9"/>
  <c r="B714" i="9"/>
  <c r="F713" i="9"/>
  <c r="D713" i="9"/>
  <c r="B713" i="9"/>
  <c r="F712" i="9"/>
  <c r="D712" i="9"/>
  <c r="C712" i="9"/>
  <c r="B712" i="9"/>
  <c r="G711" i="9"/>
  <c r="F711" i="9"/>
  <c r="E711" i="9"/>
  <c r="D711" i="9"/>
  <c r="C711" i="9"/>
  <c r="B711" i="9"/>
  <c r="G710" i="9"/>
  <c r="F710" i="9"/>
  <c r="E710" i="9"/>
  <c r="D710" i="9"/>
  <c r="C710" i="9"/>
  <c r="B710" i="9"/>
  <c r="G709" i="9"/>
  <c r="F709" i="9"/>
  <c r="E709" i="9"/>
  <c r="D709" i="9"/>
  <c r="C709" i="9"/>
  <c r="B709" i="9"/>
  <c r="G708" i="9"/>
  <c r="F708" i="9"/>
  <c r="E708" i="9"/>
  <c r="D708" i="9"/>
  <c r="C708" i="9"/>
  <c r="B708" i="9"/>
  <c r="G707" i="9"/>
  <c r="F707" i="9"/>
  <c r="E707" i="9"/>
  <c r="D707" i="9"/>
  <c r="C707" i="9"/>
  <c r="B707" i="9"/>
  <c r="G706" i="9"/>
  <c r="F706" i="9"/>
  <c r="E706" i="9"/>
  <c r="D706" i="9"/>
  <c r="C706" i="9"/>
  <c r="B706" i="9"/>
  <c r="G705" i="9"/>
  <c r="F705" i="9"/>
  <c r="E705" i="9"/>
  <c r="D705" i="9"/>
  <c r="C705" i="9"/>
  <c r="B705" i="9"/>
  <c r="G704" i="9"/>
  <c r="F704" i="9"/>
  <c r="E704" i="9"/>
  <c r="D704" i="9"/>
  <c r="C704" i="9"/>
  <c r="B704" i="9"/>
  <c r="G703" i="9"/>
  <c r="F703" i="9"/>
  <c r="E703" i="9"/>
  <c r="D703" i="9"/>
  <c r="C703" i="9"/>
  <c r="B703" i="9"/>
  <c r="G702" i="9"/>
  <c r="F702" i="9"/>
  <c r="E702" i="9"/>
  <c r="D702" i="9"/>
  <c r="C702" i="9"/>
  <c r="B702" i="9"/>
  <c r="G701" i="9"/>
  <c r="F701" i="9"/>
  <c r="E701" i="9"/>
  <c r="D701" i="9"/>
  <c r="C701" i="9"/>
  <c r="B701" i="9"/>
  <c r="G700" i="9"/>
  <c r="F700" i="9"/>
  <c r="E700" i="9"/>
  <c r="D700" i="9"/>
  <c r="C700" i="9"/>
  <c r="B700" i="9"/>
  <c r="G699" i="9"/>
  <c r="F699" i="9"/>
  <c r="E699" i="9"/>
  <c r="D699" i="9"/>
  <c r="C699" i="9"/>
  <c r="B699" i="9"/>
  <c r="G698" i="9"/>
  <c r="F698" i="9"/>
  <c r="E698" i="9"/>
  <c r="D698" i="9"/>
  <c r="C698" i="9"/>
  <c r="B698" i="9"/>
  <c r="G697" i="9"/>
  <c r="F697" i="9"/>
  <c r="E697" i="9"/>
  <c r="D697" i="9"/>
  <c r="C697" i="9"/>
  <c r="B697" i="9"/>
  <c r="G696" i="9"/>
  <c r="F696" i="9"/>
  <c r="E696" i="9"/>
  <c r="D696" i="9"/>
  <c r="C696" i="9"/>
  <c r="B696" i="9"/>
  <c r="G695" i="9"/>
  <c r="F695" i="9"/>
  <c r="E695" i="9"/>
  <c r="D695" i="9"/>
  <c r="C695" i="9"/>
  <c r="B695" i="9"/>
  <c r="G694" i="9"/>
  <c r="F694" i="9"/>
  <c r="E694" i="9"/>
  <c r="D694" i="9"/>
  <c r="C694" i="9"/>
  <c r="B694" i="9"/>
  <c r="G693" i="9"/>
  <c r="F693" i="9"/>
  <c r="E693" i="9"/>
  <c r="C693" i="9"/>
  <c r="B693" i="9"/>
  <c r="F692" i="9"/>
  <c r="E692" i="9"/>
  <c r="C692" i="9"/>
  <c r="G691" i="9"/>
  <c r="E691" i="9"/>
  <c r="C691" i="9"/>
  <c r="G690" i="9"/>
  <c r="E690" i="9"/>
  <c r="C690" i="9"/>
  <c r="G689" i="9"/>
  <c r="E689" i="9"/>
  <c r="C689" i="9"/>
  <c r="E688" i="9"/>
  <c r="C688" i="9"/>
  <c r="G687" i="9"/>
  <c r="E687" i="9"/>
  <c r="C687" i="9"/>
  <c r="G686" i="9"/>
  <c r="E686" i="9"/>
  <c r="C686" i="9"/>
  <c r="G685" i="9"/>
  <c r="E685" i="9"/>
  <c r="C685" i="9"/>
  <c r="G684" i="9"/>
  <c r="E684" i="9"/>
  <c r="C684" i="9"/>
  <c r="F683" i="9"/>
  <c r="D683" i="9"/>
  <c r="B683" i="9"/>
  <c r="G682" i="9"/>
  <c r="D682" i="9"/>
  <c r="B682" i="9"/>
  <c r="G681" i="9"/>
  <c r="E681" i="9"/>
  <c r="C681" i="9"/>
  <c r="G680" i="9"/>
  <c r="D680" i="9"/>
  <c r="C680" i="9"/>
  <c r="G679" i="9"/>
  <c r="E679" i="9"/>
  <c r="C679" i="9"/>
  <c r="G678" i="9"/>
  <c r="E678" i="9"/>
  <c r="B678" i="9"/>
  <c r="G677" i="9"/>
  <c r="D677" i="9"/>
  <c r="B677" i="9"/>
  <c r="G676" i="9"/>
  <c r="E676" i="9"/>
  <c r="C676" i="9"/>
  <c r="F675" i="9"/>
  <c r="E675" i="9"/>
  <c r="D675" i="9"/>
  <c r="C675" i="9"/>
  <c r="B675" i="9"/>
  <c r="G674" i="9"/>
  <c r="F674" i="9"/>
  <c r="E674" i="9"/>
  <c r="D674" i="9"/>
  <c r="C674" i="9"/>
  <c r="B674" i="9"/>
  <c r="G673" i="9"/>
  <c r="F673" i="9"/>
  <c r="E673" i="9"/>
  <c r="D673" i="9"/>
  <c r="C673" i="9"/>
  <c r="B673" i="9"/>
  <c r="G672" i="9"/>
  <c r="F672" i="9"/>
  <c r="D672" i="9"/>
  <c r="B672" i="9"/>
  <c r="E671" i="9"/>
  <c r="C671" i="9"/>
  <c r="G670" i="9"/>
  <c r="E670" i="9"/>
  <c r="C670" i="9"/>
  <c r="G669" i="9"/>
  <c r="E669" i="9"/>
  <c r="C669" i="9"/>
  <c r="G668" i="9"/>
  <c r="E668" i="9"/>
  <c r="C668" i="9"/>
  <c r="E667" i="9"/>
  <c r="C667" i="9"/>
  <c r="F666" i="9"/>
  <c r="D666" i="9"/>
  <c r="G665" i="9"/>
  <c r="E665" i="9"/>
  <c r="C665" i="9"/>
  <c r="E664" i="9"/>
  <c r="C664" i="9"/>
  <c r="G663" i="9"/>
  <c r="E663" i="9"/>
  <c r="C663" i="9"/>
  <c r="G662" i="9"/>
  <c r="E662" i="9"/>
  <c r="B662" i="9"/>
  <c r="G661" i="9"/>
  <c r="E661" i="9"/>
  <c r="C661" i="9"/>
  <c r="G660" i="9"/>
  <c r="E660" i="9"/>
  <c r="C660" i="9"/>
  <c r="F659" i="9"/>
  <c r="D659" i="9"/>
  <c r="B659" i="9"/>
  <c r="F658" i="9"/>
  <c r="D658" i="9"/>
  <c r="B658" i="9"/>
  <c r="F657" i="9"/>
  <c r="D657" i="9"/>
  <c r="B657" i="9"/>
  <c r="F656" i="9"/>
  <c r="C656" i="9"/>
  <c r="D655" i="9"/>
  <c r="F654" i="9"/>
  <c r="D654" i="9"/>
  <c r="B654" i="9"/>
  <c r="G653" i="9"/>
  <c r="E653" i="9"/>
  <c r="C653" i="9"/>
  <c r="G652" i="9"/>
  <c r="E652" i="9"/>
  <c r="C652" i="9"/>
  <c r="G651" i="9"/>
  <c r="E651" i="9"/>
  <c r="C651" i="9"/>
  <c r="G650" i="9"/>
  <c r="E650" i="9"/>
  <c r="C650" i="9"/>
  <c r="F649" i="9"/>
  <c r="D649" i="9"/>
  <c r="B649" i="9"/>
  <c r="F648" i="9"/>
  <c r="D648" i="9"/>
  <c r="B648" i="9"/>
  <c r="F647" i="9"/>
  <c r="D647" i="9"/>
  <c r="B647" i="9"/>
  <c r="F646" i="9"/>
  <c r="D646" i="9"/>
  <c r="B646" i="9"/>
  <c r="F645" i="9"/>
  <c r="D645" i="9"/>
  <c r="B645" i="9"/>
  <c r="F644" i="9"/>
  <c r="D644" i="9"/>
  <c r="B644" i="9"/>
  <c r="G643" i="9"/>
  <c r="E643" i="9"/>
  <c r="D643" i="9"/>
  <c r="B643" i="9"/>
  <c r="F642" i="9"/>
  <c r="D642" i="9"/>
  <c r="B642" i="9"/>
  <c r="G641" i="9"/>
  <c r="E641" i="9"/>
  <c r="C641" i="9"/>
  <c r="G640" i="9"/>
  <c r="E640" i="9"/>
  <c r="C640" i="9"/>
  <c r="F639" i="9"/>
  <c r="D639" i="9"/>
  <c r="B639" i="9"/>
  <c r="F638" i="9"/>
  <c r="E638" i="9"/>
  <c r="B638" i="9"/>
  <c r="G637" i="9"/>
  <c r="D637" i="9"/>
  <c r="B637" i="9"/>
  <c r="F636" i="9"/>
  <c r="D636" i="9"/>
  <c r="G635" i="9"/>
  <c r="E635" i="9"/>
  <c r="C635" i="9"/>
  <c r="G634" i="9"/>
  <c r="D634" i="9"/>
  <c r="B634" i="9"/>
  <c r="F633" i="9"/>
  <c r="D633" i="9"/>
  <c r="C633" i="9"/>
  <c r="G632" i="9"/>
  <c r="F632" i="9"/>
  <c r="D632" i="9"/>
  <c r="B632" i="9"/>
  <c r="G631" i="9"/>
  <c r="E631" i="9"/>
  <c r="B631" i="9"/>
  <c r="F630" i="9"/>
  <c r="D630" i="9"/>
  <c r="B630" i="9"/>
  <c r="F629" i="9"/>
  <c r="D629" i="9"/>
  <c r="B629" i="9"/>
  <c r="F628" i="9"/>
  <c r="D628" i="9"/>
  <c r="B628" i="9"/>
  <c r="F627" i="9"/>
  <c r="D627" i="9"/>
  <c r="B627" i="9"/>
  <c r="F626" i="9"/>
  <c r="D626" i="9"/>
  <c r="B626" i="9"/>
  <c r="G625" i="9"/>
  <c r="E625" i="9"/>
  <c r="B625" i="9"/>
  <c r="F624" i="9"/>
  <c r="D624" i="9"/>
  <c r="C624" i="9"/>
  <c r="G623" i="9"/>
  <c r="E623" i="9"/>
  <c r="B623" i="9"/>
  <c r="G622" i="9"/>
  <c r="E622" i="9"/>
  <c r="C622" i="9"/>
  <c r="F621" i="9"/>
  <c r="D621" i="9"/>
  <c r="B621" i="9"/>
  <c r="F620" i="9"/>
  <c r="C620" i="9"/>
  <c r="G619" i="9"/>
  <c r="D619" i="9"/>
  <c r="C619" i="9"/>
  <c r="G618" i="9"/>
  <c r="D618" i="9"/>
  <c r="B618" i="9"/>
  <c r="G617" i="9"/>
  <c r="E617" i="9"/>
  <c r="C617" i="9"/>
  <c r="F616" i="9"/>
  <c r="D616" i="9"/>
  <c r="B616" i="9"/>
  <c r="F615" i="9"/>
  <c r="E615" i="9"/>
  <c r="C615" i="9"/>
  <c r="G614" i="9"/>
  <c r="E614" i="9"/>
  <c r="C614" i="9"/>
  <c r="G613" i="9"/>
  <c r="E613" i="9"/>
  <c r="C613" i="9"/>
  <c r="F612" i="9"/>
  <c r="D612" i="9"/>
  <c r="C612" i="9"/>
  <c r="G611" i="9"/>
  <c r="E611" i="9"/>
  <c r="C611" i="9"/>
  <c r="G610" i="9"/>
  <c r="E610" i="9"/>
  <c r="C610" i="9"/>
  <c r="F609" i="9"/>
  <c r="E609" i="9"/>
  <c r="C609" i="9"/>
  <c r="F608" i="9"/>
  <c r="D608" i="9"/>
  <c r="B608" i="9"/>
  <c r="F607" i="9"/>
  <c r="D607" i="9"/>
  <c r="B607" i="9"/>
  <c r="F606" i="9"/>
  <c r="D606" i="9"/>
  <c r="B606" i="9"/>
  <c r="F605" i="9"/>
  <c r="D605" i="9"/>
  <c r="C605" i="9"/>
  <c r="F604" i="9"/>
  <c r="D604" i="9"/>
  <c r="B604" i="9"/>
  <c r="G603" i="9"/>
  <c r="E603" i="9"/>
  <c r="B603" i="9"/>
  <c r="G602" i="9"/>
  <c r="D602" i="9"/>
  <c r="B602" i="9"/>
  <c r="F601" i="9"/>
  <c r="D601" i="9"/>
  <c r="B601" i="9"/>
  <c r="C583" i="9"/>
  <c r="G582" i="9"/>
  <c r="E582" i="9"/>
  <c r="C582" i="9"/>
  <c r="G581" i="9"/>
  <c r="E581" i="9"/>
  <c r="C581" i="9"/>
  <c r="G580" i="9"/>
  <c r="E580" i="9"/>
  <c r="C580" i="9"/>
  <c r="G579" i="9"/>
  <c r="E579" i="9"/>
  <c r="B579" i="9"/>
  <c r="F578" i="9"/>
  <c r="D578" i="9"/>
  <c r="B578" i="9"/>
  <c r="G577" i="9"/>
  <c r="E577" i="9"/>
  <c r="C577" i="9"/>
  <c r="G576" i="9"/>
  <c r="F576" i="9"/>
  <c r="D576" i="9"/>
  <c r="B576" i="9"/>
  <c r="F575" i="9"/>
  <c r="D575" i="9"/>
  <c r="B575" i="9"/>
  <c r="F574" i="9"/>
  <c r="D574" i="9"/>
  <c r="B574" i="9"/>
  <c r="F573" i="9"/>
  <c r="D573" i="9"/>
  <c r="B573" i="9"/>
  <c r="F572" i="9"/>
  <c r="D572" i="9"/>
  <c r="B572" i="9"/>
  <c r="F571" i="9"/>
  <c r="D571" i="9"/>
  <c r="B571" i="9"/>
  <c r="G570" i="9"/>
  <c r="E570" i="9"/>
  <c r="C570" i="9"/>
  <c r="G569" i="9"/>
  <c r="E569" i="9"/>
  <c r="C569" i="9"/>
  <c r="F568" i="9"/>
  <c r="D568" i="9"/>
  <c r="C568" i="9"/>
  <c r="G567" i="9"/>
  <c r="E567" i="9"/>
  <c r="C567" i="9"/>
  <c r="G566" i="9"/>
  <c r="D566" i="9"/>
  <c r="B566" i="9"/>
  <c r="F565" i="9"/>
  <c r="D565" i="9"/>
  <c r="B565" i="9"/>
  <c r="F564" i="9"/>
  <c r="D564" i="9"/>
  <c r="B564" i="9"/>
  <c r="F563" i="9"/>
  <c r="D563" i="9"/>
  <c r="C563" i="9"/>
  <c r="G562" i="9"/>
  <c r="E562" i="9"/>
  <c r="C562" i="9"/>
  <c r="G561" i="9"/>
  <c r="E561" i="9"/>
  <c r="C561" i="9"/>
  <c r="G560" i="9"/>
  <c r="E560" i="9"/>
  <c r="C560" i="9"/>
  <c r="G559" i="9"/>
  <c r="E559" i="9"/>
  <c r="D559" i="9"/>
  <c r="B559" i="9"/>
  <c r="F558" i="9"/>
  <c r="D558" i="9"/>
  <c r="B558" i="9"/>
  <c r="F557" i="9"/>
  <c r="D557" i="9"/>
  <c r="B557" i="9"/>
  <c r="F556" i="9"/>
  <c r="E556" i="9"/>
  <c r="B556" i="9"/>
  <c r="F555" i="9"/>
  <c r="D555" i="9"/>
  <c r="B555" i="9"/>
  <c r="F554" i="9"/>
  <c r="D554" i="9"/>
  <c r="B554" i="9"/>
  <c r="F553" i="9"/>
  <c r="D553" i="9"/>
  <c r="B553" i="9"/>
  <c r="G552" i="9"/>
  <c r="E552" i="9"/>
  <c r="C552" i="9"/>
  <c r="G551" i="9"/>
  <c r="E551" i="9"/>
  <c r="C551" i="9"/>
  <c r="G550" i="9"/>
  <c r="D550" i="9"/>
  <c r="B550" i="9"/>
  <c r="F549" i="9"/>
  <c r="D549" i="9"/>
  <c r="B549" i="9"/>
  <c r="F548" i="9"/>
  <c r="D548" i="9"/>
  <c r="B548" i="9"/>
  <c r="F547" i="9"/>
  <c r="D547" i="9"/>
  <c r="B547" i="9"/>
  <c r="G546" i="9"/>
  <c r="E546" i="9"/>
  <c r="B546" i="9"/>
  <c r="G545" i="9"/>
  <c r="E545" i="9"/>
  <c r="C545" i="9"/>
  <c r="C544" i="9"/>
  <c r="G543" i="9"/>
  <c r="F543" i="9"/>
  <c r="E543" i="9"/>
  <c r="D543" i="9"/>
  <c r="C543" i="9"/>
  <c r="B543" i="9"/>
  <c r="G542" i="9"/>
  <c r="F542" i="9"/>
  <c r="E542" i="9"/>
  <c r="D542" i="9"/>
  <c r="C542" i="9"/>
  <c r="B542" i="9"/>
  <c r="G541" i="9"/>
  <c r="F541" i="9"/>
  <c r="E541" i="9"/>
  <c r="D541" i="9"/>
  <c r="C541" i="9"/>
  <c r="B541" i="9"/>
  <c r="G540" i="9"/>
  <c r="F540" i="9"/>
  <c r="E540" i="9"/>
  <c r="D540" i="9"/>
  <c r="C540" i="9"/>
  <c r="B540" i="9"/>
  <c r="G539" i="9"/>
  <c r="F539" i="9"/>
  <c r="E539" i="9"/>
  <c r="D539" i="9"/>
  <c r="C539" i="9"/>
  <c r="B539" i="9"/>
  <c r="G538" i="9"/>
  <c r="F538" i="9"/>
  <c r="E538" i="9"/>
  <c r="D538" i="9"/>
  <c r="C538" i="9"/>
  <c r="B538" i="9"/>
  <c r="G537" i="9"/>
  <c r="F537" i="9"/>
  <c r="E537" i="9"/>
  <c r="D537" i="9"/>
  <c r="C537" i="9"/>
  <c r="B537" i="9"/>
  <c r="G536" i="9"/>
  <c r="F536" i="9"/>
  <c r="E536" i="9"/>
  <c r="D536" i="9"/>
  <c r="C536" i="9"/>
  <c r="B536" i="9"/>
  <c r="G535" i="9"/>
  <c r="F535" i="9"/>
  <c r="E535" i="9"/>
  <c r="D535" i="9"/>
  <c r="C535" i="9"/>
  <c r="B535" i="9"/>
  <c r="G534" i="9"/>
  <c r="F534" i="9"/>
  <c r="E534" i="9"/>
  <c r="D534" i="9"/>
  <c r="C534" i="9"/>
  <c r="B534" i="9"/>
  <c r="G533" i="9"/>
  <c r="F533" i="9"/>
  <c r="E533" i="9"/>
  <c r="D533" i="9"/>
  <c r="C533" i="9"/>
  <c r="B533" i="9"/>
  <c r="F532" i="9"/>
  <c r="D532" i="9"/>
  <c r="C532" i="9"/>
  <c r="G531" i="9"/>
  <c r="F531" i="9"/>
  <c r="D531" i="9"/>
  <c r="B531" i="9"/>
  <c r="F530" i="9"/>
  <c r="D530" i="9"/>
  <c r="B530" i="9"/>
  <c r="G529" i="9"/>
  <c r="E529" i="9"/>
  <c r="C529" i="9"/>
  <c r="G528" i="9"/>
  <c r="F528" i="9"/>
  <c r="D528" i="9"/>
  <c r="B528" i="9"/>
  <c r="F527" i="9"/>
  <c r="D527" i="9"/>
  <c r="B527" i="9"/>
  <c r="D526" i="9"/>
  <c r="B526" i="9"/>
  <c r="G525" i="9"/>
  <c r="F525" i="9"/>
  <c r="C525" i="9"/>
  <c r="G524" i="9"/>
  <c r="F524" i="9"/>
  <c r="E524" i="9"/>
  <c r="G523" i="9"/>
  <c r="F523" i="9"/>
  <c r="D523" i="9"/>
  <c r="B523" i="9"/>
  <c r="F522" i="9"/>
  <c r="D522" i="9"/>
  <c r="B522" i="9"/>
  <c r="F521" i="9"/>
  <c r="B521" i="9"/>
  <c r="E520" i="9"/>
  <c r="C520" i="9"/>
  <c r="G519" i="9"/>
  <c r="E519" i="9"/>
  <c r="C519" i="9"/>
  <c r="F518" i="9"/>
  <c r="E518" i="9"/>
  <c r="C518" i="9"/>
  <c r="B518" i="9"/>
  <c r="E517" i="9"/>
  <c r="C517" i="9"/>
  <c r="B517" i="9"/>
  <c r="F516" i="9"/>
  <c r="E516" i="9"/>
  <c r="C516" i="9"/>
  <c r="G515" i="9"/>
  <c r="E515" i="9"/>
  <c r="C515" i="9"/>
  <c r="G514" i="9"/>
  <c r="E514" i="9"/>
  <c r="C514" i="9"/>
  <c r="F513" i="9"/>
  <c r="D513" i="9"/>
  <c r="C513" i="9"/>
  <c r="G512" i="9"/>
  <c r="F512" i="9"/>
  <c r="D512" i="9"/>
  <c r="B512" i="9"/>
  <c r="F511" i="9"/>
  <c r="C511" i="9"/>
  <c r="G510" i="9"/>
  <c r="F510" i="9"/>
  <c r="D510" i="9"/>
  <c r="B510" i="9"/>
  <c r="G509" i="9"/>
  <c r="D509" i="9"/>
  <c r="B509" i="9"/>
  <c r="G508" i="9"/>
  <c r="F508" i="9"/>
  <c r="E508" i="9"/>
  <c r="D508" i="9"/>
  <c r="C508" i="9"/>
  <c r="B508" i="9"/>
  <c r="G507" i="9"/>
  <c r="F507" i="9"/>
  <c r="E507" i="9"/>
  <c r="D507" i="9"/>
  <c r="C507" i="9"/>
  <c r="B507" i="9"/>
  <c r="G506" i="9"/>
  <c r="F506" i="9"/>
  <c r="E506" i="9"/>
  <c r="D506" i="9"/>
  <c r="C506" i="9"/>
  <c r="B506" i="9"/>
  <c r="G505" i="9"/>
  <c r="F505" i="9"/>
  <c r="E505" i="9"/>
  <c r="D505" i="9"/>
  <c r="C505" i="9"/>
  <c r="B505" i="9"/>
  <c r="G504" i="9"/>
  <c r="F504" i="9"/>
  <c r="E504" i="9"/>
  <c r="D504" i="9"/>
  <c r="C504" i="9"/>
  <c r="B504" i="9"/>
  <c r="G503" i="9"/>
  <c r="F503" i="9"/>
  <c r="E503" i="9"/>
  <c r="D503" i="9"/>
  <c r="C503" i="9"/>
  <c r="B503" i="9"/>
  <c r="G502" i="9"/>
  <c r="F502" i="9"/>
  <c r="E502" i="9"/>
  <c r="D502" i="9"/>
  <c r="C502" i="9"/>
  <c r="B502" i="9"/>
  <c r="G501" i="9"/>
  <c r="F501" i="9"/>
  <c r="E501" i="9"/>
  <c r="D501" i="9"/>
  <c r="C501" i="9"/>
  <c r="B501" i="9"/>
  <c r="G500" i="9"/>
  <c r="F500" i="9"/>
  <c r="E500" i="9"/>
  <c r="D500" i="9"/>
  <c r="C500" i="9"/>
  <c r="B500" i="9"/>
  <c r="G499" i="9"/>
  <c r="F499" i="9"/>
  <c r="E499" i="9"/>
  <c r="D499" i="9"/>
  <c r="C499" i="9"/>
  <c r="B499" i="9"/>
  <c r="G498" i="9"/>
  <c r="F498" i="9"/>
  <c r="E498" i="9"/>
  <c r="D498" i="9"/>
  <c r="C498" i="9"/>
  <c r="B498" i="9"/>
  <c r="G497" i="9"/>
  <c r="F497" i="9"/>
  <c r="E497" i="9"/>
  <c r="D497" i="9"/>
  <c r="C497" i="9"/>
  <c r="B497" i="9"/>
  <c r="G496" i="9"/>
  <c r="F496" i="9"/>
  <c r="E496" i="9"/>
  <c r="D496" i="9"/>
  <c r="C496" i="9"/>
  <c r="B496" i="9"/>
  <c r="G495" i="9"/>
  <c r="F495" i="9"/>
  <c r="E495" i="9"/>
  <c r="D495" i="9"/>
  <c r="C495" i="9"/>
  <c r="B495" i="9"/>
  <c r="G494" i="9"/>
  <c r="F494" i="9"/>
  <c r="E494" i="9"/>
  <c r="D494" i="9"/>
  <c r="C494" i="9"/>
  <c r="B494" i="9"/>
  <c r="G493" i="9"/>
  <c r="F493" i="9"/>
  <c r="E493" i="9"/>
  <c r="D493" i="9"/>
  <c r="C493" i="9"/>
  <c r="B493" i="9"/>
  <c r="G492" i="9"/>
  <c r="F492" i="9"/>
  <c r="E492" i="9"/>
  <c r="D492" i="9"/>
  <c r="C492" i="9"/>
  <c r="B492" i="9"/>
  <c r="G491" i="9"/>
  <c r="F491" i="9"/>
  <c r="E491" i="9"/>
  <c r="D491" i="9"/>
  <c r="C491" i="9"/>
  <c r="B491" i="9"/>
  <c r="G490" i="9"/>
  <c r="F490" i="9"/>
  <c r="E490" i="9"/>
  <c r="D490" i="9"/>
  <c r="C490" i="9"/>
  <c r="B490" i="9"/>
  <c r="G489" i="9"/>
  <c r="F489" i="9"/>
  <c r="E489" i="9"/>
  <c r="D489" i="9"/>
  <c r="C489" i="9"/>
  <c r="B489" i="9"/>
  <c r="G488" i="9"/>
  <c r="F488" i="9"/>
  <c r="E488" i="9"/>
  <c r="D488" i="9"/>
  <c r="C488" i="9"/>
  <c r="B488" i="9"/>
  <c r="G487" i="9"/>
  <c r="F487" i="9"/>
  <c r="E487" i="9"/>
  <c r="D487" i="9"/>
  <c r="C487" i="9"/>
  <c r="B487" i="9"/>
  <c r="G486" i="9"/>
  <c r="F486" i="9"/>
  <c r="E486" i="9"/>
  <c r="D486" i="9"/>
  <c r="C486" i="9"/>
  <c r="B486" i="9"/>
  <c r="G485" i="9"/>
  <c r="F485" i="9"/>
  <c r="E485" i="9"/>
  <c r="D485" i="9"/>
  <c r="C485" i="9"/>
  <c r="B485" i="9"/>
  <c r="G484" i="9"/>
  <c r="F484" i="9"/>
  <c r="E484" i="9"/>
  <c r="D484" i="9"/>
  <c r="C484" i="9"/>
  <c r="B484" i="9"/>
  <c r="G483" i="9"/>
  <c r="E483" i="9"/>
  <c r="B483" i="9"/>
  <c r="G482" i="9"/>
  <c r="E482" i="9"/>
  <c r="C482" i="9"/>
  <c r="G481" i="9"/>
  <c r="E481" i="9"/>
  <c r="C481" i="9"/>
  <c r="G480" i="9"/>
  <c r="F480" i="9"/>
  <c r="D480" i="9"/>
  <c r="B480" i="9"/>
  <c r="F479" i="9"/>
  <c r="C479" i="9"/>
  <c r="B479" i="9"/>
  <c r="E478" i="9"/>
  <c r="C478" i="9"/>
  <c r="G477" i="9"/>
  <c r="E477" i="9"/>
  <c r="B477" i="9"/>
  <c r="F476" i="9"/>
  <c r="D476" i="9"/>
  <c r="B476" i="9"/>
  <c r="E475" i="9"/>
  <c r="C475" i="9"/>
  <c r="G474" i="9"/>
  <c r="E474" i="9"/>
  <c r="C474" i="9"/>
  <c r="B474" i="9"/>
  <c r="E473" i="9"/>
  <c r="D473" i="9"/>
  <c r="B473" i="9"/>
  <c r="F472" i="9"/>
  <c r="C472" i="9"/>
  <c r="B472" i="9"/>
  <c r="G471" i="9"/>
  <c r="E471" i="9"/>
  <c r="B471" i="9"/>
  <c r="E470" i="9"/>
  <c r="C470" i="9"/>
  <c r="G469" i="9"/>
  <c r="E469" i="9"/>
  <c r="C469" i="9"/>
  <c r="G468" i="9"/>
  <c r="E468" i="9"/>
  <c r="C468" i="9"/>
  <c r="F467" i="9"/>
  <c r="D467" i="9"/>
  <c r="B467" i="9"/>
  <c r="F466" i="9"/>
  <c r="E466" i="9"/>
  <c r="D466" i="9"/>
  <c r="C466" i="9"/>
  <c r="B466" i="9"/>
  <c r="G465" i="9"/>
  <c r="F465" i="9"/>
  <c r="E465" i="9"/>
  <c r="D465" i="9"/>
  <c r="C465" i="9"/>
  <c r="B465" i="9"/>
  <c r="G464" i="9"/>
  <c r="F464" i="9"/>
  <c r="E464" i="9"/>
  <c r="D464" i="9"/>
  <c r="C464" i="9"/>
  <c r="B464" i="9"/>
  <c r="G463" i="9"/>
  <c r="F463" i="9"/>
  <c r="E463" i="9"/>
  <c r="D463" i="9"/>
  <c r="C463" i="9"/>
  <c r="B463" i="9"/>
  <c r="G462" i="9"/>
  <c r="F462" i="9"/>
  <c r="E462" i="9"/>
  <c r="D462" i="9"/>
  <c r="C462" i="9"/>
  <c r="B462" i="9"/>
  <c r="G461" i="9"/>
  <c r="F461" i="9"/>
  <c r="E461" i="9"/>
  <c r="D461" i="9"/>
  <c r="C461" i="9"/>
  <c r="B461" i="9"/>
  <c r="G460" i="9"/>
  <c r="F460" i="9"/>
  <c r="E460" i="9"/>
  <c r="D460" i="9"/>
  <c r="C460" i="9"/>
  <c r="B460" i="9"/>
  <c r="G459" i="9"/>
  <c r="F459" i="9"/>
  <c r="E459" i="9"/>
  <c r="D459" i="9"/>
  <c r="C459" i="9"/>
  <c r="B459" i="9"/>
  <c r="G458" i="9"/>
  <c r="F458" i="9"/>
  <c r="E458" i="9"/>
  <c r="D458" i="9"/>
  <c r="C458" i="9"/>
  <c r="B458" i="9"/>
  <c r="G457" i="9"/>
  <c r="F457" i="9"/>
  <c r="E457" i="9"/>
  <c r="D457" i="9"/>
  <c r="C457" i="9"/>
  <c r="B457" i="9"/>
  <c r="G456" i="9"/>
  <c r="F456" i="9"/>
  <c r="E456" i="9"/>
  <c r="D456" i="9"/>
  <c r="C456" i="9"/>
  <c r="B456" i="9"/>
  <c r="G455" i="9"/>
  <c r="F455" i="9"/>
  <c r="E455" i="9"/>
  <c r="D455" i="9"/>
  <c r="C455" i="9"/>
  <c r="B455" i="9"/>
  <c r="G454" i="9"/>
  <c r="F454" i="9"/>
  <c r="E454" i="9"/>
  <c r="D454" i="9"/>
  <c r="C454" i="9"/>
  <c r="B454" i="9"/>
  <c r="G453" i="9"/>
  <c r="F453" i="9"/>
  <c r="E453" i="9"/>
  <c r="D453" i="9"/>
  <c r="C453" i="9"/>
  <c r="B453" i="9"/>
  <c r="G452" i="9"/>
  <c r="F452" i="9"/>
  <c r="E452" i="9"/>
  <c r="D452" i="9"/>
  <c r="C452" i="9"/>
  <c r="B452" i="9"/>
  <c r="G451" i="9"/>
  <c r="F451" i="9"/>
  <c r="E451" i="9"/>
  <c r="D451" i="9"/>
  <c r="C451" i="9"/>
  <c r="B451" i="9"/>
  <c r="G450" i="9"/>
  <c r="F450" i="9"/>
  <c r="E450" i="9"/>
  <c r="D450" i="9"/>
  <c r="C450" i="9"/>
  <c r="B450" i="9"/>
  <c r="G449" i="9"/>
  <c r="F449" i="9"/>
  <c r="E449" i="9"/>
  <c r="D449" i="9"/>
  <c r="C449" i="9"/>
  <c r="B449" i="9"/>
  <c r="G448" i="9"/>
  <c r="F448" i="9"/>
  <c r="E448" i="9"/>
  <c r="D448" i="9"/>
  <c r="C448" i="9"/>
  <c r="B448" i="9"/>
  <c r="G447" i="9"/>
  <c r="F447" i="9"/>
  <c r="E447" i="9"/>
  <c r="D447" i="9"/>
  <c r="C447" i="9"/>
  <c r="B447" i="9"/>
  <c r="G446" i="9"/>
  <c r="F446" i="9"/>
  <c r="E446" i="9"/>
  <c r="D446" i="9"/>
  <c r="C446" i="9"/>
  <c r="B446" i="9"/>
  <c r="G445" i="9"/>
  <c r="F445" i="9"/>
  <c r="E445" i="9"/>
  <c r="D445" i="9"/>
  <c r="F440" i="9"/>
  <c r="D440" i="9"/>
  <c r="B440" i="9"/>
  <c r="F439" i="9"/>
  <c r="D439" i="9"/>
  <c r="B439" i="9"/>
  <c r="F438" i="9"/>
  <c r="D438" i="9"/>
  <c r="B438" i="9"/>
  <c r="F437" i="9"/>
  <c r="D437" i="9"/>
  <c r="B437" i="9"/>
  <c r="F436" i="9"/>
  <c r="D436" i="9"/>
  <c r="B436" i="9"/>
  <c r="G435" i="9"/>
  <c r="E435" i="9"/>
  <c r="D435" i="9"/>
  <c r="G434" i="9"/>
  <c r="E434" i="9"/>
  <c r="C434" i="9"/>
  <c r="E433" i="9"/>
  <c r="C433" i="9"/>
  <c r="E432" i="9"/>
  <c r="C432" i="9"/>
  <c r="G431" i="9"/>
  <c r="F431" i="9"/>
  <c r="D431" i="9"/>
  <c r="B431" i="9"/>
  <c r="F430" i="9"/>
  <c r="C430" i="9"/>
  <c r="B430" i="9"/>
  <c r="E429" i="9"/>
  <c r="B429" i="9"/>
  <c r="E428" i="9"/>
  <c r="C428" i="9"/>
  <c r="G427" i="9"/>
  <c r="F427" i="9"/>
  <c r="D427" i="9"/>
  <c r="B427" i="9"/>
  <c r="F426" i="9"/>
  <c r="D426" i="9"/>
  <c r="B426" i="9"/>
  <c r="E425" i="9"/>
  <c r="D425" i="9"/>
  <c r="B425" i="9"/>
  <c r="G424" i="9"/>
  <c r="F424" i="9"/>
  <c r="E424" i="9"/>
  <c r="D424" i="9"/>
  <c r="C424" i="9"/>
  <c r="B424" i="9"/>
  <c r="G422" i="9"/>
  <c r="E422" i="9"/>
  <c r="C422" i="9"/>
  <c r="G421" i="9"/>
  <c r="F421" i="9"/>
  <c r="D421" i="9"/>
  <c r="B421" i="9"/>
  <c r="E420" i="9"/>
  <c r="C420" i="9"/>
  <c r="G419" i="9"/>
  <c r="F419" i="9"/>
  <c r="D419" i="9"/>
  <c r="B419" i="9"/>
  <c r="G418" i="9"/>
  <c r="E418" i="9"/>
  <c r="C418" i="9"/>
  <c r="G417" i="9"/>
  <c r="E417" i="9"/>
  <c r="C417" i="9"/>
  <c r="E416" i="9"/>
  <c r="C416" i="9"/>
  <c r="G415" i="9"/>
  <c r="F415" i="9"/>
  <c r="D415" i="9"/>
  <c r="B415" i="9"/>
  <c r="F414" i="9"/>
  <c r="D414" i="9"/>
  <c r="B414" i="9"/>
  <c r="F413" i="9"/>
  <c r="D413" i="9"/>
  <c r="G412" i="9"/>
  <c r="F412" i="9"/>
  <c r="D412" i="9"/>
  <c r="B412" i="9"/>
  <c r="G411" i="9"/>
  <c r="F411" i="9"/>
  <c r="D411" i="9"/>
  <c r="B411" i="9"/>
  <c r="F410" i="9"/>
  <c r="E410" i="9"/>
  <c r="C410" i="9"/>
  <c r="G409" i="9"/>
  <c r="F409" i="9"/>
  <c r="D409" i="9"/>
  <c r="B409" i="9"/>
  <c r="F408" i="9"/>
  <c r="D408" i="9"/>
  <c r="B408" i="9"/>
  <c r="F407" i="9"/>
  <c r="D407" i="9"/>
  <c r="B407" i="9"/>
  <c r="F406" i="9"/>
  <c r="D406" i="9"/>
  <c r="B406" i="9"/>
  <c r="F405" i="9"/>
  <c r="E405" i="9"/>
  <c r="C405" i="9"/>
  <c r="G404" i="9"/>
  <c r="E404" i="9"/>
  <c r="C404" i="9"/>
  <c r="G403" i="9"/>
  <c r="E403" i="9"/>
  <c r="B403" i="9"/>
  <c r="F402" i="9"/>
  <c r="D402" i="9"/>
  <c r="B402" i="9"/>
  <c r="F401" i="9"/>
  <c r="D401" i="9"/>
  <c r="B401" i="9"/>
  <c r="F400" i="9"/>
  <c r="D400" i="9"/>
  <c r="B400" i="9"/>
  <c r="F399" i="9"/>
  <c r="D399" i="9"/>
  <c r="B399" i="9"/>
  <c r="G398" i="9"/>
  <c r="D398" i="9"/>
  <c r="C398" i="9"/>
  <c r="G397" i="9"/>
  <c r="E397" i="9"/>
  <c r="B397" i="9"/>
  <c r="F396" i="9"/>
  <c r="D396" i="9"/>
  <c r="B396" i="9"/>
  <c r="F395" i="9"/>
  <c r="D395" i="9"/>
  <c r="B395" i="9"/>
  <c r="F394" i="9"/>
  <c r="D394" i="9"/>
  <c r="C394" i="9"/>
  <c r="G393" i="9"/>
  <c r="E393" i="9"/>
  <c r="C393" i="9"/>
  <c r="G392" i="9"/>
  <c r="E392" i="9"/>
  <c r="C392" i="9"/>
  <c r="G391" i="9"/>
  <c r="E391" i="9"/>
  <c r="C391" i="9"/>
  <c r="G390" i="9"/>
  <c r="E390" i="9"/>
  <c r="C390" i="9"/>
  <c r="G389" i="9"/>
  <c r="F389" i="9"/>
  <c r="D389" i="9"/>
  <c r="B389" i="9"/>
  <c r="F388" i="9"/>
  <c r="D388" i="9"/>
  <c r="C388" i="9"/>
  <c r="G387" i="9"/>
  <c r="D387" i="9"/>
  <c r="C387" i="9"/>
  <c r="G386" i="9"/>
  <c r="E386" i="9"/>
  <c r="B386" i="9"/>
  <c r="G385" i="9"/>
  <c r="D385" i="9"/>
  <c r="B385" i="9"/>
  <c r="G384" i="9"/>
  <c r="E384" i="9"/>
  <c r="C384" i="9"/>
  <c r="G383" i="9"/>
  <c r="F383" i="9"/>
  <c r="E383" i="9"/>
  <c r="C383" i="9"/>
  <c r="F382" i="9"/>
  <c r="D382" i="9"/>
  <c r="B382" i="9"/>
  <c r="G381" i="9"/>
  <c r="E381" i="9"/>
  <c r="F380" i="9"/>
  <c r="D380" i="9"/>
  <c r="B380" i="9"/>
  <c r="F379" i="9"/>
  <c r="D379" i="9"/>
  <c r="B379" i="9"/>
  <c r="F378" i="9"/>
  <c r="D378" i="9"/>
  <c r="B378" i="9"/>
  <c r="F377" i="9"/>
  <c r="D377" i="9"/>
  <c r="B377" i="9"/>
  <c r="G376" i="9"/>
  <c r="E376" i="9"/>
  <c r="D376" i="9"/>
  <c r="B376" i="9"/>
  <c r="F375" i="9"/>
  <c r="D375" i="9"/>
  <c r="B375" i="9"/>
  <c r="F374" i="9"/>
  <c r="D374" i="9"/>
  <c r="C374" i="9"/>
  <c r="G373" i="9"/>
  <c r="E373" i="9"/>
  <c r="C373" i="9"/>
  <c r="F372" i="9"/>
  <c r="D372" i="9"/>
  <c r="C372" i="9"/>
  <c r="B372" i="9"/>
  <c r="F371" i="9"/>
  <c r="D371" i="9"/>
  <c r="B371" i="9"/>
  <c r="F370" i="9"/>
  <c r="D370" i="9"/>
  <c r="B370" i="9"/>
  <c r="F369" i="9"/>
  <c r="D369" i="9"/>
  <c r="B369" i="9"/>
  <c r="E368" i="9"/>
  <c r="C368" i="9"/>
  <c r="B368" i="9"/>
  <c r="F367" i="9"/>
  <c r="D367" i="9"/>
  <c r="C367" i="9"/>
  <c r="G366" i="9"/>
  <c r="E366" i="9"/>
  <c r="C366" i="9"/>
  <c r="G365" i="9"/>
  <c r="F365" i="9"/>
  <c r="D365" i="9"/>
  <c r="B365" i="9"/>
  <c r="E364" i="9"/>
  <c r="C364" i="9"/>
  <c r="G363" i="9"/>
  <c r="E363" i="9"/>
  <c r="C363" i="9"/>
  <c r="G362" i="9"/>
  <c r="F362" i="9"/>
  <c r="D362" i="9"/>
  <c r="B362" i="9"/>
  <c r="F361" i="9"/>
  <c r="D361" i="9"/>
  <c r="C361" i="9"/>
  <c r="F360" i="9"/>
  <c r="D360" i="9"/>
  <c r="B360" i="9"/>
  <c r="F359" i="9"/>
  <c r="D359" i="9"/>
  <c r="B359" i="9"/>
  <c r="G358" i="9"/>
  <c r="D358" i="9"/>
  <c r="C358" i="9"/>
  <c r="G357" i="9"/>
  <c r="D357" i="9"/>
  <c r="B357" i="9"/>
  <c r="F356" i="9"/>
  <c r="D356" i="9"/>
  <c r="B356" i="9"/>
  <c r="F355" i="9"/>
  <c r="E355" i="9"/>
  <c r="B355" i="9"/>
  <c r="G354" i="9"/>
  <c r="E354" i="9"/>
  <c r="C354" i="9"/>
  <c r="G353" i="9"/>
  <c r="D353" i="9"/>
  <c r="B353" i="9"/>
  <c r="F352" i="9"/>
  <c r="D352" i="9"/>
  <c r="B352" i="9"/>
  <c r="F351" i="9"/>
  <c r="D351" i="9"/>
  <c r="C351" i="9"/>
  <c r="G350" i="9"/>
  <c r="D350" i="9"/>
  <c r="C350" i="9"/>
  <c r="G349" i="9"/>
  <c r="E349" i="9"/>
  <c r="D349" i="9"/>
  <c r="B349" i="9"/>
  <c r="G348" i="9"/>
  <c r="D348" i="9"/>
  <c r="C348" i="9"/>
  <c r="F347" i="9"/>
  <c r="D347" i="9"/>
  <c r="C347" i="9"/>
  <c r="G346" i="9"/>
  <c r="E346" i="9"/>
  <c r="C346" i="9"/>
  <c r="G345" i="9"/>
  <c r="E345" i="9"/>
  <c r="D345" i="9"/>
  <c r="B345" i="9"/>
  <c r="F344" i="9"/>
  <c r="D344" i="9"/>
  <c r="B344" i="9"/>
  <c r="E343" i="9"/>
  <c r="D343" i="9"/>
  <c r="B343" i="9"/>
  <c r="F342" i="9"/>
  <c r="D342" i="9"/>
  <c r="B342" i="9"/>
  <c r="F341" i="9"/>
  <c r="E341" i="9"/>
  <c r="B341" i="9"/>
  <c r="F340" i="9"/>
  <c r="D340" i="9"/>
  <c r="B340" i="9"/>
  <c r="F339" i="9"/>
  <c r="D339" i="9"/>
  <c r="B339" i="9"/>
  <c r="G338" i="9"/>
  <c r="C321" i="9"/>
  <c r="G320" i="9"/>
  <c r="E320" i="9"/>
  <c r="C320" i="9"/>
  <c r="G319" i="9"/>
  <c r="F319" i="9"/>
  <c r="E319" i="9"/>
  <c r="C319" i="9"/>
  <c r="G318" i="9"/>
  <c r="F318" i="9"/>
  <c r="D318" i="9"/>
  <c r="B318" i="9"/>
  <c r="E317" i="9"/>
  <c r="C317" i="9"/>
  <c r="G316" i="9"/>
  <c r="E316" i="9"/>
  <c r="C316" i="9"/>
  <c r="G315" i="9"/>
  <c r="E315" i="9"/>
  <c r="C315" i="9"/>
  <c r="G314" i="9"/>
  <c r="E314" i="9"/>
  <c r="C314" i="9"/>
  <c r="G313" i="9"/>
  <c r="E313" i="9"/>
  <c r="C313" i="9"/>
  <c r="G312" i="9"/>
  <c r="E312" i="9"/>
  <c r="C312" i="9"/>
  <c r="G311" i="9"/>
  <c r="F311" i="9"/>
  <c r="E311" i="9"/>
  <c r="D311" i="9"/>
  <c r="C311" i="9"/>
  <c r="B311" i="9"/>
  <c r="G310" i="9"/>
  <c r="F310" i="9"/>
  <c r="D310" i="9"/>
  <c r="B310" i="9"/>
  <c r="F309" i="9"/>
  <c r="D309" i="9"/>
  <c r="B309" i="9"/>
  <c r="F308" i="9"/>
  <c r="D308" i="9"/>
  <c r="B308" i="9"/>
  <c r="F307" i="9"/>
  <c r="D307" i="9"/>
  <c r="B307" i="9"/>
  <c r="F306" i="9"/>
  <c r="D306" i="9"/>
  <c r="B306" i="9"/>
  <c r="F305" i="9"/>
  <c r="D305" i="9"/>
  <c r="B305" i="9"/>
  <c r="E304" i="9"/>
  <c r="C304" i="9"/>
  <c r="B304" i="9"/>
  <c r="F303" i="9"/>
  <c r="D303" i="9"/>
  <c r="B303" i="9"/>
  <c r="G302" i="9"/>
  <c r="E302" i="9"/>
  <c r="C302" i="9"/>
  <c r="F301" i="9"/>
  <c r="D301" i="9"/>
  <c r="F300" i="9"/>
  <c r="D300" i="9"/>
  <c r="B300" i="9"/>
  <c r="F299" i="9"/>
  <c r="D299" i="9"/>
  <c r="B299" i="9"/>
  <c r="F298" i="9"/>
  <c r="D298" i="9"/>
  <c r="B298" i="9"/>
  <c r="G297" i="9"/>
  <c r="E297" i="9"/>
  <c r="G284" i="9"/>
  <c r="E284" i="9"/>
  <c r="C284" i="9"/>
  <c r="F283" i="9"/>
  <c r="D283" i="9"/>
  <c r="B283" i="9"/>
  <c r="F282" i="9"/>
  <c r="D282" i="9"/>
  <c r="B282" i="9"/>
  <c r="G281" i="9"/>
  <c r="E281" i="9"/>
  <c r="C281" i="9"/>
  <c r="G280" i="9"/>
  <c r="E280" i="9"/>
  <c r="D280" i="9"/>
  <c r="C280" i="9"/>
  <c r="B280" i="9"/>
  <c r="G279" i="9"/>
  <c r="F279" i="9"/>
  <c r="E279" i="9"/>
  <c r="D279" i="9"/>
  <c r="C279" i="9"/>
  <c r="B279" i="9"/>
  <c r="G278" i="9"/>
  <c r="F278" i="9"/>
  <c r="E278" i="9"/>
  <c r="D278" i="9"/>
  <c r="C278" i="9"/>
  <c r="B278" i="9"/>
  <c r="E277" i="9"/>
  <c r="C277" i="9"/>
  <c r="G276" i="9"/>
  <c r="E276" i="9"/>
  <c r="D276" i="9"/>
  <c r="B276" i="9"/>
  <c r="E275" i="9"/>
  <c r="C275" i="9"/>
  <c r="G274" i="9"/>
  <c r="E274" i="9"/>
  <c r="C274" i="9"/>
  <c r="G273" i="9"/>
  <c r="E273" i="9"/>
  <c r="C273" i="9"/>
  <c r="G272" i="9"/>
  <c r="F272" i="9"/>
  <c r="D272" i="9"/>
  <c r="B272" i="9"/>
  <c r="C141" i="9"/>
  <c r="G140" i="9"/>
  <c r="C140" i="9"/>
  <c r="G139" i="9"/>
  <c r="C139" i="9"/>
  <c r="G138" i="9"/>
  <c r="E138" i="9"/>
  <c r="F137" i="9"/>
  <c r="C137" i="9"/>
  <c r="E136" i="9"/>
  <c r="F135" i="9"/>
  <c r="E134" i="9"/>
  <c r="G133" i="9"/>
  <c r="C133" i="9"/>
  <c r="B132" i="9"/>
  <c r="G131" i="9"/>
  <c r="D131" i="9"/>
  <c r="G130" i="9"/>
  <c r="D130" i="9"/>
  <c r="D129" i="9"/>
  <c r="E128" i="9"/>
  <c r="B128" i="9"/>
  <c r="D127" i="9"/>
  <c r="E126" i="9"/>
  <c r="B126" i="9"/>
  <c r="E125" i="9"/>
  <c r="B125" i="9"/>
  <c r="E124" i="9"/>
  <c r="B124" i="9"/>
  <c r="F123" i="9"/>
  <c r="C123" i="9"/>
  <c r="G122" i="9"/>
  <c r="E122" i="9"/>
  <c r="C122" i="9"/>
  <c r="D121" i="9"/>
  <c r="B121" i="9"/>
  <c r="E120" i="9"/>
  <c r="B120" i="9"/>
  <c r="F119" i="9"/>
  <c r="E118" i="9"/>
  <c r="B118" i="9"/>
  <c r="F117" i="9"/>
  <c r="B117" i="9"/>
  <c r="D116" i="9"/>
  <c r="D115" i="9"/>
  <c r="G114" i="9"/>
  <c r="D114" i="9"/>
  <c r="B114" i="9"/>
  <c r="F113" i="9"/>
  <c r="B113" i="9"/>
  <c r="F112" i="9"/>
  <c r="C112" i="9"/>
  <c r="G111" i="9"/>
  <c r="C111" i="9"/>
  <c r="B110" i="9"/>
  <c r="G109" i="9"/>
  <c r="D109" i="9"/>
  <c r="F108" i="9"/>
  <c r="B108" i="9"/>
  <c r="G107" i="9"/>
  <c r="C107" i="9"/>
  <c r="G106" i="9"/>
  <c r="D106" i="9"/>
  <c r="F105" i="9"/>
  <c r="B105" i="9"/>
  <c r="F104" i="9"/>
  <c r="F103" i="9"/>
  <c r="G102" i="9"/>
  <c r="D102" i="9"/>
  <c r="D101" i="9"/>
  <c r="G100" i="9"/>
  <c r="C100" i="9"/>
  <c r="E99" i="9"/>
  <c r="F98" i="9"/>
  <c r="C98" i="9"/>
  <c r="F97" i="9"/>
  <c r="F95" i="9"/>
  <c r="C95" i="9"/>
  <c r="C94" i="9"/>
  <c r="F93" i="9"/>
  <c r="C93" i="9"/>
  <c r="D92" i="9"/>
  <c r="E91" i="9"/>
  <c r="B91" i="9"/>
  <c r="G90" i="9"/>
  <c r="E90" i="9"/>
  <c r="C90" i="9"/>
  <c r="E89" i="9"/>
  <c r="C89" i="9"/>
  <c r="F88" i="9"/>
  <c r="C88" i="9"/>
  <c r="E87" i="9"/>
  <c r="C87" i="9"/>
  <c r="F86" i="9"/>
  <c r="C86" i="9"/>
  <c r="G85" i="9"/>
  <c r="D85" i="9"/>
  <c r="E84" i="9"/>
  <c r="B84" i="9"/>
  <c r="G83" i="9"/>
  <c r="E83" i="9"/>
  <c r="B83" i="9"/>
  <c r="G82" i="9"/>
  <c r="E82" i="9"/>
  <c r="B82" i="9"/>
  <c r="G81" i="9"/>
  <c r="E81" i="9"/>
  <c r="C81" i="9"/>
  <c r="G80" i="9"/>
  <c r="D80" i="9"/>
  <c r="F79" i="9"/>
  <c r="D78" i="9"/>
  <c r="D77" i="9"/>
  <c r="E76" i="9"/>
  <c r="B76" i="9"/>
  <c r="E75" i="9"/>
  <c r="B75" i="9"/>
  <c r="F74" i="9"/>
  <c r="B74" i="9"/>
  <c r="E73" i="9"/>
  <c r="F72" i="9"/>
  <c r="F71" i="9"/>
  <c r="B71" i="9"/>
  <c r="F70" i="9"/>
  <c r="B65" i="9"/>
  <c r="F63" i="9"/>
  <c r="B63" i="9"/>
  <c r="G62" i="9"/>
  <c r="E62" i="9"/>
  <c r="B62" i="9"/>
  <c r="G61" i="9"/>
  <c r="D61" i="9"/>
  <c r="E60" i="9"/>
  <c r="B60" i="9"/>
  <c r="F59" i="9"/>
  <c r="D59" i="9"/>
  <c r="B59" i="9"/>
  <c r="G58" i="9"/>
  <c r="E58" i="9"/>
  <c r="B58" i="9"/>
  <c r="F57" i="9"/>
  <c r="B57" i="9"/>
  <c r="G56" i="9"/>
  <c r="D56" i="9"/>
  <c r="G55" i="9"/>
  <c r="D55" i="9"/>
  <c r="B54" i="9"/>
  <c r="G53" i="9"/>
  <c r="C53" i="9"/>
  <c r="G52" i="9"/>
  <c r="E52" i="9"/>
  <c r="B52" i="9"/>
  <c r="E51" i="9"/>
  <c r="C51" i="9"/>
  <c r="G50" i="9"/>
  <c r="D50" i="9"/>
  <c r="E49" i="9"/>
  <c r="B49" i="9"/>
  <c r="G48" i="9"/>
  <c r="D48" i="9"/>
  <c r="D47" i="9"/>
  <c r="F46" i="9"/>
  <c r="F45" i="9"/>
  <c r="F44" i="9"/>
  <c r="E43" i="9"/>
  <c r="B43" i="9"/>
  <c r="E42" i="9"/>
  <c r="B42" i="9"/>
  <c r="G41" i="9"/>
  <c r="G40" i="9"/>
  <c r="C40" i="9"/>
  <c r="E39" i="9"/>
  <c r="C39" i="9"/>
  <c r="F38" i="9"/>
  <c r="C38" i="9"/>
  <c r="E37" i="9"/>
  <c r="B37" i="9"/>
  <c r="E36" i="9"/>
  <c r="B36" i="9"/>
  <c r="E35" i="9"/>
  <c r="B35" i="9"/>
  <c r="G34" i="9"/>
  <c r="D34" i="9"/>
  <c r="F33" i="9"/>
  <c r="C33" i="9"/>
  <c r="C32" i="9"/>
  <c r="D31" i="9"/>
  <c r="C30" i="9"/>
  <c r="E29" i="9"/>
  <c r="B29" i="9"/>
  <c r="G28" i="9"/>
  <c r="D28" i="9"/>
  <c r="G27" i="9"/>
  <c r="E26" i="9"/>
  <c r="G25" i="9"/>
  <c r="C25" i="9"/>
  <c r="F24" i="9"/>
  <c r="B24" i="9"/>
  <c r="G23" i="9"/>
  <c r="D23" i="9"/>
  <c r="C22" i="9"/>
  <c r="E21" i="9"/>
  <c r="G20" i="9"/>
  <c r="D20" i="9"/>
  <c r="D19" i="9"/>
  <c r="E18" i="9"/>
  <c r="F17" i="9"/>
  <c r="B17" i="9"/>
  <c r="F19" i="8"/>
  <c r="D19" i="8"/>
  <c r="E31" i="4"/>
  <c r="E29" i="4"/>
  <c r="C17" i="4"/>
  <c r="C16" i="4"/>
  <c r="B11" i="4"/>
  <c r="C15" i="4" s="1"/>
  <c r="C10" i="4"/>
  <c r="C9" i="4"/>
  <c r="C8" i="4"/>
  <c r="C7" i="4"/>
  <c r="C6" i="4"/>
  <c r="G828" i="9"/>
  <c r="F828" i="9"/>
  <c r="E828" i="9"/>
  <c r="D828" i="9"/>
  <c r="C828" i="9"/>
  <c r="B828" i="9"/>
  <c r="G827" i="9"/>
  <c r="F827" i="9"/>
  <c r="E827" i="9"/>
  <c r="D827" i="9"/>
  <c r="C827" i="9"/>
  <c r="B827" i="9"/>
  <c r="G826" i="9"/>
  <c r="F826" i="9"/>
  <c r="E826" i="9"/>
  <c r="D826" i="9"/>
  <c r="C826" i="9"/>
  <c r="B826" i="9"/>
  <c r="G825" i="9"/>
  <c r="F825" i="9"/>
  <c r="E825" i="9"/>
  <c r="D825" i="9"/>
  <c r="C825" i="9"/>
  <c r="B825" i="9"/>
  <c r="G824" i="9"/>
  <c r="F824" i="9"/>
  <c r="E824" i="9"/>
  <c r="D824" i="9"/>
  <c r="C824" i="9"/>
  <c r="B824" i="9"/>
  <c r="G823" i="9"/>
  <c r="F823" i="9"/>
  <c r="E823" i="9"/>
  <c r="D823" i="9"/>
  <c r="C823" i="9"/>
  <c r="B823" i="9"/>
  <c r="G822" i="9"/>
  <c r="F822" i="9"/>
  <c r="E822" i="9"/>
  <c r="D822" i="9"/>
  <c r="C822" i="9"/>
  <c r="B822" i="9"/>
  <c r="G821" i="9"/>
  <c r="F821" i="9"/>
  <c r="E821" i="9"/>
  <c r="D821" i="9"/>
  <c r="C821" i="9"/>
  <c r="B821" i="9"/>
  <c r="G820" i="9"/>
  <c r="F820" i="9"/>
  <c r="E820" i="9"/>
  <c r="D820" i="9"/>
  <c r="C820" i="9"/>
  <c r="B820" i="9"/>
  <c r="G819" i="9"/>
  <c r="F819" i="9"/>
  <c r="E819" i="9"/>
  <c r="D819" i="9"/>
  <c r="C819" i="9"/>
  <c r="B819" i="9"/>
  <c r="G818" i="9"/>
  <c r="F818" i="9"/>
  <c r="E818" i="9"/>
  <c r="D818" i="9"/>
  <c r="C818" i="9"/>
  <c r="B818" i="9"/>
  <c r="G817" i="9"/>
  <c r="F817" i="9"/>
  <c r="E817" i="9"/>
  <c r="D817" i="9"/>
  <c r="C817" i="9"/>
  <c r="B817" i="9"/>
  <c r="G816" i="9"/>
  <c r="F816" i="9"/>
  <c r="E816" i="9"/>
  <c r="D816" i="9"/>
  <c r="C816" i="9"/>
  <c r="B816" i="9"/>
  <c r="G815" i="9"/>
  <c r="F815" i="9"/>
  <c r="E815" i="9"/>
  <c r="D815" i="9"/>
  <c r="C815" i="9"/>
  <c r="B815" i="9"/>
  <c r="G814" i="9"/>
  <c r="F814" i="9"/>
  <c r="E814" i="9"/>
  <c r="D814" i="9"/>
  <c r="C814" i="9"/>
  <c r="B814" i="9"/>
  <c r="G813" i="9"/>
  <c r="F813" i="9"/>
  <c r="E813" i="9"/>
  <c r="D813" i="9"/>
  <c r="C813" i="9"/>
  <c r="B813" i="9"/>
  <c r="G812" i="9"/>
  <c r="F812" i="9"/>
  <c r="E812" i="9"/>
  <c r="D812" i="9"/>
  <c r="C812" i="9"/>
  <c r="B812" i="9"/>
  <c r="G811" i="9"/>
  <c r="F811" i="9"/>
  <c r="E811" i="9"/>
  <c r="D811" i="9"/>
  <c r="C811" i="9"/>
  <c r="B811" i="9"/>
  <c r="G810" i="9"/>
  <c r="F810" i="9"/>
  <c r="E810" i="9"/>
  <c r="D810" i="9"/>
  <c r="C810" i="9"/>
  <c r="B810" i="9"/>
  <c r="G809" i="9"/>
  <c r="F809" i="9"/>
  <c r="E809" i="9"/>
  <c r="D809" i="9"/>
  <c r="C809" i="9"/>
  <c r="B809" i="9"/>
  <c r="G808" i="9"/>
  <c r="F808" i="9"/>
  <c r="E808" i="9"/>
  <c r="D808" i="9"/>
  <c r="C808" i="9"/>
  <c r="B808" i="9"/>
  <c r="G807" i="9"/>
  <c r="F807" i="9"/>
  <c r="E807" i="9"/>
  <c r="D807" i="9"/>
  <c r="C807" i="9"/>
  <c r="B807" i="9"/>
  <c r="G806" i="9"/>
  <c r="F806" i="9"/>
  <c r="E806" i="9"/>
  <c r="D806" i="9"/>
  <c r="C806" i="9"/>
  <c r="B806" i="9"/>
  <c r="G805" i="9"/>
  <c r="F805" i="9"/>
  <c r="E805" i="9"/>
  <c r="D805" i="9"/>
  <c r="C805" i="9"/>
  <c r="B805" i="9"/>
  <c r="G804" i="9"/>
  <c r="F804" i="9"/>
  <c r="E804" i="9"/>
  <c r="D804" i="9"/>
  <c r="C804" i="9"/>
  <c r="B804" i="9"/>
  <c r="G803" i="9"/>
  <c r="F803" i="9"/>
  <c r="E803" i="9"/>
  <c r="D803" i="9"/>
  <c r="C803" i="9"/>
  <c r="B803" i="9"/>
  <c r="G802" i="9"/>
  <c r="F802" i="9"/>
  <c r="E802" i="9"/>
  <c r="D802" i="9"/>
  <c r="C802" i="9"/>
  <c r="B802" i="9"/>
  <c r="G801" i="9"/>
  <c r="F801" i="9"/>
  <c r="E801" i="9"/>
  <c r="D801" i="9"/>
  <c r="C801" i="9"/>
  <c r="B801" i="9"/>
  <c r="G800" i="9"/>
  <c r="F800" i="9"/>
  <c r="E800" i="9"/>
  <c r="D800" i="9"/>
  <c r="C800" i="9"/>
  <c r="B800" i="9"/>
  <c r="G799" i="9"/>
  <c r="F799" i="9"/>
  <c r="E799" i="9"/>
  <c r="D799" i="9"/>
  <c r="C799" i="9"/>
  <c r="B799" i="9"/>
  <c r="G798" i="9"/>
  <c r="F798" i="9"/>
  <c r="E798" i="9"/>
  <c r="D798" i="9"/>
  <c r="C798" i="9"/>
  <c r="B798" i="9"/>
  <c r="G797" i="9"/>
  <c r="F797" i="9"/>
  <c r="E797" i="9"/>
  <c r="D797" i="9"/>
  <c r="C797" i="9"/>
  <c r="B797" i="9"/>
  <c r="G796" i="9"/>
  <c r="F796" i="9"/>
  <c r="E796" i="9"/>
  <c r="D796" i="9"/>
  <c r="C796" i="9"/>
  <c r="B796" i="9"/>
  <c r="G795" i="9"/>
  <c r="F795" i="9"/>
  <c r="E795" i="9"/>
  <c r="D795" i="9"/>
  <c r="C795" i="9"/>
  <c r="B795" i="9"/>
  <c r="G794" i="9"/>
  <c r="F794" i="9"/>
  <c r="E794" i="9"/>
  <c r="D794" i="9"/>
  <c r="C794" i="9"/>
  <c r="B794" i="9"/>
  <c r="G793" i="9"/>
  <c r="F793" i="9"/>
  <c r="E793" i="9"/>
  <c r="D793" i="9"/>
  <c r="C793" i="9"/>
  <c r="B793" i="9"/>
  <c r="G792" i="9"/>
  <c r="F792" i="9"/>
  <c r="E792" i="9"/>
  <c r="D792" i="9"/>
  <c r="C792" i="9"/>
  <c r="B792" i="9"/>
  <c r="G791" i="9"/>
  <c r="F791" i="9"/>
  <c r="E791" i="9"/>
  <c r="D791" i="9"/>
  <c r="C791" i="9"/>
  <c r="B791" i="9"/>
  <c r="G790" i="9"/>
  <c r="F790" i="9"/>
  <c r="E790" i="9"/>
  <c r="D790" i="9"/>
  <c r="C790" i="9"/>
  <c r="B790" i="9"/>
  <c r="G789" i="9"/>
  <c r="F789" i="9"/>
  <c r="E789" i="9"/>
  <c r="D789" i="9"/>
  <c r="C789" i="9"/>
  <c r="B789" i="9"/>
  <c r="G788" i="9"/>
  <c r="F788" i="9"/>
  <c r="E788" i="9"/>
  <c r="D788" i="9"/>
  <c r="C788" i="9"/>
  <c r="B788" i="9"/>
  <c r="G787" i="9"/>
  <c r="F787" i="9"/>
  <c r="E787" i="9"/>
  <c r="D787" i="9"/>
  <c r="C787" i="9"/>
  <c r="B787" i="9"/>
  <c r="G786" i="9"/>
  <c r="F786" i="9"/>
  <c r="E786" i="9"/>
  <c r="D786" i="9"/>
  <c r="C786" i="9"/>
  <c r="B786" i="9"/>
  <c r="G785" i="9"/>
  <c r="F785" i="9"/>
  <c r="E785" i="9"/>
  <c r="D785" i="9"/>
  <c r="C785" i="9"/>
  <c r="B785" i="9"/>
  <c r="G784" i="9"/>
  <c r="F784" i="9"/>
  <c r="E784" i="9"/>
  <c r="D784" i="9"/>
  <c r="C784" i="9"/>
  <c r="B784" i="9"/>
  <c r="G783" i="9"/>
  <c r="F783" i="9"/>
  <c r="E783" i="9"/>
  <c r="D783" i="9"/>
  <c r="C783" i="9"/>
  <c r="B783" i="9"/>
  <c r="G782" i="9"/>
  <c r="F782" i="9"/>
  <c r="E782" i="9"/>
  <c r="D782" i="9"/>
  <c r="C782" i="9"/>
  <c r="B782" i="9"/>
  <c r="G781" i="9"/>
  <c r="F781" i="9"/>
  <c r="E781" i="9"/>
  <c r="D781" i="9"/>
  <c r="C781" i="9"/>
  <c r="B781" i="9"/>
  <c r="G780" i="9"/>
  <c r="F780" i="9"/>
  <c r="E780" i="9"/>
  <c r="D780" i="9"/>
  <c r="C780" i="9"/>
  <c r="B780" i="9"/>
  <c r="G779" i="9"/>
  <c r="F779" i="9"/>
  <c r="E779" i="9"/>
  <c r="D779" i="9"/>
  <c r="C779" i="9"/>
  <c r="B779" i="9"/>
  <c r="G778" i="9"/>
  <c r="F778" i="9"/>
  <c r="E778" i="9"/>
  <c r="D778" i="9"/>
  <c r="C778" i="9"/>
  <c r="B778" i="9"/>
  <c r="G777" i="9"/>
  <c r="F777" i="9"/>
  <c r="E777" i="9"/>
  <c r="D777" i="9"/>
  <c r="C777" i="9"/>
  <c r="B777" i="9"/>
  <c r="G776" i="9"/>
  <c r="F776" i="9"/>
  <c r="E776" i="9"/>
  <c r="D776" i="9"/>
  <c r="C776" i="9"/>
  <c r="B776" i="9"/>
  <c r="G775" i="9"/>
  <c r="F775" i="9"/>
  <c r="E775" i="9"/>
  <c r="D775" i="9"/>
  <c r="C775" i="9"/>
  <c r="B775" i="9"/>
  <c r="G774" i="9"/>
  <c r="F774" i="9"/>
  <c r="E774" i="9"/>
  <c r="D774" i="9"/>
  <c r="C774" i="9"/>
  <c r="B774" i="9"/>
  <c r="G773" i="9"/>
  <c r="F773" i="9"/>
  <c r="E773" i="9"/>
  <c r="D773" i="9"/>
  <c r="F755" i="9"/>
  <c r="B755" i="9"/>
  <c r="F754" i="9"/>
  <c r="D754" i="9"/>
  <c r="B754" i="9"/>
  <c r="F753" i="9"/>
  <c r="D753" i="9"/>
  <c r="B753" i="9"/>
  <c r="F752" i="9"/>
  <c r="D752" i="9"/>
  <c r="B752" i="9"/>
  <c r="G751" i="9"/>
  <c r="E751" i="9"/>
  <c r="C751" i="9"/>
  <c r="F750" i="9"/>
  <c r="D750" i="9"/>
  <c r="B750" i="9"/>
  <c r="G749" i="9"/>
  <c r="E749" i="9"/>
  <c r="B749" i="9"/>
  <c r="G748" i="9"/>
  <c r="F748" i="9"/>
  <c r="E748" i="9"/>
  <c r="D748" i="9"/>
  <c r="C748" i="9"/>
  <c r="B748" i="9"/>
  <c r="G747" i="9"/>
  <c r="F747" i="9"/>
  <c r="E747" i="9"/>
  <c r="D747" i="9"/>
  <c r="C747" i="9"/>
  <c r="B747" i="9"/>
  <c r="G746" i="9"/>
  <c r="D746" i="9"/>
  <c r="B746" i="9"/>
  <c r="G745" i="9"/>
  <c r="E745" i="9"/>
  <c r="C745" i="9"/>
  <c r="F744" i="9"/>
  <c r="E744" i="9"/>
  <c r="B744" i="9"/>
  <c r="F743" i="9"/>
  <c r="D743" i="9"/>
  <c r="B743" i="9"/>
  <c r="F742" i="9"/>
  <c r="D742" i="9"/>
  <c r="B742" i="9"/>
  <c r="F741" i="9"/>
  <c r="F736" i="9"/>
  <c r="D736" i="9"/>
  <c r="B736" i="9"/>
  <c r="F735" i="9"/>
  <c r="D735" i="9"/>
  <c r="C735" i="9"/>
  <c r="F734" i="9"/>
  <c r="D734" i="9"/>
  <c r="B734" i="9"/>
  <c r="F733" i="9"/>
  <c r="D733" i="9"/>
  <c r="C733" i="9"/>
  <c r="F732" i="9"/>
  <c r="D732" i="9"/>
  <c r="C732" i="9"/>
  <c r="G731" i="9"/>
  <c r="E731" i="9"/>
  <c r="C731" i="9"/>
  <c r="G730" i="9"/>
  <c r="E730" i="9"/>
  <c r="C730" i="9"/>
  <c r="G729" i="9"/>
  <c r="E729" i="9"/>
  <c r="C729" i="9"/>
  <c r="G728" i="9"/>
  <c r="E728" i="9"/>
  <c r="C728" i="9"/>
  <c r="F727" i="9"/>
  <c r="D727" i="9"/>
  <c r="B727" i="9"/>
  <c r="F726" i="9"/>
  <c r="D726" i="9"/>
  <c r="B726" i="9"/>
  <c r="F725" i="9"/>
  <c r="D725" i="9"/>
  <c r="B725" i="9"/>
  <c r="G724" i="9"/>
  <c r="E724" i="9"/>
  <c r="C724" i="9"/>
  <c r="G723" i="9"/>
  <c r="E723" i="9"/>
  <c r="C723" i="9"/>
  <c r="G722" i="9"/>
  <c r="E722" i="9"/>
  <c r="C722" i="9"/>
  <c r="G721" i="9"/>
  <c r="E721" i="9"/>
  <c r="C721" i="9"/>
  <c r="B721" i="9"/>
  <c r="D720" i="9"/>
  <c r="B720" i="9"/>
  <c r="G719" i="9"/>
  <c r="E719" i="9"/>
  <c r="C719" i="9"/>
  <c r="F718" i="9"/>
  <c r="D718" i="9"/>
  <c r="C718" i="9"/>
  <c r="G717" i="9"/>
  <c r="E717" i="9"/>
  <c r="C717" i="9"/>
  <c r="G716" i="9"/>
  <c r="E716" i="9"/>
  <c r="D716" i="9"/>
  <c r="B716" i="9"/>
  <c r="G715" i="9"/>
  <c r="E715" i="9"/>
  <c r="C715" i="9"/>
  <c r="G714" i="9"/>
  <c r="E714" i="9"/>
  <c r="C714" i="9"/>
  <c r="G713" i="9"/>
  <c r="E713" i="9"/>
  <c r="C713" i="9"/>
  <c r="G712" i="9"/>
  <c r="E712" i="9"/>
  <c r="D693" i="9"/>
  <c r="G692" i="9"/>
  <c r="D692" i="9"/>
  <c r="B692" i="9"/>
  <c r="F691" i="9"/>
  <c r="D691" i="9"/>
  <c r="B691" i="9"/>
  <c r="F690" i="9"/>
  <c r="D690" i="9"/>
  <c r="B690" i="9"/>
  <c r="F689" i="9"/>
  <c r="D689" i="9"/>
  <c r="B689" i="9"/>
  <c r="G688" i="9"/>
  <c r="F688" i="9"/>
  <c r="D688" i="9"/>
  <c r="B688" i="9"/>
  <c r="F687" i="9"/>
  <c r="D687" i="9"/>
  <c r="B687" i="9"/>
  <c r="F686" i="9"/>
  <c r="D686" i="9"/>
  <c r="B686" i="9"/>
  <c r="F685" i="9"/>
  <c r="D685" i="9"/>
  <c r="B685" i="9"/>
  <c r="F684" i="9"/>
  <c r="D684" i="9"/>
  <c r="B684" i="9"/>
  <c r="G683" i="9"/>
  <c r="E683" i="9"/>
  <c r="C683" i="9"/>
  <c r="F682" i="9"/>
  <c r="E682" i="9"/>
  <c r="C682" i="9"/>
  <c r="F681" i="9"/>
  <c r="D681" i="9"/>
  <c r="B681" i="9"/>
  <c r="F680" i="9"/>
  <c r="E680" i="9"/>
  <c r="B680" i="9"/>
  <c r="F679" i="9"/>
  <c r="D679" i="9"/>
  <c r="B679" i="9"/>
  <c r="F678" i="9"/>
  <c r="D678" i="9"/>
  <c r="C678" i="9"/>
  <c r="F677" i="9"/>
  <c r="E677" i="9"/>
  <c r="C677" i="9"/>
  <c r="F676" i="9"/>
  <c r="D676" i="9"/>
  <c r="B676" i="9"/>
  <c r="G675" i="9"/>
  <c r="E672" i="9"/>
  <c r="C672" i="9"/>
  <c r="G671" i="9"/>
  <c r="F671" i="9"/>
  <c r="D671" i="9"/>
  <c r="B671" i="9"/>
  <c r="F670" i="9"/>
  <c r="D670" i="9"/>
  <c r="B670" i="9"/>
  <c r="F669" i="9"/>
  <c r="D669" i="9"/>
  <c r="B669" i="9"/>
  <c r="F668" i="9"/>
  <c r="D668" i="9"/>
  <c r="B668" i="9"/>
  <c r="G667" i="9"/>
  <c r="F667" i="9"/>
  <c r="D667" i="9"/>
  <c r="B667" i="9"/>
  <c r="G666" i="9"/>
  <c r="E666" i="9"/>
  <c r="C666" i="9"/>
  <c r="B666" i="9"/>
  <c r="F665" i="9"/>
  <c r="D665" i="9"/>
  <c r="B665" i="9"/>
  <c r="G664" i="9"/>
  <c r="F664" i="9"/>
  <c r="D664" i="9"/>
  <c r="B664" i="9"/>
  <c r="F663" i="9"/>
  <c r="D663" i="9"/>
  <c r="B663" i="9"/>
  <c r="F662" i="9"/>
  <c r="D662" i="9"/>
  <c r="C662" i="9"/>
  <c r="F661" i="9"/>
  <c r="D661" i="9"/>
  <c r="B661" i="9"/>
  <c r="F660" i="9"/>
  <c r="D660" i="9"/>
  <c r="B660" i="9"/>
  <c r="G659" i="9"/>
  <c r="E659" i="9"/>
  <c r="C659" i="9"/>
  <c r="G658" i="9"/>
  <c r="E658" i="9"/>
  <c r="C658" i="9"/>
  <c r="G657" i="9"/>
  <c r="E657" i="9"/>
  <c r="C657" i="9"/>
  <c r="G656" i="9"/>
  <c r="E656" i="9"/>
  <c r="D656" i="9"/>
  <c r="B656" i="9"/>
  <c r="G655" i="9"/>
  <c r="F655" i="9"/>
  <c r="E655" i="9"/>
  <c r="C655" i="9"/>
  <c r="B655" i="9"/>
  <c r="G654" i="9"/>
  <c r="E654" i="9"/>
  <c r="C654" i="9"/>
  <c r="F653" i="9"/>
  <c r="D653" i="9"/>
  <c r="B653" i="9"/>
  <c r="F652" i="9"/>
  <c r="D652" i="9"/>
  <c r="B652" i="9"/>
  <c r="F651" i="9"/>
  <c r="D651" i="9"/>
  <c r="B651" i="9"/>
  <c r="F650" i="9"/>
  <c r="D650" i="9"/>
  <c r="B650" i="9"/>
  <c r="G649" i="9"/>
  <c r="E649" i="9"/>
  <c r="C649" i="9"/>
  <c r="G648" i="9"/>
  <c r="E648" i="9"/>
  <c r="C648" i="9"/>
  <c r="G647" i="9"/>
  <c r="E647" i="9"/>
  <c r="C647" i="9"/>
  <c r="G646" i="9"/>
  <c r="E646" i="9"/>
  <c r="C646" i="9"/>
  <c r="G645" i="9"/>
  <c r="E645" i="9"/>
  <c r="C645" i="9"/>
  <c r="G644" i="9"/>
  <c r="E644" i="9"/>
  <c r="C644" i="9"/>
  <c r="F643" i="9"/>
  <c r="C643" i="9"/>
  <c r="G642" i="9"/>
  <c r="E642" i="9"/>
  <c r="C642" i="9"/>
  <c r="F641" i="9"/>
  <c r="D641" i="9"/>
  <c r="B641" i="9"/>
  <c r="F640" i="9"/>
  <c r="D640" i="9"/>
  <c r="B640" i="9"/>
  <c r="G639" i="9"/>
  <c r="E639" i="9"/>
  <c r="C639" i="9"/>
  <c r="G638" i="9"/>
  <c r="D638" i="9"/>
  <c r="C638" i="9"/>
  <c r="F637" i="9"/>
  <c r="E637" i="9"/>
  <c r="C637" i="9"/>
  <c r="G636" i="9"/>
  <c r="E636" i="9"/>
  <c r="C636" i="9"/>
  <c r="B636" i="9"/>
  <c r="F635" i="9"/>
  <c r="D635" i="9"/>
  <c r="B635" i="9"/>
  <c r="F634" i="9"/>
  <c r="E634" i="9"/>
  <c r="C634" i="9"/>
  <c r="G633" i="9"/>
  <c r="E633" i="9"/>
  <c r="B633" i="9"/>
  <c r="E632" i="9"/>
  <c r="C632" i="9"/>
  <c r="F631" i="9"/>
  <c r="D631" i="9"/>
  <c r="C631" i="9"/>
  <c r="G630" i="9"/>
  <c r="E630" i="9"/>
  <c r="C630" i="9"/>
  <c r="G629" i="9"/>
  <c r="E629" i="9"/>
  <c r="C629" i="9"/>
  <c r="G628" i="9"/>
  <c r="E628" i="9"/>
  <c r="C628" i="9"/>
  <c r="G627" i="9"/>
  <c r="E627" i="9"/>
  <c r="C627" i="9"/>
  <c r="G626" i="9"/>
  <c r="E626" i="9"/>
  <c r="C626" i="9"/>
  <c r="F625" i="9"/>
  <c r="D625" i="9"/>
  <c r="C625" i="9"/>
  <c r="G624" i="9"/>
  <c r="E624" i="9"/>
  <c r="B624" i="9"/>
  <c r="F623" i="9"/>
  <c r="D623" i="9"/>
  <c r="C623" i="9"/>
  <c r="F622" i="9"/>
  <c r="D622" i="9"/>
  <c r="B622" i="9"/>
  <c r="G621" i="9"/>
  <c r="E621" i="9"/>
  <c r="C621" i="9"/>
  <c r="G620" i="9"/>
  <c r="E620" i="9"/>
  <c r="D620" i="9"/>
  <c r="B620" i="9"/>
  <c r="F619" i="9"/>
  <c r="E619" i="9"/>
  <c r="B619" i="9"/>
  <c r="F618" i="9"/>
  <c r="E618" i="9"/>
  <c r="C618" i="9"/>
  <c r="F617" i="9"/>
  <c r="D617" i="9"/>
  <c r="B617" i="9"/>
  <c r="G616" i="9"/>
  <c r="E616" i="9"/>
  <c r="C616" i="9"/>
  <c r="G615" i="9"/>
  <c r="D615" i="9"/>
  <c r="B615" i="9"/>
  <c r="F614" i="9"/>
  <c r="D614" i="9"/>
  <c r="B614" i="9"/>
  <c r="F613" i="9"/>
  <c r="D613" i="9"/>
  <c r="B613" i="9"/>
  <c r="G612" i="9"/>
  <c r="E612" i="9"/>
  <c r="B612" i="9"/>
  <c r="F611" i="9"/>
  <c r="D611" i="9"/>
  <c r="B611" i="9"/>
  <c r="F610" i="9"/>
  <c r="D610" i="9"/>
  <c r="B610" i="9"/>
  <c r="G609" i="9"/>
  <c r="D609" i="9"/>
  <c r="B609" i="9"/>
  <c r="G608" i="9"/>
  <c r="E608" i="9"/>
  <c r="C608" i="9"/>
  <c r="G607" i="9"/>
  <c r="E607" i="9"/>
  <c r="C607" i="9"/>
  <c r="G606" i="9"/>
  <c r="E606" i="9"/>
  <c r="C606" i="9"/>
  <c r="G605" i="9"/>
  <c r="E605" i="9"/>
  <c r="B605" i="9"/>
  <c r="G604" i="9"/>
  <c r="E604" i="9"/>
  <c r="C604" i="9"/>
  <c r="F603" i="9"/>
  <c r="D603" i="9"/>
  <c r="C603" i="9"/>
  <c r="F602" i="9"/>
  <c r="E602" i="9"/>
  <c r="C602" i="9"/>
  <c r="G601" i="9"/>
  <c r="E601" i="9"/>
  <c r="C601" i="9"/>
  <c r="G600" i="9"/>
  <c r="F600" i="9"/>
  <c r="E600" i="9"/>
  <c r="D600" i="9"/>
  <c r="C600" i="9"/>
  <c r="B600" i="9"/>
  <c r="G599" i="9"/>
  <c r="F599" i="9"/>
  <c r="E599" i="9"/>
  <c r="D599" i="9"/>
  <c r="C599" i="9"/>
  <c r="B599" i="9"/>
  <c r="G598" i="9"/>
  <c r="F598" i="9"/>
  <c r="E598" i="9"/>
  <c r="D598" i="9"/>
  <c r="C598" i="9"/>
  <c r="B598" i="9"/>
  <c r="G597" i="9"/>
  <c r="F597" i="9"/>
  <c r="E597" i="9"/>
  <c r="D597" i="9"/>
  <c r="C597" i="9"/>
  <c r="B597" i="9"/>
  <c r="G596" i="9"/>
  <c r="F596" i="9"/>
  <c r="E596" i="9"/>
  <c r="D596" i="9"/>
  <c r="C596" i="9"/>
  <c r="B596" i="9"/>
  <c r="G595" i="9"/>
  <c r="F595" i="9"/>
  <c r="E595" i="9"/>
  <c r="D595" i="9"/>
  <c r="C595" i="9"/>
  <c r="B595" i="9"/>
  <c r="G594" i="9"/>
  <c r="F594" i="9"/>
  <c r="E594" i="9"/>
  <c r="D594" i="9"/>
  <c r="C594" i="9"/>
  <c r="B594" i="9"/>
  <c r="G593" i="9"/>
  <c r="F593" i="9"/>
  <c r="E593" i="9"/>
  <c r="D593" i="9"/>
  <c r="C593" i="9"/>
  <c r="B593" i="9"/>
  <c r="G592" i="9"/>
  <c r="F592" i="9"/>
  <c r="E592" i="9"/>
  <c r="D592" i="9"/>
  <c r="C592" i="9"/>
  <c r="B592" i="9"/>
  <c r="G591" i="9"/>
  <c r="F591" i="9"/>
  <c r="E591" i="9"/>
  <c r="D591" i="9"/>
  <c r="C591" i="9"/>
  <c r="B591" i="9"/>
  <c r="G590" i="9"/>
  <c r="F590" i="9"/>
  <c r="E590" i="9"/>
  <c r="D590" i="9"/>
  <c r="C590" i="9"/>
  <c r="B590" i="9"/>
  <c r="G589" i="9"/>
  <c r="F589" i="9"/>
  <c r="E589" i="9"/>
  <c r="D589" i="9"/>
  <c r="C589" i="9"/>
  <c r="B589" i="9"/>
  <c r="G588" i="9"/>
  <c r="F588" i="9"/>
  <c r="E588" i="9"/>
  <c r="D588" i="9"/>
  <c r="C588" i="9"/>
  <c r="B588" i="9"/>
  <c r="G587" i="9"/>
  <c r="F587" i="9"/>
  <c r="E587" i="9"/>
  <c r="D587" i="9"/>
  <c r="C587" i="9"/>
  <c r="B587" i="9"/>
  <c r="G586" i="9"/>
  <c r="F586" i="9"/>
  <c r="E586" i="9"/>
  <c r="D586" i="9"/>
  <c r="C586" i="9"/>
  <c r="B586" i="9"/>
  <c r="G585" i="9"/>
  <c r="F585" i="9"/>
  <c r="E585" i="9"/>
  <c r="D585" i="9"/>
  <c r="C585" i="9"/>
  <c r="B585" i="9"/>
  <c r="G584" i="9"/>
  <c r="F584" i="9"/>
  <c r="E584" i="9"/>
  <c r="D584" i="9"/>
  <c r="C584" i="9"/>
  <c r="B584" i="9"/>
  <c r="G583" i="9"/>
  <c r="F583" i="9"/>
  <c r="E583" i="9"/>
  <c r="D583" i="9"/>
  <c r="B583" i="9"/>
  <c r="F582" i="9"/>
  <c r="D582" i="9"/>
  <c r="B582" i="9"/>
  <c r="F581" i="9"/>
  <c r="D581" i="9"/>
  <c r="B581" i="9"/>
  <c r="F580" i="9"/>
  <c r="D580" i="9"/>
  <c r="B580" i="9"/>
  <c r="F579" i="9"/>
  <c r="D579" i="9"/>
  <c r="C579" i="9"/>
  <c r="G578" i="9"/>
  <c r="E578" i="9"/>
  <c r="C578" i="9"/>
  <c r="F577" i="9"/>
  <c r="D577" i="9"/>
  <c r="B577" i="9"/>
  <c r="E576" i="9"/>
  <c r="C576" i="9"/>
  <c r="G575" i="9"/>
  <c r="E575" i="9"/>
  <c r="C575" i="9"/>
  <c r="G574" i="9"/>
  <c r="E574" i="9"/>
  <c r="C574" i="9"/>
  <c r="G573" i="9"/>
  <c r="E573" i="9"/>
  <c r="C573" i="9"/>
  <c r="G572" i="9"/>
  <c r="E572" i="9"/>
  <c r="C572" i="9"/>
  <c r="G571" i="9"/>
  <c r="E571" i="9"/>
  <c r="C571" i="9"/>
  <c r="F570" i="9"/>
  <c r="D570" i="9"/>
  <c r="B570" i="9"/>
  <c r="F569" i="9"/>
  <c r="D569" i="9"/>
  <c r="B569" i="9"/>
  <c r="G568" i="9"/>
  <c r="E568" i="9"/>
  <c r="B568" i="9"/>
  <c r="F567" i="9"/>
  <c r="D567" i="9"/>
  <c r="B567" i="9"/>
  <c r="F566" i="9"/>
  <c r="E566" i="9"/>
  <c r="C566" i="9"/>
  <c r="G565" i="9"/>
  <c r="E565" i="9"/>
  <c r="C565" i="9"/>
  <c r="G564" i="9"/>
  <c r="E564" i="9"/>
  <c r="C564" i="9"/>
  <c r="G563" i="9"/>
  <c r="E563" i="9"/>
  <c r="B563" i="9"/>
  <c r="F562" i="9"/>
  <c r="D562" i="9"/>
  <c r="B562" i="9"/>
  <c r="F561" i="9"/>
  <c r="D561" i="9"/>
  <c r="B561" i="9"/>
  <c r="F560" i="9"/>
  <c r="D560" i="9"/>
  <c r="B560" i="9"/>
  <c r="F559" i="9"/>
  <c r="C559" i="9"/>
  <c r="G558" i="9"/>
  <c r="E558" i="9"/>
  <c r="C558" i="9"/>
  <c r="G557" i="9"/>
  <c r="E557" i="9"/>
  <c r="C557" i="9"/>
  <c r="G556" i="9"/>
  <c r="D556" i="9"/>
  <c r="C556" i="9"/>
  <c r="G555" i="9"/>
  <c r="E555" i="9"/>
  <c r="C555" i="9"/>
  <c r="G554" i="9"/>
  <c r="E554" i="9"/>
  <c r="C554" i="9"/>
  <c r="G553" i="9"/>
  <c r="E553" i="9"/>
  <c r="C553" i="9"/>
  <c r="F552" i="9"/>
  <c r="D552" i="9"/>
  <c r="B552" i="9"/>
  <c r="F551" i="9"/>
  <c r="D551" i="9"/>
  <c r="B551" i="9"/>
  <c r="F550" i="9"/>
  <c r="E550" i="9"/>
  <c r="C550" i="9"/>
  <c r="G549" i="9"/>
  <c r="E549" i="9"/>
  <c r="C549" i="9"/>
  <c r="G548" i="9"/>
  <c r="E548" i="9"/>
  <c r="C548" i="9"/>
  <c r="G547" i="9"/>
  <c r="E547" i="9"/>
  <c r="C547" i="9"/>
  <c r="F546" i="9"/>
  <c r="D546" i="9"/>
  <c r="C546" i="9"/>
  <c r="F545" i="9"/>
  <c r="D545" i="9"/>
  <c r="B545" i="9"/>
  <c r="G544" i="9"/>
  <c r="F544" i="9"/>
  <c r="E544" i="9"/>
  <c r="D544" i="9"/>
  <c r="B544" i="9"/>
  <c r="G532" i="9"/>
  <c r="E532" i="9"/>
  <c r="B532" i="9"/>
  <c r="E531" i="9"/>
  <c r="C531" i="9"/>
  <c r="G530" i="9"/>
  <c r="E530" i="9"/>
  <c r="C530" i="9"/>
  <c r="F529" i="9"/>
  <c r="D529" i="9"/>
  <c r="B529" i="9"/>
  <c r="E528" i="9"/>
  <c r="C528" i="9"/>
  <c r="G527" i="9"/>
  <c r="E527" i="9"/>
  <c r="C527" i="9"/>
  <c r="G526" i="9"/>
  <c r="F526" i="9"/>
  <c r="E526" i="9"/>
  <c r="C526" i="9"/>
  <c r="E525" i="9"/>
  <c r="D525" i="9"/>
  <c r="B525" i="9"/>
  <c r="D524" i="9"/>
  <c r="C524" i="9"/>
  <c r="B524" i="9"/>
  <c r="E523" i="9"/>
  <c r="C523" i="9"/>
  <c r="G522" i="9"/>
  <c r="E522" i="9"/>
  <c r="C522" i="9"/>
  <c r="G521" i="9"/>
  <c r="E521" i="9"/>
  <c r="D521" i="9"/>
  <c r="C521" i="9"/>
  <c r="G520" i="9"/>
  <c r="F520" i="9"/>
  <c r="D520" i="9"/>
  <c r="B520" i="9"/>
  <c r="F519" i="9"/>
  <c r="D519" i="9"/>
  <c r="B519" i="9"/>
  <c r="G518" i="9"/>
  <c r="D518" i="9"/>
  <c r="G517" i="9"/>
  <c r="F517" i="9"/>
  <c r="D517" i="9"/>
  <c r="G516" i="9"/>
  <c r="D516" i="9"/>
  <c r="B516" i="9"/>
  <c r="F515" i="9"/>
  <c r="D515" i="9"/>
  <c r="B515" i="9"/>
  <c r="F514" i="9"/>
  <c r="D514" i="9"/>
  <c r="B514" i="9"/>
  <c r="G513" i="9"/>
  <c r="E513" i="9"/>
  <c r="B513" i="9"/>
  <c r="E512" i="9"/>
  <c r="C512" i="9"/>
  <c r="G511" i="9"/>
  <c r="E511" i="9"/>
  <c r="D511" i="9"/>
  <c r="B511" i="9"/>
  <c r="E510" i="9"/>
  <c r="C510" i="9"/>
  <c r="F509" i="9"/>
  <c r="E509" i="9"/>
  <c r="C509" i="9"/>
  <c r="F483" i="9"/>
  <c r="D483" i="9"/>
  <c r="C483" i="9"/>
  <c r="F482" i="9"/>
  <c r="D482" i="9"/>
  <c r="B482" i="9"/>
  <c r="F481" i="9"/>
  <c r="D481" i="9"/>
  <c r="B481" i="9"/>
  <c r="E480" i="9"/>
  <c r="C480" i="9"/>
  <c r="G479" i="9"/>
  <c r="E479" i="9"/>
  <c r="D479" i="9"/>
  <c r="G478" i="9"/>
  <c r="F478" i="9"/>
  <c r="D478" i="9"/>
  <c r="B478" i="9"/>
  <c r="F477" i="9"/>
  <c r="D477" i="9"/>
  <c r="C477" i="9"/>
  <c r="G476" i="9"/>
  <c r="E476" i="9"/>
  <c r="C476" i="9"/>
  <c r="G475" i="9"/>
  <c r="F475" i="9"/>
  <c r="D475" i="9"/>
  <c r="B475" i="9"/>
  <c r="F474" i="9"/>
  <c r="D474" i="9"/>
  <c r="G473" i="9"/>
  <c r="F473" i="9"/>
  <c r="C473" i="9"/>
  <c r="G472" i="9"/>
  <c r="E472" i="9"/>
  <c r="D472" i="9"/>
  <c r="F471" i="9"/>
  <c r="D471" i="9"/>
  <c r="C471" i="9"/>
  <c r="G470" i="9"/>
  <c r="F470" i="9"/>
  <c r="D470" i="9"/>
  <c r="B470" i="9"/>
  <c r="F469" i="9"/>
  <c r="D469" i="9"/>
  <c r="B469" i="9"/>
  <c r="F468" i="9"/>
  <c r="D468" i="9"/>
  <c r="B468" i="9"/>
  <c r="G467" i="9"/>
  <c r="E467" i="9"/>
  <c r="C467" i="9"/>
  <c r="G466" i="9"/>
  <c r="C445" i="9"/>
  <c r="B445" i="9"/>
  <c r="G444" i="9"/>
  <c r="F444" i="9"/>
  <c r="E444" i="9"/>
  <c r="D444" i="9"/>
  <c r="C444" i="9"/>
  <c r="B444" i="9"/>
  <c r="G443" i="9"/>
  <c r="F443" i="9"/>
  <c r="E443" i="9"/>
  <c r="D443" i="9"/>
  <c r="C443" i="9"/>
  <c r="B443" i="9"/>
  <c r="G442" i="9"/>
  <c r="F442" i="9"/>
  <c r="E442" i="9"/>
  <c r="D442" i="9"/>
  <c r="C442" i="9"/>
  <c r="B442" i="9"/>
  <c r="G441" i="9"/>
  <c r="F441" i="9"/>
  <c r="E441" i="9"/>
  <c r="D441" i="9"/>
  <c r="C441" i="9"/>
  <c r="B441" i="9"/>
  <c r="G440" i="9"/>
  <c r="E440" i="9"/>
  <c r="C440" i="9"/>
  <c r="G439" i="9"/>
  <c r="E439" i="9"/>
  <c r="C439" i="9"/>
  <c r="G438" i="9"/>
  <c r="E438" i="9"/>
  <c r="C438" i="9"/>
  <c r="G437" i="9"/>
  <c r="E437" i="9"/>
  <c r="C437" i="9"/>
  <c r="G436" i="9"/>
  <c r="E436" i="9"/>
  <c r="C436" i="9"/>
  <c r="F435" i="9"/>
  <c r="C435" i="9"/>
  <c r="B435" i="9"/>
  <c r="F434" i="9"/>
  <c r="D434" i="9"/>
  <c r="B434" i="9"/>
  <c r="G433" i="9"/>
  <c r="F433" i="9"/>
  <c r="D433" i="9"/>
  <c r="B433" i="9"/>
  <c r="G432" i="9"/>
  <c r="F432" i="9"/>
  <c r="D432" i="9"/>
  <c r="B432" i="9"/>
  <c r="E431" i="9"/>
  <c r="C431" i="9"/>
  <c r="G430" i="9"/>
  <c r="E430" i="9"/>
  <c r="D430" i="9"/>
  <c r="H430" i="9" s="1"/>
  <c r="G429" i="9"/>
  <c r="F429" i="9"/>
  <c r="D429" i="9"/>
  <c r="C429" i="9"/>
  <c r="G428" i="9"/>
  <c r="F428" i="9"/>
  <c r="D428" i="9"/>
  <c r="B428" i="9"/>
  <c r="E427" i="9"/>
  <c r="C427" i="9"/>
  <c r="G426" i="9"/>
  <c r="E426" i="9"/>
  <c r="C426" i="9"/>
  <c r="G425" i="9"/>
  <c r="F425" i="9"/>
  <c r="C425" i="9"/>
  <c r="G423" i="9"/>
  <c r="F423" i="9"/>
  <c r="E423" i="9"/>
  <c r="D423" i="9"/>
  <c r="C423" i="9"/>
  <c r="B423" i="9"/>
  <c r="F422" i="9"/>
  <c r="D422" i="9"/>
  <c r="B422" i="9"/>
  <c r="E421" i="9"/>
  <c r="C421" i="9"/>
  <c r="G420" i="9"/>
  <c r="F420" i="9"/>
  <c r="D420" i="9"/>
  <c r="B420" i="9"/>
  <c r="E419" i="9"/>
  <c r="C419" i="9"/>
  <c r="F418" i="9"/>
  <c r="D418" i="9"/>
  <c r="B418" i="9"/>
  <c r="F417" i="9"/>
  <c r="D417" i="9"/>
  <c r="B417" i="9"/>
  <c r="G416" i="9"/>
  <c r="F416" i="9"/>
  <c r="D416" i="9"/>
  <c r="H416" i="9" s="1"/>
  <c r="B416" i="9"/>
  <c r="E415" i="9"/>
  <c r="C415" i="9"/>
  <c r="G414" i="9"/>
  <c r="E414" i="9"/>
  <c r="C414" i="9"/>
  <c r="G413" i="9"/>
  <c r="E413" i="9"/>
  <c r="C413" i="9"/>
  <c r="B413" i="9"/>
  <c r="E412" i="9"/>
  <c r="C412" i="9"/>
  <c r="E411" i="9"/>
  <c r="C411" i="9"/>
  <c r="G410" i="9"/>
  <c r="D410" i="9"/>
  <c r="B410" i="9"/>
  <c r="E409" i="9"/>
  <c r="C409" i="9"/>
  <c r="G408" i="9"/>
  <c r="E408" i="9"/>
  <c r="C408" i="9"/>
  <c r="G407" i="9"/>
  <c r="E407" i="9"/>
  <c r="C407" i="9"/>
  <c r="G406" i="9"/>
  <c r="E406" i="9"/>
  <c r="C406" i="9"/>
  <c r="G405" i="9"/>
  <c r="D405" i="9"/>
  <c r="B405" i="9"/>
  <c r="F404" i="9"/>
  <c r="D404" i="9"/>
  <c r="B404" i="9"/>
  <c r="F403" i="9"/>
  <c r="D403" i="9"/>
  <c r="C403" i="9"/>
  <c r="G402" i="9"/>
  <c r="E402" i="9"/>
  <c r="C402" i="9"/>
  <c r="G401" i="9"/>
  <c r="E401" i="9"/>
  <c r="C401" i="9"/>
  <c r="G400" i="9"/>
  <c r="E400" i="9"/>
  <c r="C400" i="9"/>
  <c r="G399" i="9"/>
  <c r="E399" i="9"/>
  <c r="C399" i="9"/>
  <c r="F398" i="9"/>
  <c r="E398" i="9"/>
  <c r="B398" i="9"/>
  <c r="F397" i="9"/>
  <c r="D397" i="9"/>
  <c r="C397" i="9"/>
  <c r="G396" i="9"/>
  <c r="E396" i="9"/>
  <c r="C396" i="9"/>
  <c r="G395" i="9"/>
  <c r="E395" i="9"/>
  <c r="C395" i="9"/>
  <c r="G394" i="9"/>
  <c r="E394" i="9"/>
  <c r="B394" i="9"/>
  <c r="F393" i="9"/>
  <c r="D393" i="9"/>
  <c r="B393" i="9"/>
  <c r="F392" i="9"/>
  <c r="D392" i="9"/>
  <c r="H392" i="9" s="1"/>
  <c r="B392" i="9"/>
  <c r="F391" i="9"/>
  <c r="D391" i="9"/>
  <c r="B391" i="9"/>
  <c r="F390" i="9"/>
  <c r="D390" i="9"/>
  <c r="B390" i="9"/>
  <c r="E389" i="9"/>
  <c r="C389" i="9"/>
  <c r="G388" i="9"/>
  <c r="E388" i="9"/>
  <c r="B388" i="9"/>
  <c r="F387" i="9"/>
  <c r="E387" i="9"/>
  <c r="B387" i="9"/>
  <c r="F386" i="9"/>
  <c r="D386" i="9"/>
  <c r="C386" i="9"/>
  <c r="F385" i="9"/>
  <c r="E385" i="9"/>
  <c r="C385" i="9"/>
  <c r="F384" i="9"/>
  <c r="D384" i="9"/>
  <c r="B384" i="9"/>
  <c r="D383" i="9"/>
  <c r="B383" i="9"/>
  <c r="G382" i="9"/>
  <c r="E382" i="9"/>
  <c r="C382" i="9"/>
  <c r="F381" i="9"/>
  <c r="D381" i="9"/>
  <c r="C381" i="9"/>
  <c r="B381" i="9"/>
  <c r="G380" i="9"/>
  <c r="E380" i="9"/>
  <c r="C380" i="9"/>
  <c r="G379" i="9"/>
  <c r="E379" i="9"/>
  <c r="C379" i="9"/>
  <c r="G378" i="9"/>
  <c r="E378" i="9"/>
  <c r="C378" i="9"/>
  <c r="G377" i="9"/>
  <c r="E377" i="9"/>
  <c r="C377" i="9"/>
  <c r="F376" i="9"/>
  <c r="C376" i="9"/>
  <c r="G375" i="9"/>
  <c r="E375" i="9"/>
  <c r="C375" i="9"/>
  <c r="G374" i="9"/>
  <c r="E374" i="9"/>
  <c r="B374" i="9"/>
  <c r="F373" i="9"/>
  <c r="D373" i="9"/>
  <c r="B373" i="9"/>
  <c r="G372" i="9"/>
  <c r="E372" i="9"/>
  <c r="G371" i="9"/>
  <c r="E371" i="9"/>
  <c r="C371" i="9"/>
  <c r="G370" i="9"/>
  <c r="E370" i="9"/>
  <c r="C370" i="9"/>
  <c r="G369" i="9"/>
  <c r="E369" i="9"/>
  <c r="C369" i="9"/>
  <c r="G368" i="9"/>
  <c r="F368" i="9"/>
  <c r="D368" i="9"/>
  <c r="H368" i="9" s="1"/>
  <c r="G367" i="9"/>
  <c r="E367" i="9"/>
  <c r="B367" i="9"/>
  <c r="F366" i="9"/>
  <c r="D366" i="9"/>
  <c r="B366" i="9"/>
  <c r="E365" i="9"/>
  <c r="C365" i="9"/>
  <c r="G364" i="9"/>
  <c r="F364" i="9"/>
  <c r="D364" i="9"/>
  <c r="B364" i="9"/>
  <c r="F363" i="9"/>
  <c r="D363" i="9"/>
  <c r="B363" i="9"/>
  <c r="E362" i="9"/>
  <c r="C362" i="9"/>
  <c r="G361" i="9"/>
  <c r="E361" i="9"/>
  <c r="B361" i="9"/>
  <c r="G360" i="9"/>
  <c r="E360" i="9"/>
  <c r="C360" i="9"/>
  <c r="G359" i="9"/>
  <c r="E359" i="9"/>
  <c r="C359" i="9"/>
  <c r="F358" i="9"/>
  <c r="E358" i="9"/>
  <c r="B358" i="9"/>
  <c r="F357" i="9"/>
  <c r="E357" i="9"/>
  <c r="C357" i="9"/>
  <c r="G356" i="9"/>
  <c r="E356" i="9"/>
  <c r="C356" i="9"/>
  <c r="G355" i="9"/>
  <c r="D355" i="9"/>
  <c r="C355" i="9"/>
  <c r="F354" i="9"/>
  <c r="D354" i="9"/>
  <c r="B354" i="9"/>
  <c r="F353" i="9"/>
  <c r="E353" i="9"/>
  <c r="C353" i="9"/>
  <c r="G352" i="9"/>
  <c r="E352" i="9"/>
  <c r="C352" i="9"/>
  <c r="G351" i="9"/>
  <c r="E351" i="9"/>
  <c r="B351" i="9"/>
  <c r="F350" i="9"/>
  <c r="E350" i="9"/>
  <c r="B350" i="9"/>
  <c r="F349" i="9"/>
  <c r="C349" i="9"/>
  <c r="F348" i="9"/>
  <c r="E348" i="9"/>
  <c r="B348" i="9"/>
  <c r="G347" i="9"/>
  <c r="E347" i="9"/>
  <c r="B347" i="9"/>
  <c r="F346" i="9"/>
  <c r="D346" i="9"/>
  <c r="B346" i="9"/>
  <c r="F345" i="9"/>
  <c r="C345" i="9"/>
  <c r="G344" i="9"/>
  <c r="E344" i="9"/>
  <c r="C344" i="9"/>
  <c r="G343" i="9"/>
  <c r="F343" i="9"/>
  <c r="C343" i="9"/>
  <c r="G342" i="9"/>
  <c r="E342" i="9"/>
  <c r="C342" i="9"/>
  <c r="G341" i="9"/>
  <c r="D341" i="9"/>
  <c r="C341" i="9"/>
  <c r="G340" i="9"/>
  <c r="E340" i="9"/>
  <c r="C340" i="9"/>
  <c r="G339" i="9"/>
  <c r="E339" i="9"/>
  <c r="C339" i="9"/>
  <c r="F338" i="9"/>
  <c r="E338" i="9"/>
  <c r="D338" i="9"/>
  <c r="C338" i="9"/>
  <c r="B338" i="9"/>
  <c r="G337" i="9"/>
  <c r="F337" i="9"/>
  <c r="E337" i="9"/>
  <c r="D337" i="9"/>
  <c r="C337" i="9"/>
  <c r="B337" i="9"/>
  <c r="G336" i="9"/>
  <c r="F336" i="9"/>
  <c r="E336" i="9"/>
  <c r="D336" i="9"/>
  <c r="C336" i="9"/>
  <c r="B336" i="9"/>
  <c r="G335" i="9"/>
  <c r="F335" i="9"/>
  <c r="E335" i="9"/>
  <c r="D335" i="9"/>
  <c r="C335" i="9"/>
  <c r="B335" i="9"/>
  <c r="G334" i="9"/>
  <c r="F334" i="9"/>
  <c r="E334" i="9"/>
  <c r="D334" i="9"/>
  <c r="C334" i="9"/>
  <c r="B334" i="9"/>
  <c r="G333" i="9"/>
  <c r="F333" i="9"/>
  <c r="E333" i="9"/>
  <c r="D333" i="9"/>
  <c r="C333" i="9"/>
  <c r="B333" i="9"/>
  <c r="G332" i="9"/>
  <c r="F332" i="9"/>
  <c r="E332" i="9"/>
  <c r="D332" i="9"/>
  <c r="C332" i="9"/>
  <c r="B332" i="9"/>
  <c r="G331" i="9"/>
  <c r="F331" i="9"/>
  <c r="E331" i="9"/>
  <c r="D331" i="9"/>
  <c r="C331" i="9"/>
  <c r="B331" i="9"/>
  <c r="G330" i="9"/>
  <c r="F330" i="9"/>
  <c r="E330" i="9"/>
  <c r="D330" i="9"/>
  <c r="C330" i="9"/>
  <c r="B330" i="9"/>
  <c r="G329" i="9"/>
  <c r="F329" i="9"/>
  <c r="E329" i="9"/>
  <c r="D329" i="9"/>
  <c r="C329" i="9"/>
  <c r="B329" i="9"/>
  <c r="G328" i="9"/>
  <c r="F328" i="9"/>
  <c r="E328" i="9"/>
  <c r="D328" i="9"/>
  <c r="C328" i="9"/>
  <c r="B328" i="9"/>
  <c r="G327" i="9"/>
  <c r="F327" i="9"/>
  <c r="E327" i="9"/>
  <c r="D327" i="9"/>
  <c r="C327" i="9"/>
  <c r="B327" i="9"/>
  <c r="G326" i="9"/>
  <c r="F326" i="9"/>
  <c r="E326" i="9"/>
  <c r="D326" i="9"/>
  <c r="C326" i="9"/>
  <c r="B326" i="9"/>
  <c r="G325" i="9"/>
  <c r="F325" i="9"/>
  <c r="E325" i="9"/>
  <c r="D325" i="9"/>
  <c r="C325" i="9"/>
  <c r="B325" i="9"/>
  <c r="G324" i="9"/>
  <c r="F324" i="9"/>
  <c r="E324" i="9"/>
  <c r="D324" i="9"/>
  <c r="C324" i="9"/>
  <c r="B324" i="9"/>
  <c r="G323" i="9"/>
  <c r="F323" i="9"/>
  <c r="E323" i="9"/>
  <c r="D323" i="9"/>
  <c r="C323" i="9"/>
  <c r="B323" i="9"/>
  <c r="G322" i="9"/>
  <c r="F322" i="9"/>
  <c r="E322" i="9"/>
  <c r="D322" i="9"/>
  <c r="C322" i="9"/>
  <c r="B322" i="9"/>
  <c r="G321" i="9"/>
  <c r="F321" i="9"/>
  <c r="E321" i="9"/>
  <c r="D321" i="9"/>
  <c r="B321" i="9"/>
  <c r="F320" i="9"/>
  <c r="D320" i="9"/>
  <c r="B320" i="9"/>
  <c r="D319" i="9"/>
  <c r="B319" i="9"/>
  <c r="E318" i="9"/>
  <c r="C318" i="9"/>
  <c r="G317" i="9"/>
  <c r="F317" i="9"/>
  <c r="D317" i="9"/>
  <c r="B317" i="9"/>
  <c r="F316" i="9"/>
  <c r="D316" i="9"/>
  <c r="B316" i="9"/>
  <c r="F315" i="9"/>
  <c r="D315" i="9"/>
  <c r="B315" i="9"/>
  <c r="F314" i="9"/>
  <c r="D314" i="9"/>
  <c r="B314" i="9"/>
  <c r="F313" i="9"/>
  <c r="D313" i="9"/>
  <c r="H313" i="9" s="1"/>
  <c r="B313" i="9"/>
  <c r="F312" i="9"/>
  <c r="D312" i="9"/>
  <c r="B312" i="9"/>
  <c r="E310" i="9"/>
  <c r="C310" i="9"/>
  <c r="G309" i="9"/>
  <c r="E309" i="9"/>
  <c r="C309" i="9"/>
  <c r="G308" i="9"/>
  <c r="E308" i="9"/>
  <c r="C308" i="9"/>
  <c r="G307" i="9"/>
  <c r="E307" i="9"/>
  <c r="C307" i="9"/>
  <c r="G306" i="9"/>
  <c r="E306" i="9"/>
  <c r="C306" i="9"/>
  <c r="G305" i="9"/>
  <c r="E305" i="9"/>
  <c r="C305" i="9"/>
  <c r="G304" i="9"/>
  <c r="F304" i="9"/>
  <c r="D304" i="9"/>
  <c r="H304" i="9" s="1"/>
  <c r="G303" i="9"/>
  <c r="E303" i="9"/>
  <c r="C303" i="9"/>
  <c r="F302" i="9"/>
  <c r="D302" i="9"/>
  <c r="B302" i="9"/>
  <c r="G301" i="9"/>
  <c r="E301" i="9"/>
  <c r="C301" i="9"/>
  <c r="B301" i="9"/>
  <c r="G300" i="9"/>
  <c r="E300" i="9"/>
  <c r="C300" i="9"/>
  <c r="G299" i="9"/>
  <c r="E299" i="9"/>
  <c r="C299" i="9"/>
  <c r="G298" i="9"/>
  <c r="E298" i="9"/>
  <c r="C298" i="9"/>
  <c r="F297" i="9"/>
  <c r="D297" i="9"/>
  <c r="C297" i="9"/>
  <c r="B297" i="9"/>
  <c r="G296" i="9"/>
  <c r="F296" i="9"/>
  <c r="E296" i="9"/>
  <c r="D296" i="9"/>
  <c r="C296" i="9"/>
  <c r="B296" i="9"/>
  <c r="G295" i="9"/>
  <c r="F295" i="9"/>
  <c r="E295" i="9"/>
  <c r="D295" i="9"/>
  <c r="C295" i="9"/>
  <c r="B295" i="9"/>
  <c r="G294" i="9"/>
  <c r="F294" i="9"/>
  <c r="E294" i="9"/>
  <c r="D294" i="9"/>
  <c r="C294" i="9"/>
  <c r="B294" i="9"/>
  <c r="G293" i="9"/>
  <c r="F293" i="9"/>
  <c r="E293" i="9"/>
  <c r="D293" i="9"/>
  <c r="C293" i="9"/>
  <c r="B293" i="9"/>
  <c r="G292" i="9"/>
  <c r="F292" i="9"/>
  <c r="E292" i="9"/>
  <c r="D292" i="9"/>
  <c r="C292" i="9"/>
  <c r="B292" i="9"/>
  <c r="G291" i="9"/>
  <c r="F291" i="9"/>
  <c r="E291" i="9"/>
  <c r="D291" i="9"/>
  <c r="C291" i="9"/>
  <c r="B291" i="9"/>
  <c r="G290" i="9"/>
  <c r="F290" i="9"/>
  <c r="E290" i="9"/>
  <c r="D290" i="9"/>
  <c r="C290" i="9"/>
  <c r="B290" i="9"/>
  <c r="G289" i="9"/>
  <c r="F289" i="9"/>
  <c r="E289" i="9"/>
  <c r="D289" i="9"/>
  <c r="C289" i="9"/>
  <c r="B289" i="9"/>
  <c r="G288" i="9"/>
  <c r="F288" i="9"/>
  <c r="E288" i="9"/>
  <c r="D288" i="9"/>
  <c r="C288" i="9"/>
  <c r="B288" i="9"/>
  <c r="G287" i="9"/>
  <c r="F287" i="9"/>
  <c r="E287" i="9"/>
  <c r="D287" i="9"/>
  <c r="C287" i="9"/>
  <c r="B287" i="9"/>
  <c r="G286" i="9"/>
  <c r="F286" i="9"/>
  <c r="E286" i="9"/>
  <c r="D286" i="9"/>
  <c r="C286" i="9"/>
  <c r="B286" i="9"/>
  <c r="G285" i="9"/>
  <c r="F285" i="9"/>
  <c r="E285" i="9"/>
  <c r="D285" i="9"/>
  <c r="C285" i="9"/>
  <c r="B285" i="9"/>
  <c r="F284" i="9"/>
  <c r="D284" i="9"/>
  <c r="B284" i="9"/>
  <c r="G283" i="9"/>
  <c r="E283" i="9"/>
  <c r="C283" i="9"/>
  <c r="G282" i="9"/>
  <c r="E282" i="9"/>
  <c r="C282" i="9"/>
  <c r="F281" i="9"/>
  <c r="D281" i="9"/>
  <c r="B281" i="9"/>
  <c r="F280" i="9"/>
  <c r="G277" i="9"/>
  <c r="F277" i="9"/>
  <c r="D277" i="9"/>
  <c r="B277" i="9"/>
  <c r="F276" i="9"/>
  <c r="C276" i="9"/>
  <c r="G275" i="9"/>
  <c r="F275" i="9"/>
  <c r="D275" i="9"/>
  <c r="B275" i="9"/>
  <c r="F274" i="9"/>
  <c r="D274" i="9"/>
  <c r="B274" i="9"/>
  <c r="F273" i="9"/>
  <c r="D273" i="9"/>
  <c r="B273" i="9"/>
  <c r="E272" i="9"/>
  <c r="C272" i="9"/>
  <c r="G271" i="9"/>
  <c r="F271" i="9"/>
  <c r="E271" i="9"/>
  <c r="D271" i="9"/>
  <c r="C271" i="9"/>
  <c r="B271" i="9"/>
  <c r="G270" i="9"/>
  <c r="F270" i="9"/>
  <c r="E270" i="9"/>
  <c r="D270" i="9"/>
  <c r="C270" i="9"/>
  <c r="B270" i="9"/>
  <c r="G269" i="9"/>
  <c r="F269" i="9"/>
  <c r="E269" i="9"/>
  <c r="D269" i="9"/>
  <c r="C269" i="9"/>
  <c r="B269" i="9"/>
  <c r="G268" i="9"/>
  <c r="F268" i="9"/>
  <c r="E268" i="9"/>
  <c r="D268" i="9"/>
  <c r="C268" i="9"/>
  <c r="B268" i="9"/>
  <c r="G267" i="9"/>
  <c r="F267" i="9"/>
  <c r="E267" i="9"/>
  <c r="D267" i="9"/>
  <c r="C267" i="9"/>
  <c r="B267" i="9"/>
  <c r="G266" i="9"/>
  <c r="F266" i="9"/>
  <c r="E266" i="9"/>
  <c r="D266" i="9"/>
  <c r="C266" i="9"/>
  <c r="B266" i="9"/>
  <c r="G265" i="9"/>
  <c r="F265" i="9"/>
  <c r="E265" i="9"/>
  <c r="D265" i="9"/>
  <c r="C265" i="9"/>
  <c r="B265" i="9"/>
  <c r="G264" i="9"/>
  <c r="F264" i="9"/>
  <c r="E264" i="9"/>
  <c r="D264" i="9"/>
  <c r="C264" i="9"/>
  <c r="B264" i="9"/>
  <c r="G263" i="9"/>
  <c r="F263" i="9"/>
  <c r="E263" i="9"/>
  <c r="D263" i="9"/>
  <c r="C263" i="9"/>
  <c r="B263" i="9"/>
  <c r="G262" i="9"/>
  <c r="F262" i="9"/>
  <c r="E262" i="9"/>
  <c r="D262" i="9"/>
  <c r="C262" i="9"/>
  <c r="B262" i="9"/>
  <c r="G261" i="9"/>
  <c r="F261" i="9"/>
  <c r="E261" i="9"/>
  <c r="D261" i="9"/>
  <c r="C261" i="9"/>
  <c r="B261" i="9"/>
  <c r="G260" i="9"/>
  <c r="F260" i="9"/>
  <c r="E260" i="9"/>
  <c r="D260" i="9"/>
  <c r="C260" i="9"/>
  <c r="B260" i="9"/>
  <c r="G259" i="9"/>
  <c r="F259" i="9"/>
  <c r="E259" i="9"/>
  <c r="D259" i="9"/>
  <c r="C259" i="9"/>
  <c r="B259" i="9"/>
  <c r="G258" i="9"/>
  <c r="F258" i="9"/>
  <c r="E258" i="9"/>
  <c r="D258" i="9"/>
  <c r="C258" i="9"/>
  <c r="B258" i="9"/>
  <c r="G257" i="9"/>
  <c r="F257" i="9"/>
  <c r="E257" i="9"/>
  <c r="D257" i="9"/>
  <c r="C257" i="9"/>
  <c r="B257" i="9"/>
  <c r="G256" i="9"/>
  <c r="F256" i="9"/>
  <c r="E256" i="9"/>
  <c r="D256" i="9"/>
  <c r="C256" i="9"/>
  <c r="B256" i="9"/>
  <c r="G255" i="9"/>
  <c r="F255" i="9"/>
  <c r="E255" i="9"/>
  <c r="D255" i="9"/>
  <c r="C255" i="9"/>
  <c r="B255" i="9"/>
  <c r="G254" i="9"/>
  <c r="F254" i="9"/>
  <c r="E254" i="9"/>
  <c r="D254" i="9"/>
  <c r="C254" i="9"/>
  <c r="B254" i="9"/>
  <c r="G253" i="9"/>
  <c r="F253" i="9"/>
  <c r="E253" i="9"/>
  <c r="D253" i="9"/>
  <c r="C253" i="9"/>
  <c r="B253" i="9"/>
  <c r="G252" i="9"/>
  <c r="F252" i="9"/>
  <c r="E252" i="9"/>
  <c r="D252" i="9"/>
  <c r="C252" i="9"/>
  <c r="B252" i="9"/>
  <c r="G251" i="9"/>
  <c r="F251" i="9"/>
  <c r="E251" i="9"/>
  <c r="D251" i="9"/>
  <c r="C251" i="9"/>
  <c r="B251" i="9"/>
  <c r="G250" i="9"/>
  <c r="F250" i="9"/>
  <c r="E250" i="9"/>
  <c r="D250" i="9"/>
  <c r="C250" i="9"/>
  <c r="B250" i="9"/>
  <c r="G249" i="9"/>
  <c r="F249" i="9"/>
  <c r="E249" i="9"/>
  <c r="D249" i="9"/>
  <c r="C249" i="9"/>
  <c r="B249" i="9"/>
  <c r="G248" i="9"/>
  <c r="F248" i="9"/>
  <c r="E248" i="9"/>
  <c r="D248" i="9"/>
  <c r="C248" i="9"/>
  <c r="B248" i="9"/>
  <c r="G247" i="9"/>
  <c r="F247" i="9"/>
  <c r="E247" i="9"/>
  <c r="D247" i="9"/>
  <c r="C247" i="9"/>
  <c r="B247" i="9"/>
  <c r="G246" i="9"/>
  <c r="F246" i="9"/>
  <c r="E246" i="9"/>
  <c r="D246" i="9"/>
  <c r="C246" i="9"/>
  <c r="B246" i="9"/>
  <c r="G245" i="9"/>
  <c r="F245" i="9"/>
  <c r="E245" i="9"/>
  <c r="D245" i="9"/>
  <c r="C245" i="9"/>
  <c r="B245" i="9"/>
  <c r="G244" i="9"/>
  <c r="F244" i="9"/>
  <c r="E244" i="9"/>
  <c r="D244" i="9"/>
  <c r="C244" i="9"/>
  <c r="B244" i="9"/>
  <c r="G243" i="9"/>
  <c r="F243" i="9"/>
  <c r="E243" i="9"/>
  <c r="D243" i="9"/>
  <c r="C243" i="9"/>
  <c r="B243" i="9"/>
  <c r="G242" i="9"/>
  <c r="F242" i="9"/>
  <c r="E242" i="9"/>
  <c r="D242" i="9"/>
  <c r="C242" i="9"/>
  <c r="B242" i="9"/>
  <c r="G241" i="9"/>
  <c r="F241" i="9"/>
  <c r="E241" i="9"/>
  <c r="D241" i="9"/>
  <c r="C241" i="9"/>
  <c r="B241" i="9"/>
  <c r="G240" i="9"/>
  <c r="F240" i="9"/>
  <c r="E240" i="9"/>
  <c r="D240" i="9"/>
  <c r="C240" i="9"/>
  <c r="B240" i="9"/>
  <c r="G239" i="9"/>
  <c r="F239" i="9"/>
  <c r="E239" i="9"/>
  <c r="D239" i="9"/>
  <c r="C239" i="9"/>
  <c r="B239" i="9"/>
  <c r="G238" i="9"/>
  <c r="F238" i="9"/>
  <c r="E238" i="9"/>
  <c r="D238" i="9"/>
  <c r="C238" i="9"/>
  <c r="B238" i="9"/>
  <c r="G237" i="9"/>
  <c r="F237" i="9"/>
  <c r="E237" i="9"/>
  <c r="D237" i="9"/>
  <c r="C237" i="9"/>
  <c r="B237" i="9"/>
  <c r="G236" i="9"/>
  <c r="F236" i="9"/>
  <c r="E236" i="9"/>
  <c r="D236" i="9"/>
  <c r="C236" i="9"/>
  <c r="B236" i="9"/>
  <c r="G235" i="9"/>
  <c r="F235" i="9"/>
  <c r="E235" i="9"/>
  <c r="D235" i="9"/>
  <c r="C235" i="9"/>
  <c r="B235" i="9"/>
  <c r="G234" i="9"/>
  <c r="F234" i="9"/>
  <c r="E234" i="9"/>
  <c r="D234" i="9"/>
  <c r="C234" i="9"/>
  <c r="B234" i="9"/>
  <c r="G233" i="9"/>
  <c r="F233" i="9"/>
  <c r="E233" i="9"/>
  <c r="D233" i="9"/>
  <c r="C233" i="9"/>
  <c r="B233" i="9"/>
  <c r="G232" i="9"/>
  <c r="F232" i="9"/>
  <c r="E232" i="9"/>
  <c r="D232" i="9"/>
  <c r="C232" i="9"/>
  <c r="B232" i="9"/>
  <c r="G231" i="9"/>
  <c r="F231" i="9"/>
  <c r="E231" i="9"/>
  <c r="D231" i="9"/>
  <c r="C231" i="9"/>
  <c r="B231" i="9"/>
  <c r="G230" i="9"/>
  <c r="F230" i="9"/>
  <c r="E230" i="9"/>
  <c r="D230" i="9"/>
  <c r="C230" i="9"/>
  <c r="B230" i="9"/>
  <c r="G229" i="9"/>
  <c r="F229" i="9"/>
  <c r="E229" i="9"/>
  <c r="D229" i="9"/>
  <c r="C229" i="9"/>
  <c r="B229" i="9"/>
  <c r="G228" i="9"/>
  <c r="F228" i="9"/>
  <c r="E228" i="9"/>
  <c r="D228" i="9"/>
  <c r="C228" i="9"/>
  <c r="B228" i="9"/>
  <c r="G227" i="9"/>
  <c r="F227" i="9"/>
  <c r="E227" i="9"/>
  <c r="D227" i="9"/>
  <c r="C227" i="9"/>
  <c r="B227" i="9"/>
  <c r="G226" i="9"/>
  <c r="F226" i="9"/>
  <c r="E226" i="9"/>
  <c r="D226" i="9"/>
  <c r="C226" i="9"/>
  <c r="B226" i="9"/>
  <c r="G225" i="9"/>
  <c r="F225" i="9"/>
  <c r="E225" i="9"/>
  <c r="D225" i="9"/>
  <c r="C225" i="9"/>
  <c r="B225" i="9"/>
  <c r="G224" i="9"/>
  <c r="F224" i="9"/>
  <c r="E224" i="9"/>
  <c r="D224" i="9"/>
  <c r="C224" i="9"/>
  <c r="B224" i="9"/>
  <c r="G223" i="9"/>
  <c r="F223" i="9"/>
  <c r="E223" i="9"/>
  <c r="D223" i="9"/>
  <c r="C223" i="9"/>
  <c r="B223" i="9"/>
  <c r="G222" i="9"/>
  <c r="F222" i="9"/>
  <c r="E222" i="9"/>
  <c r="D222" i="9"/>
  <c r="C222" i="9"/>
  <c r="B222" i="9"/>
  <c r="G221" i="9"/>
  <c r="F221" i="9"/>
  <c r="E221" i="9"/>
  <c r="D221" i="9"/>
  <c r="C221" i="9"/>
  <c r="B221" i="9"/>
  <c r="G220" i="9"/>
  <c r="F220" i="9"/>
  <c r="E220" i="9"/>
  <c r="D220" i="9"/>
  <c r="C220" i="9"/>
  <c r="B220" i="9"/>
  <c r="G219" i="9"/>
  <c r="F219" i="9"/>
  <c r="E219" i="9"/>
  <c r="D219" i="9"/>
  <c r="C219" i="9"/>
  <c r="B219" i="9"/>
  <c r="G218" i="9"/>
  <c r="F218" i="9"/>
  <c r="E218" i="9"/>
  <c r="D218" i="9"/>
  <c r="C218" i="9"/>
  <c r="B218" i="9"/>
  <c r="G217" i="9"/>
  <c r="F217" i="9"/>
  <c r="E217" i="9"/>
  <c r="D217" i="9"/>
  <c r="C217" i="9"/>
  <c r="B217" i="9"/>
  <c r="G216" i="9"/>
  <c r="F216" i="9"/>
  <c r="E216" i="9"/>
  <c r="D216" i="9"/>
  <c r="C216" i="9"/>
  <c r="B216" i="9"/>
  <c r="G215" i="9"/>
  <c r="F215" i="9"/>
  <c r="E215" i="9"/>
  <c r="D215" i="9"/>
  <c r="C215" i="9"/>
  <c r="B215" i="9"/>
  <c r="G214" i="9"/>
  <c r="F214" i="9"/>
  <c r="E214" i="9"/>
  <c r="D214" i="9"/>
  <c r="C214" i="9"/>
  <c r="B214" i="9"/>
  <c r="G213" i="9"/>
  <c r="F213" i="9"/>
  <c r="E213" i="9"/>
  <c r="D213" i="9"/>
  <c r="C213" i="9"/>
  <c r="B213" i="9"/>
  <c r="G212" i="9"/>
  <c r="F212" i="9"/>
  <c r="E212" i="9"/>
  <c r="D212" i="9"/>
  <c r="C212" i="9"/>
  <c r="B212" i="9"/>
  <c r="G211" i="9"/>
  <c r="F211" i="9"/>
  <c r="E211" i="9"/>
  <c r="D211" i="9"/>
  <c r="C211" i="9"/>
  <c r="B211" i="9"/>
  <c r="G210" i="9"/>
  <c r="F199" i="9"/>
  <c r="C199" i="9"/>
  <c r="G198" i="9"/>
  <c r="C198" i="9"/>
  <c r="D197" i="9"/>
  <c r="F196" i="9"/>
  <c r="D196" i="9"/>
  <c r="F195" i="9"/>
  <c r="C195" i="9"/>
  <c r="G194" i="9"/>
  <c r="D194" i="9"/>
  <c r="F193" i="9"/>
  <c r="C193" i="9"/>
  <c r="B192" i="9"/>
  <c r="G191" i="9"/>
  <c r="F191" i="9"/>
  <c r="D191" i="9"/>
  <c r="B191" i="9"/>
  <c r="F190" i="9"/>
  <c r="D190" i="9"/>
  <c r="B190" i="9"/>
  <c r="F189" i="9"/>
  <c r="D189" i="9"/>
  <c r="B189" i="9"/>
  <c r="G188" i="9"/>
  <c r="F188" i="9"/>
  <c r="C188" i="9"/>
  <c r="E187" i="9"/>
  <c r="F186" i="9"/>
  <c r="C186" i="9"/>
  <c r="F185" i="9"/>
  <c r="D185" i="9"/>
  <c r="F184" i="9"/>
  <c r="D184" i="9"/>
  <c r="G183" i="9"/>
  <c r="D183" i="9"/>
  <c r="B183" i="9"/>
  <c r="G182" i="9"/>
  <c r="E182" i="9"/>
  <c r="B182" i="9"/>
  <c r="F181" i="9"/>
  <c r="C181" i="9"/>
  <c r="F180" i="9"/>
  <c r="C180" i="9"/>
  <c r="G179" i="9"/>
  <c r="D179" i="9"/>
  <c r="B179" i="9"/>
  <c r="F178" i="9"/>
  <c r="D178" i="9"/>
  <c r="B178" i="9"/>
  <c r="F177" i="9"/>
  <c r="D177" i="9"/>
  <c r="B177" i="9"/>
  <c r="G176" i="9"/>
  <c r="E176" i="9"/>
  <c r="C176" i="9"/>
  <c r="D175" i="9"/>
  <c r="D174" i="9"/>
  <c r="B174" i="9"/>
  <c r="F173" i="9"/>
  <c r="F172" i="9"/>
  <c r="C172" i="9"/>
  <c r="F171" i="9"/>
  <c r="D171" i="9"/>
  <c r="F170" i="9"/>
  <c r="C170" i="9"/>
  <c r="D169" i="9"/>
  <c r="F168" i="9"/>
  <c r="D168" i="9"/>
  <c r="D167" i="9"/>
  <c r="F166" i="9"/>
  <c r="C166" i="9"/>
  <c r="E165" i="9"/>
  <c r="B165" i="9"/>
  <c r="G164" i="9"/>
  <c r="C164" i="9"/>
  <c r="B164" i="9"/>
  <c r="F163" i="9"/>
  <c r="C163" i="9"/>
  <c r="E162" i="9"/>
  <c r="B162" i="9"/>
  <c r="F161" i="9"/>
  <c r="D161" i="9"/>
  <c r="E160" i="9"/>
  <c r="B160" i="9"/>
  <c r="G159" i="9"/>
  <c r="E159" i="9"/>
  <c r="B159" i="9"/>
  <c r="C158" i="9"/>
  <c r="E157" i="9"/>
  <c r="C157" i="9"/>
  <c r="E156" i="9"/>
  <c r="C156" i="9"/>
  <c r="E155" i="9"/>
  <c r="C155" i="9"/>
  <c r="F154" i="9"/>
  <c r="C154" i="9"/>
  <c r="F153" i="9"/>
  <c r="C153" i="9"/>
  <c r="E152" i="9"/>
  <c r="B152" i="9"/>
  <c r="E151" i="9"/>
  <c r="C151" i="9"/>
  <c r="E150" i="9"/>
  <c r="B150" i="9"/>
  <c r="E149" i="9"/>
  <c r="C149" i="9"/>
  <c r="F148" i="9"/>
  <c r="C148" i="9"/>
  <c r="F147" i="9"/>
  <c r="C147" i="9"/>
  <c r="F146" i="9"/>
  <c r="C146" i="9"/>
  <c r="E145" i="9"/>
  <c r="B145" i="9"/>
  <c r="G144" i="9"/>
  <c r="E144" i="9"/>
  <c r="E143" i="9"/>
  <c r="E139" i="9"/>
  <c r="D138" i="9"/>
  <c r="E137" i="9"/>
  <c r="F136" i="9"/>
  <c r="B136" i="9"/>
  <c r="E135" i="9"/>
  <c r="C135" i="9"/>
  <c r="G134" i="9"/>
  <c r="D134" i="9"/>
  <c r="D133" i="9"/>
  <c r="G132" i="9"/>
  <c r="D132" i="9"/>
  <c r="E131" i="9"/>
  <c r="C131" i="9"/>
  <c r="F130" i="9"/>
  <c r="B130" i="9"/>
  <c r="G129" i="9"/>
  <c r="E129" i="9"/>
  <c r="B129" i="9"/>
  <c r="G128" i="9"/>
  <c r="F128" i="9"/>
  <c r="C128" i="9"/>
  <c r="G127" i="9"/>
  <c r="E127" i="9"/>
  <c r="B127" i="9"/>
  <c r="F126" i="9"/>
  <c r="D126" i="9"/>
  <c r="F125" i="9"/>
  <c r="D125" i="9"/>
  <c r="G124" i="9"/>
  <c r="D124" i="9"/>
  <c r="E123" i="9"/>
  <c r="B123" i="9"/>
  <c r="D122" i="9"/>
  <c r="B122" i="9"/>
  <c r="F121" i="9"/>
  <c r="C121" i="9"/>
  <c r="D120" i="9"/>
  <c r="E119" i="9"/>
  <c r="B119" i="9"/>
  <c r="F118" i="9"/>
  <c r="C118" i="9"/>
  <c r="G117" i="9"/>
  <c r="C117" i="9"/>
  <c r="F116" i="9"/>
  <c r="B116" i="9"/>
  <c r="G115" i="9"/>
  <c r="C115" i="9"/>
  <c r="E114" i="9"/>
  <c r="C114" i="9"/>
  <c r="D113" i="9"/>
  <c r="D112" i="9"/>
  <c r="D111" i="9"/>
  <c r="F110" i="9"/>
  <c r="C110" i="9"/>
  <c r="F109" i="9"/>
  <c r="C109" i="9"/>
  <c r="G108" i="9"/>
  <c r="E108" i="9"/>
  <c r="D107" i="9"/>
  <c r="F106" i="9"/>
  <c r="D105" i="9"/>
  <c r="E104" i="9"/>
  <c r="D103" i="9"/>
  <c r="F102" i="9"/>
  <c r="C102" i="9"/>
  <c r="G101" i="9"/>
  <c r="C101" i="9"/>
  <c r="D100" i="9"/>
  <c r="G99" i="9"/>
  <c r="D99" i="9"/>
  <c r="E98" i="9"/>
  <c r="E97" i="9"/>
  <c r="B97" i="9"/>
  <c r="E96" i="9"/>
  <c r="C96" i="9"/>
  <c r="G95" i="9"/>
  <c r="B95" i="9"/>
  <c r="E94" i="9"/>
  <c r="G93" i="9"/>
  <c r="D93" i="9"/>
  <c r="G92" i="9"/>
  <c r="C92" i="9"/>
  <c r="F91" i="9"/>
  <c r="C91" i="9"/>
  <c r="F90" i="9"/>
  <c r="D90" i="9"/>
  <c r="G89" i="9"/>
  <c r="D89" i="9"/>
  <c r="G88" i="9"/>
  <c r="D88" i="9"/>
  <c r="G87" i="9"/>
  <c r="D87" i="9"/>
  <c r="G86" i="9"/>
  <c r="D86" i="9"/>
  <c r="B81" i="9"/>
  <c r="E80" i="9"/>
  <c r="B80" i="9"/>
  <c r="E79" i="9"/>
  <c r="C79" i="9"/>
  <c r="E78" i="9"/>
  <c r="E77" i="9"/>
  <c r="G76" i="9"/>
  <c r="C76" i="9"/>
  <c r="F75" i="9"/>
  <c r="E74" i="9"/>
  <c r="F73" i="9"/>
  <c r="B73" i="9"/>
  <c r="E72" i="9"/>
  <c r="D72" i="9"/>
  <c r="C71" i="9"/>
  <c r="E70" i="9"/>
  <c r="C70" i="9"/>
  <c r="E69" i="9"/>
  <c r="C69" i="9"/>
  <c r="E68" i="9"/>
  <c r="C68" i="9"/>
  <c r="E67" i="9"/>
  <c r="C67" i="9"/>
  <c r="E66" i="9"/>
  <c r="D66" i="9"/>
  <c r="F65" i="9"/>
  <c r="D65" i="9"/>
  <c r="F64" i="9"/>
  <c r="D64" i="9"/>
  <c r="C63" i="9"/>
  <c r="D57" i="9"/>
  <c r="F56" i="9"/>
  <c r="C56" i="9"/>
  <c r="B55" i="9"/>
  <c r="F54" i="9"/>
  <c r="C54" i="9"/>
  <c r="D53" i="9"/>
  <c r="F52" i="9"/>
  <c r="D52" i="9"/>
  <c r="D51" i="9"/>
  <c r="F50" i="9"/>
  <c r="F49" i="9"/>
  <c r="C48" i="9"/>
  <c r="G47" i="9"/>
  <c r="C47" i="9"/>
  <c r="E46" i="9"/>
  <c r="B46" i="9"/>
  <c r="G45" i="9"/>
  <c r="C45" i="9"/>
  <c r="E44" i="9"/>
  <c r="B44" i="9"/>
  <c r="G43" i="9"/>
  <c r="D43" i="9"/>
  <c r="F42" i="9"/>
  <c r="E41" i="9"/>
  <c r="C41" i="9"/>
  <c r="E40" i="9"/>
  <c r="F39" i="9"/>
  <c r="B39" i="9"/>
  <c r="G38" i="9"/>
  <c r="E38" i="9"/>
  <c r="B38" i="9"/>
  <c r="G37" i="9"/>
  <c r="D37" i="9"/>
  <c r="G36" i="9"/>
  <c r="F36" i="9"/>
  <c r="C36" i="9"/>
  <c r="F35" i="9"/>
  <c r="C35" i="9"/>
  <c r="E34" i="9"/>
  <c r="C34" i="9"/>
  <c r="D33" i="9"/>
  <c r="G32" i="9"/>
  <c r="D32" i="9"/>
  <c r="F31" i="9"/>
  <c r="B31" i="9"/>
  <c r="F30" i="9"/>
  <c r="B30" i="9"/>
  <c r="G29" i="9"/>
  <c r="D29" i="9"/>
  <c r="C28" i="9"/>
  <c r="E27" i="9"/>
  <c r="D26" i="9"/>
  <c r="E25" i="9"/>
  <c r="E24" i="9"/>
  <c r="C24" i="9"/>
  <c r="F23" i="9"/>
  <c r="F22" i="9"/>
  <c r="D22" i="9"/>
  <c r="F21" i="9"/>
  <c r="F20" i="9"/>
  <c r="C20" i="9"/>
  <c r="G19" i="9"/>
  <c r="B19" i="9"/>
  <c r="C18" i="9"/>
  <c r="G17" i="9"/>
  <c r="C17" i="9"/>
  <c r="B10" i="8"/>
  <c r="B19" i="8" s="1"/>
  <c r="E13" i="6"/>
  <c r="F12" i="6"/>
  <c r="E12" i="6"/>
  <c r="F11" i="6"/>
  <c r="E9" i="6"/>
  <c r="F8" i="6"/>
  <c r="F7" i="6"/>
  <c r="F13" i="6"/>
  <c r="E11" i="6"/>
  <c r="F10" i="6"/>
  <c r="E10" i="6"/>
  <c r="F9" i="6"/>
  <c r="E8" i="6"/>
  <c r="E7" i="6"/>
  <c r="F6" i="6"/>
  <c r="E6" i="6"/>
  <c r="F20" i="5"/>
  <c r="G20" i="5" s="1"/>
  <c r="E33" i="4"/>
  <c r="H384" i="9" l="1"/>
  <c r="H325" i="9"/>
  <c r="H935" i="9"/>
  <c r="H931" i="9"/>
  <c r="H405" i="9"/>
  <c r="H268" i="9"/>
  <c r="H587" i="9"/>
  <c r="H383" i="9"/>
  <c r="H834" i="9"/>
  <c r="H355" i="9"/>
  <c r="H341" i="9"/>
  <c r="H320" i="9"/>
  <c r="H286" i="9"/>
  <c r="H81" i="9"/>
  <c r="H159" i="9"/>
  <c r="H153" i="9"/>
  <c r="H117" i="9"/>
  <c r="H71" i="9"/>
  <c r="H69" i="9"/>
  <c r="H67" i="9"/>
  <c r="H58" i="9"/>
  <c r="H49" i="9"/>
  <c r="H42" i="9"/>
  <c r="H24" i="9"/>
  <c r="H17" i="9"/>
  <c r="H728" i="9"/>
  <c r="H723" i="9"/>
  <c r="H713" i="9"/>
  <c r="H659" i="9"/>
  <c r="H333" i="9"/>
  <c r="H118" i="9"/>
  <c r="H165" i="9"/>
  <c r="H163" i="9"/>
  <c r="H156" i="9"/>
  <c r="H145" i="9"/>
  <c r="H139" i="9"/>
  <c r="H135" i="9"/>
  <c r="H128" i="9"/>
  <c r="H110" i="9"/>
  <c r="H91" i="9"/>
  <c r="H84" i="9"/>
  <c r="H76" i="9"/>
  <c r="H68" i="9"/>
  <c r="H40" i="9"/>
  <c r="H30" i="9"/>
  <c r="H729" i="9"/>
  <c r="H721" i="9"/>
  <c r="H717" i="9"/>
  <c r="H715" i="9"/>
  <c r="H714" i="9"/>
  <c r="H666" i="9"/>
  <c r="H658" i="9"/>
  <c r="H593" i="9"/>
  <c r="H443" i="9"/>
  <c r="H403" i="9"/>
  <c r="H241" i="9"/>
  <c r="H238" i="9"/>
  <c r="H227" i="9"/>
  <c r="H39" i="9"/>
  <c r="H38" i="9"/>
  <c r="H36" i="9"/>
  <c r="H35" i="9"/>
  <c r="H952" i="9"/>
  <c r="H936" i="9"/>
  <c r="H922" i="9"/>
  <c r="H916" i="9"/>
  <c r="H910" i="9"/>
  <c r="H909" i="9"/>
  <c r="H897" i="9"/>
  <c r="H208" i="9"/>
  <c r="H206" i="9"/>
  <c r="H202" i="9"/>
  <c r="H199" i="9"/>
  <c r="H198" i="9"/>
  <c r="H193" i="9"/>
  <c r="H192" i="9"/>
  <c r="I191" i="9"/>
  <c r="H188" i="9"/>
  <c r="H182" i="9"/>
  <c r="H180" i="9"/>
  <c r="H172" i="9"/>
  <c r="H164" i="9"/>
  <c r="H160" i="9"/>
  <c r="H157" i="9"/>
  <c r="H150" i="9"/>
  <c r="H144" i="9"/>
  <c r="H123" i="9"/>
  <c r="H104" i="9"/>
  <c r="H97" i="9"/>
  <c r="H83" i="9"/>
  <c r="H41" i="9"/>
  <c r="H18" i="9"/>
  <c r="H751" i="9"/>
  <c r="H712" i="9"/>
  <c r="H710" i="9"/>
  <c r="H683" i="9"/>
  <c r="H655" i="9"/>
  <c r="I651" i="9"/>
  <c r="H636" i="9"/>
  <c r="H432" i="9"/>
  <c r="H312" i="9"/>
  <c r="H270" i="9"/>
  <c r="H445" i="9"/>
  <c r="H252" i="9"/>
  <c r="H248" i="9"/>
  <c r="D15" i="4"/>
  <c r="D16" i="4"/>
  <c r="B25" i="8"/>
  <c r="H18" i="1" s="1"/>
  <c r="B24" i="8"/>
  <c r="E18" i="1" s="1"/>
  <c r="B26" i="8"/>
  <c r="B22" i="1" s="1"/>
  <c r="B20" i="8"/>
  <c r="C20" i="8" s="1"/>
  <c r="D20" i="8" s="1"/>
  <c r="E20" i="8" s="1"/>
  <c r="F20" i="8" s="1"/>
  <c r="G20" i="8" s="1"/>
  <c r="B23" i="8"/>
  <c r="B18" i="1" s="1"/>
  <c r="B27" i="8"/>
  <c r="E22" i="1" s="1"/>
  <c r="I650" i="9"/>
  <c r="I649" i="9"/>
  <c r="H649" i="9"/>
  <c r="H648" i="9"/>
  <c r="H647" i="9"/>
  <c r="H646" i="9"/>
  <c r="H645" i="9"/>
  <c r="H644" i="9"/>
  <c r="H643" i="9"/>
  <c r="H642" i="9"/>
  <c r="I640" i="9"/>
  <c r="I639" i="9"/>
  <c r="H639" i="9"/>
  <c r="I637" i="9"/>
  <c r="H637" i="9"/>
  <c r="I635" i="9"/>
  <c r="I634" i="9"/>
  <c r="H634" i="9"/>
  <c r="H633" i="9"/>
  <c r="I632" i="9"/>
  <c r="H632" i="9"/>
  <c r="I631" i="9"/>
  <c r="H630" i="9"/>
  <c r="H629" i="9"/>
  <c r="H628" i="9"/>
  <c r="H627" i="9"/>
  <c r="H626" i="9"/>
  <c r="I625" i="9"/>
  <c r="H624" i="9"/>
  <c r="I623" i="9"/>
  <c r="I622" i="9"/>
  <c r="I621" i="9"/>
  <c r="H621" i="9"/>
  <c r="I619" i="9"/>
  <c r="H619" i="9"/>
  <c r="I618" i="9"/>
  <c r="H618" i="9"/>
  <c r="I616" i="9"/>
  <c r="H616" i="9"/>
  <c r="I614" i="9"/>
  <c r="I613" i="9"/>
  <c r="H612" i="9"/>
  <c r="I611" i="9"/>
  <c r="H608" i="9"/>
  <c r="H607" i="9"/>
  <c r="H606" i="9"/>
  <c r="H605" i="9"/>
  <c r="I604" i="9"/>
  <c r="H604" i="9"/>
  <c r="I602" i="9"/>
  <c r="H602" i="9"/>
  <c r="H601" i="9"/>
  <c r="I583" i="9"/>
  <c r="I582" i="9"/>
  <c r="I581" i="9"/>
  <c r="I580" i="9"/>
  <c r="I579" i="9"/>
  <c r="H578" i="9"/>
  <c r="I576" i="9"/>
  <c r="H576" i="9"/>
  <c r="H575" i="9"/>
  <c r="H574" i="9"/>
  <c r="H573" i="9"/>
  <c r="H572" i="9"/>
  <c r="H571" i="9"/>
  <c r="I569" i="9"/>
  <c r="H568" i="9"/>
  <c r="I567" i="9"/>
  <c r="I566" i="9"/>
  <c r="H566" i="9"/>
  <c r="H565" i="9"/>
  <c r="H564" i="9"/>
  <c r="H563" i="9"/>
  <c r="I562" i="9"/>
  <c r="I561" i="9"/>
  <c r="I560" i="9"/>
  <c r="I559" i="9"/>
  <c r="H559" i="9"/>
  <c r="H558" i="9"/>
  <c r="H557" i="9"/>
  <c r="I555" i="9"/>
  <c r="H555" i="9"/>
  <c r="H554" i="9"/>
  <c r="H553" i="9"/>
  <c r="I552" i="9"/>
  <c r="I551" i="9"/>
  <c r="I550" i="9"/>
  <c r="H550" i="9"/>
  <c r="H549" i="9"/>
  <c r="H548" i="9"/>
  <c r="H547" i="9"/>
  <c r="I546" i="9"/>
  <c r="I545" i="9"/>
  <c r="I544" i="9"/>
  <c r="H543" i="9"/>
  <c r="I542" i="9"/>
  <c r="H542" i="9"/>
  <c r="I541" i="9"/>
  <c r="H541" i="9"/>
  <c r="I540" i="9"/>
  <c r="H540" i="9"/>
  <c r="I539" i="9"/>
  <c r="H539" i="9"/>
  <c r="I538" i="9"/>
  <c r="H538" i="9"/>
  <c r="I537" i="9"/>
  <c r="H537" i="9"/>
  <c r="I536" i="9"/>
  <c r="H536" i="9"/>
  <c r="I535" i="9"/>
  <c r="H535" i="9"/>
  <c r="I534" i="9"/>
  <c r="H534" i="9"/>
  <c r="I533" i="9"/>
  <c r="H533" i="9"/>
  <c r="H532" i="9"/>
  <c r="I531" i="9"/>
  <c r="H531" i="9"/>
  <c r="H530" i="9"/>
  <c r="I528" i="9"/>
  <c r="H528" i="9"/>
  <c r="H527" i="9"/>
  <c r="H526" i="9"/>
  <c r="I525" i="9"/>
  <c r="I524" i="9"/>
  <c r="I523" i="9"/>
  <c r="H523" i="9"/>
  <c r="H522" i="9"/>
  <c r="I518" i="9"/>
  <c r="I515" i="9"/>
  <c r="I514" i="9"/>
  <c r="H513" i="9"/>
  <c r="I512" i="9"/>
  <c r="H512" i="9"/>
  <c r="I510" i="9"/>
  <c r="H510" i="9"/>
  <c r="I509" i="9"/>
  <c r="H509" i="9"/>
  <c r="I508" i="9"/>
  <c r="H508" i="9"/>
  <c r="I507" i="9"/>
  <c r="H507" i="9"/>
  <c r="I506" i="9"/>
  <c r="H506" i="9"/>
  <c r="I505" i="9"/>
  <c r="H505" i="9"/>
  <c r="I504" i="9"/>
  <c r="H504" i="9"/>
  <c r="I503" i="9"/>
  <c r="H503" i="9"/>
  <c r="I502" i="9"/>
  <c r="H502" i="9"/>
  <c r="I501" i="9"/>
  <c r="H501" i="9"/>
  <c r="I500" i="9"/>
  <c r="H500" i="9"/>
  <c r="I499" i="9"/>
  <c r="H499" i="9"/>
  <c r="I498" i="9"/>
  <c r="H498" i="9"/>
  <c r="I497" i="9"/>
  <c r="H497" i="9"/>
  <c r="I496" i="9"/>
  <c r="H496" i="9"/>
  <c r="I495" i="9"/>
  <c r="H495" i="9"/>
  <c r="I494" i="9"/>
  <c r="H494" i="9"/>
  <c r="I493" i="9"/>
  <c r="H493" i="9"/>
  <c r="I492" i="9"/>
  <c r="H492" i="9"/>
  <c r="I491" i="9"/>
  <c r="H491" i="9"/>
  <c r="I490" i="9"/>
  <c r="H490" i="9"/>
  <c r="I489" i="9"/>
  <c r="H489" i="9"/>
  <c r="I488" i="9"/>
  <c r="H488" i="9"/>
  <c r="I487" i="9"/>
  <c r="H487" i="9"/>
  <c r="I486" i="9"/>
  <c r="H486" i="9"/>
  <c r="I485" i="9"/>
  <c r="H485" i="9"/>
  <c r="I484" i="9"/>
  <c r="H484" i="9"/>
  <c r="I483" i="9"/>
  <c r="I482" i="9"/>
  <c r="I481" i="9"/>
  <c r="I480" i="9"/>
  <c r="H480" i="9"/>
  <c r="I477" i="9"/>
  <c r="H476" i="9"/>
  <c r="I474" i="9"/>
  <c r="H473" i="9"/>
  <c r="I471" i="9"/>
  <c r="I469" i="9"/>
  <c r="I468" i="9"/>
  <c r="H467" i="9"/>
  <c r="H466" i="9"/>
  <c r="I465" i="9"/>
  <c r="H465" i="9"/>
  <c r="I464" i="9"/>
  <c r="H464" i="9"/>
  <c r="I463" i="9"/>
  <c r="H463" i="9"/>
  <c r="I462" i="9"/>
  <c r="H462" i="9"/>
  <c r="I461" i="9"/>
  <c r="H461" i="9"/>
  <c r="I460" i="9"/>
  <c r="H460" i="9"/>
  <c r="I459" i="9"/>
  <c r="H459" i="9"/>
  <c r="I458" i="9"/>
  <c r="H458" i="9"/>
  <c r="I457" i="9"/>
  <c r="H457" i="9"/>
  <c r="I456" i="9"/>
  <c r="H456" i="9"/>
  <c r="I455" i="9"/>
  <c r="H455" i="9"/>
  <c r="I454" i="9"/>
  <c r="H454" i="9"/>
  <c r="I453" i="9"/>
  <c r="H453" i="9"/>
  <c r="I452" i="9"/>
  <c r="H452" i="9"/>
  <c r="I451" i="9"/>
  <c r="H451" i="9"/>
  <c r="I450" i="9"/>
  <c r="H450" i="9"/>
  <c r="I449" i="9"/>
  <c r="H449" i="9"/>
  <c r="I448" i="9"/>
  <c r="H448" i="9"/>
  <c r="I447" i="9"/>
  <c r="H447" i="9"/>
  <c r="I446" i="9"/>
  <c r="H446" i="9"/>
  <c r="I445" i="9"/>
  <c r="I440" i="9"/>
  <c r="H440" i="9"/>
  <c r="H439" i="9"/>
  <c r="H438" i="9"/>
  <c r="H437" i="9"/>
  <c r="H436" i="9"/>
  <c r="I710" i="9"/>
  <c r="I708" i="9"/>
  <c r="H708" i="9"/>
  <c r="I664" i="9"/>
  <c r="I660" i="9"/>
  <c r="H435" i="9"/>
  <c r="I434" i="9"/>
  <c r="I433" i="9"/>
  <c r="I432" i="9"/>
  <c r="I431" i="9"/>
  <c r="H431" i="9"/>
  <c r="I427" i="9"/>
  <c r="H427" i="9"/>
  <c r="H426" i="9"/>
  <c r="H425" i="9"/>
  <c r="I424" i="9"/>
  <c r="H424" i="9"/>
  <c r="I422" i="9"/>
  <c r="I421" i="9"/>
  <c r="H421" i="9"/>
  <c r="I419" i="9"/>
  <c r="H419" i="9"/>
  <c r="I417" i="9"/>
  <c r="I416" i="9"/>
  <c r="I415" i="9"/>
  <c r="H415" i="9"/>
  <c r="H414" i="9"/>
  <c r="H413" i="9"/>
  <c r="I412" i="9"/>
  <c r="H412" i="9"/>
  <c r="H411" i="9"/>
  <c r="I409" i="9"/>
  <c r="H409" i="9"/>
  <c r="H408" i="9"/>
  <c r="H407" i="9"/>
  <c r="H406" i="9"/>
  <c r="I404" i="9"/>
  <c r="I403" i="9"/>
  <c r="H402" i="9"/>
  <c r="H401" i="9"/>
  <c r="H400" i="9"/>
  <c r="H399" i="9"/>
  <c r="I398" i="9"/>
  <c r="H398" i="9"/>
  <c r="I397" i="9"/>
  <c r="H396" i="9"/>
  <c r="H395" i="9"/>
  <c r="H394" i="9"/>
  <c r="I393" i="9"/>
  <c r="I392" i="9"/>
  <c r="I391" i="9"/>
  <c r="I390" i="9"/>
  <c r="I389" i="9"/>
  <c r="H389" i="9"/>
  <c r="H388" i="9"/>
  <c r="H387" i="9"/>
  <c r="I386" i="9"/>
  <c r="H385" i="9"/>
  <c r="I384" i="9"/>
  <c r="I383" i="9"/>
  <c r="H382" i="9"/>
  <c r="H380" i="9"/>
  <c r="H379" i="9"/>
  <c r="H378" i="9"/>
  <c r="H377" i="9"/>
  <c r="I376" i="9"/>
  <c r="H376" i="9"/>
  <c r="H375" i="9"/>
  <c r="H374" i="9"/>
  <c r="I373" i="9"/>
  <c r="H372" i="9"/>
  <c r="H371" i="9"/>
  <c r="H370" i="9"/>
  <c r="H369" i="9"/>
  <c r="H367" i="9"/>
  <c r="I366" i="9"/>
  <c r="I365" i="9"/>
  <c r="H365" i="9"/>
  <c r="I363" i="9"/>
  <c r="I362" i="9"/>
  <c r="H362" i="9"/>
  <c r="H361" i="9"/>
  <c r="H360" i="9"/>
  <c r="H359" i="9"/>
  <c r="H358" i="9"/>
  <c r="I357" i="9"/>
  <c r="H357" i="9"/>
  <c r="H356" i="9"/>
  <c r="I354" i="9"/>
  <c r="I353" i="9"/>
  <c r="H353" i="9"/>
  <c r="H352" i="9"/>
  <c r="H351" i="9"/>
  <c r="I350" i="9"/>
  <c r="H350" i="9"/>
  <c r="I349" i="9"/>
  <c r="H349" i="9"/>
  <c r="H348" i="9"/>
  <c r="I347" i="9"/>
  <c r="H347" i="9"/>
  <c r="I346" i="9"/>
  <c r="I345" i="9"/>
  <c r="H345" i="9"/>
  <c r="H344" i="9"/>
  <c r="H343" i="9"/>
  <c r="H342" i="9"/>
  <c r="H340" i="9"/>
  <c r="H339" i="9"/>
  <c r="I320" i="9"/>
  <c r="I319" i="9"/>
  <c r="I318" i="9"/>
  <c r="H318" i="9"/>
  <c r="I316" i="9"/>
  <c r="I315" i="9"/>
  <c r="I314" i="9"/>
  <c r="I313" i="9"/>
  <c r="I312" i="9"/>
  <c r="I311" i="9"/>
  <c r="H311" i="9"/>
  <c r="I310" i="9"/>
  <c r="H310" i="9"/>
  <c r="H309" i="9"/>
  <c r="H308" i="9"/>
  <c r="H307" i="9"/>
  <c r="H306" i="9"/>
  <c r="H305" i="9"/>
  <c r="H303" i="9"/>
  <c r="I302" i="9"/>
  <c r="I301" i="9"/>
  <c r="H301" i="9"/>
  <c r="I300" i="9"/>
  <c r="H300" i="9"/>
  <c r="H299" i="9"/>
  <c r="H298" i="9"/>
  <c r="H693" i="9"/>
  <c r="H691" i="9"/>
  <c r="H690" i="9"/>
  <c r="I688" i="9"/>
  <c r="H687" i="9"/>
  <c r="H681" i="9"/>
  <c r="H679" i="9"/>
  <c r="H678" i="9"/>
  <c r="H676" i="9"/>
  <c r="H668" i="9"/>
  <c r="H667" i="9"/>
  <c r="H663" i="9"/>
  <c r="H660" i="9"/>
  <c r="H651" i="9"/>
  <c r="I647" i="9"/>
  <c r="I645" i="9"/>
  <c r="I644" i="9"/>
  <c r="I643" i="9"/>
  <c r="H641" i="9"/>
  <c r="H640" i="9"/>
  <c r="H638" i="9"/>
  <c r="H635" i="9"/>
  <c r="I626" i="9"/>
  <c r="H623" i="9"/>
  <c r="H622" i="9"/>
  <c r="I615" i="9"/>
  <c r="H615" i="9"/>
  <c r="H610" i="9"/>
  <c r="I609" i="9"/>
  <c r="H609" i="9"/>
  <c r="I607" i="9"/>
  <c r="I606" i="9"/>
  <c r="I605" i="9"/>
  <c r="I603" i="9"/>
  <c r="H603" i="9"/>
  <c r="H600" i="9"/>
  <c r="I598" i="9"/>
  <c r="I597" i="9"/>
  <c r="I596" i="9"/>
  <c r="H596" i="9"/>
  <c r="I592" i="9"/>
  <c r="H591" i="9"/>
  <c r="H590" i="9"/>
  <c r="I588" i="9"/>
  <c r="H588" i="9"/>
  <c r="I587" i="9"/>
  <c r="I586" i="9"/>
  <c r="I585" i="9"/>
  <c r="H585" i="9"/>
  <c r="H584" i="9"/>
  <c r="H582" i="9"/>
  <c r="H580" i="9"/>
  <c r="I571" i="9"/>
  <c r="H570" i="9"/>
  <c r="I565" i="9"/>
  <c r="I563" i="9"/>
  <c r="I553" i="9"/>
  <c r="H552" i="9"/>
  <c r="H551" i="9"/>
  <c r="H546" i="9"/>
  <c r="H545" i="9"/>
  <c r="H529" i="9"/>
  <c r="H524" i="9"/>
  <c r="I521" i="9"/>
  <c r="I520" i="9"/>
  <c r="H519" i="9"/>
  <c r="H518" i="9"/>
  <c r="H517" i="9"/>
  <c r="H511" i="9"/>
  <c r="H482" i="9"/>
  <c r="H479" i="9"/>
  <c r="H478" i="9"/>
  <c r="H477" i="9"/>
  <c r="H475" i="9"/>
  <c r="H474" i="9"/>
  <c r="I470" i="9"/>
  <c r="H444" i="9"/>
  <c r="I443" i="9"/>
  <c r="I442" i="9"/>
  <c r="I441" i="9"/>
  <c r="I439" i="9"/>
  <c r="I437" i="9"/>
  <c r="I435" i="9"/>
  <c r="H434" i="9"/>
  <c r="I429" i="9"/>
  <c r="H428" i="9"/>
  <c r="I425" i="9"/>
  <c r="I418" i="9"/>
  <c r="H418" i="9"/>
  <c r="H417" i="9"/>
  <c r="I414" i="9"/>
  <c r="I413" i="9"/>
  <c r="I411" i="9"/>
  <c r="H410" i="9"/>
  <c r="H404" i="9"/>
  <c r="I401" i="9"/>
  <c r="I399" i="9"/>
  <c r="H397" i="9"/>
  <c r="I394" i="9"/>
  <c r="I381" i="9"/>
  <c r="H381" i="9"/>
  <c r="I380" i="9"/>
  <c r="I379" i="9"/>
  <c r="I378" i="9"/>
  <c r="I377" i="9"/>
  <c r="H373" i="9"/>
  <c r="I367" i="9"/>
  <c r="H366" i="9"/>
  <c r="H364" i="9"/>
  <c r="H363" i="9"/>
  <c r="I361" i="9"/>
  <c r="I360" i="9"/>
  <c r="I359" i="9"/>
  <c r="I358" i="9"/>
  <c r="I355" i="9"/>
  <c r="I348" i="9"/>
  <c r="I342" i="9"/>
  <c r="I340" i="9"/>
  <c r="I339" i="9"/>
  <c r="I338" i="9"/>
  <c r="H332" i="9"/>
  <c r="H330" i="9"/>
  <c r="I328" i="9"/>
  <c r="H328" i="9"/>
  <c r="H327" i="9"/>
  <c r="I326" i="9"/>
  <c r="H326" i="9"/>
  <c r="I324" i="9"/>
  <c r="H324" i="9"/>
  <c r="H323" i="9"/>
  <c r="I322" i="9"/>
  <c r="H322" i="9"/>
  <c r="H321" i="9"/>
  <c r="H317" i="9"/>
  <c r="H316" i="9"/>
  <c r="H315" i="9"/>
  <c r="H314" i="9"/>
  <c r="I309" i="9"/>
  <c r="I307" i="9"/>
  <c r="I305" i="9"/>
  <c r="I303" i="9"/>
  <c r="I299" i="9"/>
  <c r="H294" i="9"/>
  <c r="I289" i="9"/>
  <c r="I288" i="9"/>
  <c r="H285" i="9"/>
  <c r="H284" i="9"/>
  <c r="H277" i="9"/>
  <c r="H275" i="9"/>
  <c r="H274" i="9"/>
  <c r="H273" i="9"/>
  <c r="I271" i="9"/>
  <c r="H267" i="9"/>
  <c r="H261" i="9"/>
  <c r="I259" i="9"/>
  <c r="H259" i="9"/>
  <c r="I258" i="9"/>
  <c r="H258" i="9"/>
  <c r="H257" i="9"/>
  <c r="I255" i="9"/>
  <c r="H255" i="9"/>
  <c r="I253" i="9"/>
  <c r="H253" i="9"/>
  <c r="H251" i="9"/>
  <c r="I249" i="9"/>
  <c r="I244" i="9"/>
  <c r="I243" i="9"/>
  <c r="H243" i="9"/>
  <c r="H239" i="9"/>
  <c r="I238" i="9"/>
  <c r="I237" i="9"/>
  <c r="H237" i="9"/>
  <c r="H236" i="9"/>
  <c r="H234" i="9"/>
  <c r="I232" i="9"/>
  <c r="I231" i="9"/>
  <c r="H231" i="9"/>
  <c r="I230" i="9"/>
  <c r="I229" i="9"/>
  <c r="I227" i="9"/>
  <c r="I226" i="9"/>
  <c r="H225" i="9"/>
  <c r="H224" i="9"/>
  <c r="I222" i="9"/>
  <c r="H222" i="9"/>
  <c r="I220" i="9"/>
  <c r="H220" i="9"/>
  <c r="H219" i="9"/>
  <c r="H218" i="9"/>
  <c r="H902" i="9"/>
  <c r="I203" i="9"/>
  <c r="H203" i="9"/>
  <c r="I201" i="9"/>
  <c r="I190" i="9"/>
  <c r="I169" i="9"/>
  <c r="I167" i="9"/>
  <c r="H166" i="9"/>
  <c r="I161" i="9"/>
  <c r="H148" i="9"/>
  <c r="H146" i="9"/>
  <c r="I117" i="9"/>
  <c r="I116" i="9"/>
  <c r="I100" i="9"/>
  <c r="I99" i="9"/>
  <c r="H96" i="9"/>
  <c r="H94" i="9"/>
  <c r="I81" i="9"/>
  <c r="H75" i="9"/>
  <c r="I69" i="9"/>
  <c r="H62" i="9"/>
  <c r="I60" i="9"/>
  <c r="I58" i="9"/>
  <c r="H54" i="9"/>
  <c r="I46" i="9"/>
  <c r="H46" i="9"/>
  <c r="I28" i="9"/>
  <c r="H25" i="9"/>
  <c r="I18" i="9"/>
  <c r="I943" i="9"/>
  <c r="I939" i="9"/>
  <c r="I937" i="9"/>
  <c r="I934" i="9"/>
  <c r="I927" i="9"/>
  <c r="H924" i="9"/>
  <c r="H923" i="9"/>
  <c r="H921" i="9"/>
  <c r="I914" i="9"/>
  <c r="H914" i="9"/>
  <c r="I912" i="9"/>
  <c r="I911" i="9"/>
  <c r="H911" i="9"/>
  <c r="I908" i="9"/>
  <c r="I907" i="9"/>
  <c r="H907" i="9"/>
  <c r="H895" i="9"/>
  <c r="H207" i="9"/>
  <c r="H205" i="9"/>
  <c r="I176" i="9"/>
  <c r="I173" i="9"/>
  <c r="H173" i="9"/>
  <c r="I164" i="9"/>
  <c r="I158" i="9"/>
  <c r="I155" i="9"/>
  <c r="I141" i="9"/>
  <c r="I129" i="9"/>
  <c r="I111" i="9"/>
  <c r="I104" i="9"/>
  <c r="I84" i="9"/>
  <c r="I80" i="9"/>
  <c r="I75" i="9"/>
  <c r="I68" i="9"/>
  <c r="I57" i="9"/>
  <c r="I55" i="9"/>
  <c r="I54" i="9"/>
  <c r="I48" i="9"/>
  <c r="H893" i="9"/>
  <c r="I891" i="9"/>
  <c r="I889" i="9"/>
  <c r="I887" i="9"/>
  <c r="I885" i="9"/>
  <c r="H884" i="9"/>
  <c r="I881" i="9"/>
  <c r="H880" i="9"/>
  <c r="I877" i="9"/>
  <c r="H876" i="9"/>
  <c r="H874" i="9"/>
  <c r="H872" i="9"/>
  <c r="I870" i="9"/>
  <c r="I868" i="9"/>
  <c r="I866" i="9"/>
  <c r="I863" i="9"/>
  <c r="H862" i="9"/>
  <c r="H859" i="9"/>
  <c r="I858" i="9"/>
  <c r="H858" i="9"/>
  <c r="I856" i="9"/>
  <c r="I854" i="9"/>
  <c r="H852" i="9"/>
  <c r="H850" i="9"/>
  <c r="I847" i="9"/>
  <c r="H846" i="9"/>
  <c r="H844" i="9"/>
  <c r="I842" i="9"/>
  <c r="I839" i="9"/>
  <c r="I837" i="9"/>
  <c r="I835" i="9"/>
  <c r="I832" i="9"/>
  <c r="H831" i="9"/>
  <c r="H829" i="9"/>
  <c r="H772" i="9"/>
  <c r="I769" i="9"/>
  <c r="I767" i="9"/>
  <c r="H765" i="9"/>
  <c r="I762" i="9"/>
  <c r="I759" i="9"/>
  <c r="I757" i="9"/>
  <c r="I755" i="9"/>
  <c r="H755" i="9"/>
  <c r="I752" i="9"/>
  <c r="H744" i="9"/>
  <c r="I742" i="9"/>
  <c r="H741" i="9"/>
  <c r="I739" i="9"/>
  <c r="H737" i="9"/>
  <c r="H731" i="9"/>
  <c r="I718" i="9"/>
  <c r="I715" i="9"/>
  <c r="H711" i="9"/>
  <c r="I709" i="9"/>
  <c r="H706" i="9"/>
  <c r="I700" i="9"/>
  <c r="I699" i="9"/>
  <c r="I698" i="9"/>
  <c r="I697" i="9"/>
  <c r="I694" i="9"/>
  <c r="I686" i="9"/>
  <c r="I684" i="9"/>
  <c r="H680" i="9"/>
  <c r="H677" i="9"/>
  <c r="I674" i="9"/>
  <c r="I667" i="9"/>
  <c r="I662" i="9"/>
  <c r="I659" i="9"/>
  <c r="I284" i="9"/>
  <c r="I283" i="9"/>
  <c r="H283" i="9"/>
  <c r="H282" i="9"/>
  <c r="I280" i="9"/>
  <c r="H280" i="9"/>
  <c r="I279" i="9"/>
  <c r="H279" i="9"/>
  <c r="I278" i="9"/>
  <c r="H278" i="9"/>
  <c r="I276" i="9"/>
  <c r="H276" i="9"/>
  <c r="I274" i="9"/>
  <c r="I273" i="9"/>
  <c r="I272" i="9"/>
  <c r="H272" i="9"/>
  <c r="I139" i="9"/>
  <c r="I137" i="9"/>
  <c r="I135" i="9"/>
  <c r="I134" i="9"/>
  <c r="H131" i="9"/>
  <c r="H130" i="9"/>
  <c r="H129" i="9"/>
  <c r="I128" i="9"/>
  <c r="H127" i="9"/>
  <c r="I126" i="9"/>
  <c r="I122" i="9"/>
  <c r="H121" i="9"/>
  <c r="I118" i="9"/>
  <c r="H116" i="9"/>
  <c r="H115" i="9"/>
  <c r="H114" i="9"/>
  <c r="H109" i="9"/>
  <c r="I108" i="9"/>
  <c r="H106" i="9"/>
  <c r="I105" i="9"/>
  <c r="H102" i="9"/>
  <c r="H101" i="9"/>
  <c r="I95" i="9"/>
  <c r="H92" i="9"/>
  <c r="I91" i="9"/>
  <c r="I85" i="9"/>
  <c r="H85" i="9"/>
  <c r="H80" i="9"/>
  <c r="I79" i="9"/>
  <c r="H78" i="9"/>
  <c r="H77" i="9"/>
  <c r="I72" i="9"/>
  <c r="I71" i="9"/>
  <c r="I63" i="9"/>
  <c r="H61" i="9"/>
  <c r="H59" i="9"/>
  <c r="H56" i="9"/>
  <c r="H55" i="9"/>
  <c r="H50" i="9"/>
  <c r="H48" i="9"/>
  <c r="H47" i="9"/>
  <c r="I45" i="9"/>
  <c r="I44" i="9"/>
  <c r="I43" i="9"/>
  <c r="I40" i="9"/>
  <c r="I38" i="9"/>
  <c r="H34" i="9"/>
  <c r="I33" i="9"/>
  <c r="H31" i="9"/>
  <c r="H28" i="9"/>
  <c r="I26" i="9"/>
  <c r="I25" i="9"/>
  <c r="H23" i="9"/>
  <c r="H20" i="9"/>
  <c r="H19" i="9"/>
  <c r="I17" i="9"/>
  <c r="I828" i="9"/>
  <c r="H828" i="9"/>
  <c r="I827" i="9"/>
  <c r="H827" i="9"/>
  <c r="I826" i="9"/>
  <c r="H826" i="9"/>
  <c r="I825" i="9"/>
  <c r="H825" i="9"/>
  <c r="I824" i="9"/>
  <c r="H824" i="9"/>
  <c r="I823" i="9"/>
  <c r="H823" i="9"/>
  <c r="I822" i="9"/>
  <c r="H822" i="9"/>
  <c r="I821" i="9"/>
  <c r="H821" i="9"/>
  <c r="I820" i="9"/>
  <c r="H820" i="9"/>
  <c r="I819" i="9"/>
  <c r="H819" i="9"/>
  <c r="I818" i="9"/>
  <c r="H818" i="9"/>
  <c r="I817" i="9"/>
  <c r="H817" i="9"/>
  <c r="I816" i="9"/>
  <c r="H816" i="9"/>
  <c r="I815" i="9"/>
  <c r="H815" i="9"/>
  <c r="I814" i="9"/>
  <c r="H814" i="9"/>
  <c r="I813" i="9"/>
  <c r="H813" i="9"/>
  <c r="I812" i="9"/>
  <c r="H812" i="9"/>
  <c r="I811" i="9"/>
  <c r="H811" i="9"/>
  <c r="I810" i="9"/>
  <c r="H810" i="9"/>
  <c r="I809" i="9"/>
  <c r="H809" i="9"/>
  <c r="H689" i="9"/>
  <c r="H685" i="9"/>
  <c r="H684" i="9"/>
  <c r="I681" i="9"/>
  <c r="I677" i="9"/>
  <c r="I676" i="9"/>
  <c r="I675" i="9"/>
  <c r="I671" i="9"/>
  <c r="H671" i="9"/>
  <c r="H670" i="9"/>
  <c r="H669" i="9"/>
  <c r="H661" i="9"/>
  <c r="I657" i="9"/>
  <c r="I653" i="9"/>
  <c r="H653" i="9"/>
  <c r="H652" i="9"/>
  <c r="H650" i="9"/>
  <c r="I638" i="9"/>
  <c r="I636" i="9"/>
  <c r="I630" i="9"/>
  <c r="I624" i="9"/>
  <c r="I620" i="9"/>
  <c r="H620" i="9"/>
  <c r="I617" i="9"/>
  <c r="H617" i="9"/>
  <c r="H614" i="9"/>
  <c r="H613" i="9"/>
  <c r="I612" i="9"/>
  <c r="H611" i="9"/>
  <c r="I610" i="9"/>
  <c r="I608" i="9"/>
  <c r="I601" i="9"/>
  <c r="I600" i="9"/>
  <c r="I599" i="9"/>
  <c r="H599" i="9"/>
  <c r="H598" i="9"/>
  <c r="H597" i="9"/>
  <c r="I595" i="9"/>
  <c r="H595" i="9"/>
  <c r="I594" i="9"/>
  <c r="H594" i="9"/>
  <c r="I591" i="9"/>
  <c r="I590" i="9"/>
  <c r="I589" i="9"/>
  <c r="H589" i="9"/>
  <c r="H586" i="9"/>
  <c r="I584" i="9"/>
  <c r="H583" i="9"/>
  <c r="H581" i="9"/>
  <c r="H579" i="9"/>
  <c r="H577" i="9"/>
  <c r="I575" i="9"/>
  <c r="I574" i="9"/>
  <c r="I573" i="9"/>
  <c r="I572" i="9"/>
  <c r="I570" i="9"/>
  <c r="H569" i="9"/>
  <c r="I564" i="9"/>
  <c r="H560" i="9"/>
  <c r="I558" i="9"/>
  <c r="I556" i="9"/>
  <c r="I554" i="9"/>
  <c r="I549" i="9"/>
  <c r="H544" i="9"/>
  <c r="I530" i="9"/>
  <c r="I529" i="9"/>
  <c r="I522" i="9"/>
  <c r="H520" i="9"/>
  <c r="I517" i="9"/>
  <c r="I516" i="9"/>
  <c r="I513" i="9"/>
  <c r="I511" i="9"/>
  <c r="H483" i="9"/>
  <c r="H481" i="9"/>
  <c r="I479" i="9"/>
  <c r="I473" i="9"/>
  <c r="H471" i="9"/>
  <c r="I467" i="9"/>
  <c r="H442" i="9"/>
  <c r="H441" i="9"/>
  <c r="I438" i="9"/>
  <c r="I436" i="9"/>
  <c r="I428" i="9"/>
  <c r="I426" i="9"/>
  <c r="I423" i="9"/>
  <c r="I420" i="9"/>
  <c r="I410" i="9"/>
  <c r="I406" i="9"/>
  <c r="I405" i="9"/>
  <c r="I400" i="9"/>
  <c r="I396" i="9"/>
  <c r="I395" i="9"/>
  <c r="H393" i="9"/>
  <c r="H391" i="9"/>
  <c r="H390" i="9"/>
  <c r="I388" i="9"/>
  <c r="I387" i="9"/>
  <c r="H386" i="9"/>
  <c r="I382" i="9"/>
  <c r="I375" i="9"/>
  <c r="I374" i="9"/>
  <c r="I372" i="9"/>
  <c r="I364" i="9"/>
  <c r="H354" i="9"/>
  <c r="H346" i="9"/>
  <c r="H337" i="9"/>
  <c r="H336" i="9"/>
  <c r="I335" i="9"/>
  <c r="H335" i="9"/>
  <c r="I334" i="9"/>
  <c r="I333" i="9"/>
  <c r="I332" i="9"/>
  <c r="I331" i="9"/>
  <c r="H331" i="9"/>
  <c r="I330" i="9"/>
  <c r="I329" i="9"/>
  <c r="H329" i="9"/>
  <c r="I327" i="9"/>
  <c r="H319" i="9"/>
  <c r="I308" i="9"/>
  <c r="I306" i="9"/>
  <c r="I304" i="9"/>
  <c r="I298" i="9"/>
  <c r="I296" i="9"/>
  <c r="H296" i="9"/>
  <c r="I295" i="9"/>
  <c r="I294" i="9"/>
  <c r="I293" i="9"/>
  <c r="I292" i="9"/>
  <c r="H288" i="9"/>
  <c r="H287" i="9"/>
  <c r="I286" i="9"/>
  <c r="I285" i="9"/>
  <c r="I282" i="9"/>
  <c r="I281" i="9"/>
  <c r="H281" i="9"/>
  <c r="I277" i="9"/>
  <c r="I275" i="9"/>
  <c r="I269" i="9"/>
  <c r="H269" i="9"/>
  <c r="I267" i="9"/>
  <c r="H266" i="9"/>
  <c r="I265" i="9"/>
  <c r="H265" i="9"/>
  <c r="I264" i="9"/>
  <c r="H264" i="9"/>
  <c r="I263" i="9"/>
  <c r="H263" i="9"/>
  <c r="I262" i="9"/>
  <c r="H262" i="9"/>
  <c r="I261" i="9"/>
  <c r="I260" i="9"/>
  <c r="I257" i="9"/>
  <c r="I256" i="9"/>
  <c r="H256" i="9"/>
  <c r="I254" i="9"/>
  <c r="H254" i="9"/>
  <c r="I252" i="9"/>
  <c r="I251" i="9"/>
  <c r="I250" i="9"/>
  <c r="H250" i="9"/>
  <c r="H249" i="9"/>
  <c r="I248" i="9"/>
  <c r="I247" i="9"/>
  <c r="I246" i="9"/>
  <c r="I245" i="9"/>
  <c r="H244" i="9"/>
  <c r="I242" i="9"/>
  <c r="H242" i="9"/>
  <c r="I240" i="9"/>
  <c r="I236" i="9"/>
  <c r="I235" i="9"/>
  <c r="H235" i="9"/>
  <c r="I234" i="9"/>
  <c r="I233" i="9"/>
  <c r="H233" i="9"/>
  <c r="H232" i="9"/>
  <c r="I228" i="9"/>
  <c r="H228" i="9"/>
  <c r="I223" i="9"/>
  <c r="H223" i="9"/>
  <c r="I221" i="9"/>
  <c r="H221" i="9"/>
  <c r="H903" i="9"/>
  <c r="I898" i="9"/>
  <c r="H896" i="9"/>
  <c r="H210" i="9"/>
  <c r="I206" i="9"/>
  <c r="I204" i="9"/>
  <c r="H195" i="9"/>
  <c r="H187" i="9"/>
  <c r="I181" i="9"/>
  <c r="H181" i="9"/>
  <c r="H170" i="9"/>
  <c r="I165" i="9"/>
  <c r="H154" i="9"/>
  <c r="I150" i="9"/>
  <c r="I147" i="9"/>
  <c r="I145" i="9"/>
  <c r="I143" i="9"/>
  <c r="H142" i="9"/>
  <c r="I132" i="9"/>
  <c r="I130" i="9"/>
  <c r="I120" i="9"/>
  <c r="H119" i="9"/>
  <c r="I112" i="9"/>
  <c r="I107" i="9"/>
  <c r="I78" i="9"/>
  <c r="H73" i="9"/>
  <c r="H70" i="9"/>
  <c r="H63" i="9"/>
  <c r="I61" i="9"/>
  <c r="H60" i="9"/>
  <c r="H45" i="9"/>
  <c r="I37" i="9"/>
  <c r="I34" i="9"/>
  <c r="I30" i="9"/>
  <c r="I23" i="9"/>
  <c r="I951" i="9"/>
  <c r="H951" i="9"/>
  <c r="H950" i="9"/>
  <c r="I948" i="9"/>
  <c r="I942" i="9"/>
  <c r="I941" i="9"/>
  <c r="H939" i="9"/>
  <c r="I933" i="9"/>
  <c r="I924" i="9"/>
  <c r="H920" i="9"/>
  <c r="I919" i="9"/>
  <c r="I918" i="9"/>
  <c r="H918" i="9"/>
  <c r="I917" i="9"/>
  <c r="H917" i="9"/>
  <c r="I916" i="9"/>
  <c r="I915" i="9"/>
  <c r="H915" i="9"/>
  <c r="I913" i="9"/>
  <c r="H913" i="9"/>
  <c r="H912" i="9"/>
  <c r="I910" i="9"/>
  <c r="I905" i="9"/>
  <c r="I904" i="9"/>
  <c r="I903" i="9"/>
  <c r="I902" i="9"/>
  <c r="I901" i="9"/>
  <c r="I900" i="9"/>
  <c r="H894" i="9"/>
  <c r="H209" i="9"/>
  <c r="H204" i="9"/>
  <c r="I202" i="9"/>
  <c r="I187" i="9"/>
  <c r="I177" i="9"/>
  <c r="H176" i="9"/>
  <c r="I163" i="9"/>
  <c r="I151" i="9"/>
  <c r="I149" i="9"/>
  <c r="I144" i="9"/>
  <c r="I133" i="9"/>
  <c r="I114" i="9"/>
  <c r="I92" i="9"/>
  <c r="I82" i="9"/>
  <c r="I66" i="9"/>
  <c r="I53" i="9"/>
  <c r="I47" i="9"/>
  <c r="I21" i="9"/>
  <c r="H21" i="9"/>
  <c r="H892" i="9"/>
  <c r="H890" i="9"/>
  <c r="H888" i="9"/>
  <c r="H886" i="9"/>
  <c r="I883" i="9"/>
  <c r="H882" i="9"/>
  <c r="I879" i="9"/>
  <c r="H878" i="9"/>
  <c r="I875" i="9"/>
  <c r="H875" i="9"/>
  <c r="I872" i="9"/>
  <c r="H870" i="9"/>
  <c r="H868" i="9"/>
  <c r="H866" i="9"/>
  <c r="I865" i="9"/>
  <c r="H864" i="9"/>
  <c r="I861" i="9"/>
  <c r="H860" i="9"/>
  <c r="I855" i="9"/>
  <c r="I853" i="9"/>
  <c r="I851" i="9"/>
  <c r="I849" i="9"/>
  <c r="H848" i="9"/>
  <c r="H847" i="9"/>
  <c r="I844" i="9"/>
  <c r="H842" i="9"/>
  <c r="H841" i="9"/>
  <c r="H838" i="9"/>
  <c r="H836" i="9"/>
  <c r="I833" i="9"/>
  <c r="H833" i="9"/>
  <c r="I830" i="9"/>
  <c r="I770" i="9"/>
  <c r="I768" i="9"/>
  <c r="I766" i="9"/>
  <c r="I764" i="9"/>
  <c r="H763" i="9"/>
  <c r="H761" i="9"/>
  <c r="H759" i="9"/>
  <c r="H757" i="9"/>
  <c r="I753" i="9"/>
  <c r="H745" i="9"/>
  <c r="I743" i="9"/>
  <c r="I738" i="9"/>
  <c r="I736" i="9"/>
  <c r="I733" i="9"/>
  <c r="I724" i="9"/>
  <c r="H724" i="9"/>
  <c r="I707" i="9"/>
  <c r="I706" i="9"/>
  <c r="H705" i="9"/>
  <c r="I703" i="9"/>
  <c r="I702" i="9"/>
  <c r="H699" i="9"/>
  <c r="I696" i="9"/>
  <c r="H695" i="9"/>
  <c r="I693" i="9"/>
  <c r="I689" i="9"/>
  <c r="I687" i="9"/>
  <c r="H682" i="9"/>
  <c r="I669" i="9"/>
  <c r="I665" i="9"/>
  <c r="I663" i="9"/>
  <c r="I661" i="9"/>
  <c r="H657" i="9"/>
  <c r="I655" i="9"/>
  <c r="H654" i="9"/>
  <c r="I808" i="9"/>
  <c r="H808" i="9"/>
  <c r="I807" i="9"/>
  <c r="H807" i="9"/>
  <c r="I806" i="9"/>
  <c r="H806" i="9"/>
  <c r="I805" i="9"/>
  <c r="H805" i="9"/>
  <c r="I804" i="9"/>
  <c r="H804" i="9"/>
  <c r="I803" i="9"/>
  <c r="H803" i="9"/>
  <c r="I802" i="9"/>
  <c r="H802" i="9"/>
  <c r="I801" i="9"/>
  <c r="H801" i="9"/>
  <c r="I800" i="9"/>
  <c r="H800" i="9"/>
  <c r="I799" i="9"/>
  <c r="H799" i="9"/>
  <c r="I798" i="9"/>
  <c r="H798" i="9"/>
  <c r="I797" i="9"/>
  <c r="H797" i="9"/>
  <c r="I796" i="9"/>
  <c r="H796" i="9"/>
  <c r="I795" i="9"/>
  <c r="H795" i="9"/>
  <c r="I794" i="9"/>
  <c r="H794" i="9"/>
  <c r="I793" i="9"/>
  <c r="H793" i="9"/>
  <c r="I792" i="9"/>
  <c r="H792" i="9"/>
  <c r="I791" i="9"/>
  <c r="H791" i="9"/>
  <c r="I790" i="9"/>
  <c r="H790" i="9"/>
  <c r="I789" i="9"/>
  <c r="H789" i="9"/>
  <c r="I788" i="9"/>
  <c r="H788" i="9"/>
  <c r="I787" i="9"/>
  <c r="H787" i="9"/>
  <c r="I786" i="9"/>
  <c r="H786" i="9"/>
  <c r="I785" i="9"/>
  <c r="H785" i="9"/>
  <c r="I784" i="9"/>
  <c r="H784" i="9"/>
  <c r="I783" i="9"/>
  <c r="H783" i="9"/>
  <c r="I782" i="9"/>
  <c r="H782" i="9"/>
  <c r="I781" i="9"/>
  <c r="H781" i="9"/>
  <c r="I780" i="9"/>
  <c r="H780" i="9"/>
  <c r="I779" i="9"/>
  <c r="H779" i="9"/>
  <c r="I778" i="9"/>
  <c r="H778" i="9"/>
  <c r="I777" i="9"/>
  <c r="H777" i="9"/>
  <c r="I776" i="9"/>
  <c r="H776" i="9"/>
  <c r="I775" i="9"/>
  <c r="H775" i="9"/>
  <c r="I774" i="9"/>
  <c r="H774" i="9"/>
  <c r="I773" i="9"/>
  <c r="H773" i="9"/>
  <c r="H754" i="9"/>
  <c r="H753" i="9"/>
  <c r="H752" i="9"/>
  <c r="I750" i="9"/>
  <c r="H750" i="9"/>
  <c r="I749" i="9"/>
  <c r="I748" i="9"/>
  <c r="H748" i="9"/>
  <c r="I747" i="9"/>
  <c r="H747" i="9"/>
  <c r="I746" i="9"/>
  <c r="H746" i="9"/>
  <c r="I745" i="9"/>
  <c r="I744" i="9"/>
  <c r="H743" i="9"/>
  <c r="H742" i="9"/>
  <c r="H736" i="9"/>
  <c r="H735" i="9"/>
  <c r="I734" i="9"/>
  <c r="H734" i="9"/>
  <c r="H733" i="9"/>
  <c r="I732" i="9"/>
  <c r="H732" i="9"/>
  <c r="I731" i="9"/>
  <c r="I730" i="9"/>
  <c r="I729" i="9"/>
  <c r="I728" i="9"/>
  <c r="I727" i="9"/>
  <c r="H727" i="9"/>
  <c r="H726" i="9"/>
  <c r="H725" i="9"/>
  <c r="I723" i="9"/>
  <c r="I722" i="9"/>
  <c r="I721" i="9"/>
  <c r="H720" i="9"/>
  <c r="H718" i="9"/>
  <c r="I717" i="9"/>
  <c r="I716" i="9"/>
  <c r="H716" i="9"/>
  <c r="I714" i="9"/>
  <c r="I713" i="9"/>
  <c r="I712" i="9"/>
  <c r="I692" i="9"/>
  <c r="H692" i="9"/>
  <c r="H688" i="9"/>
  <c r="H686" i="9"/>
  <c r="H665" i="9"/>
  <c r="H664" i="9"/>
  <c r="H662" i="9"/>
  <c r="I658" i="9"/>
  <c r="I656" i="9"/>
  <c r="H656" i="9"/>
  <c r="I654" i="9"/>
  <c r="I648" i="9"/>
  <c r="I646" i="9"/>
  <c r="I642" i="9"/>
  <c r="I641" i="9"/>
  <c r="I633" i="9"/>
  <c r="H631" i="9"/>
  <c r="I629" i="9"/>
  <c r="I628" i="9"/>
  <c r="I627" i="9"/>
  <c r="H625" i="9"/>
  <c r="I593" i="9"/>
  <c r="H592" i="9"/>
  <c r="I578" i="9"/>
  <c r="I577" i="9"/>
  <c r="I568" i="9"/>
  <c r="H567" i="9"/>
  <c r="H562" i="9"/>
  <c r="H561" i="9"/>
  <c r="I557" i="9"/>
  <c r="H556" i="9"/>
  <c r="I548" i="9"/>
  <c r="I547" i="9"/>
  <c r="I543" i="9"/>
  <c r="I532" i="9"/>
  <c r="I527" i="9"/>
  <c r="I526" i="9"/>
  <c r="H525" i="9"/>
  <c r="H521" i="9"/>
  <c r="I519" i="9"/>
  <c r="H516" i="9"/>
  <c r="H515" i="9"/>
  <c r="H514" i="9"/>
  <c r="I478" i="9"/>
  <c r="I476" i="9"/>
  <c r="I475" i="9"/>
  <c r="I472" i="9"/>
  <c r="H472" i="9"/>
  <c r="H470" i="9"/>
  <c r="H469" i="9"/>
  <c r="H468" i="9"/>
  <c r="I466" i="9"/>
  <c r="I444" i="9"/>
  <c r="H433" i="9"/>
  <c r="I430" i="9"/>
  <c r="H429" i="9"/>
  <c r="H423" i="9"/>
  <c r="H422" i="9"/>
  <c r="H420" i="9"/>
  <c r="I408" i="9"/>
  <c r="I407" i="9"/>
  <c r="I402" i="9"/>
  <c r="I385" i="9"/>
  <c r="I371" i="9"/>
  <c r="I370" i="9"/>
  <c r="I369" i="9"/>
  <c r="I368" i="9"/>
  <c r="I356" i="9"/>
  <c r="I352" i="9"/>
  <c r="I351" i="9"/>
  <c r="I344" i="9"/>
  <c r="I343" i="9"/>
  <c r="I341" i="9"/>
  <c r="H338" i="9"/>
  <c r="I337" i="9"/>
  <c r="I336" i="9"/>
  <c r="H334" i="9"/>
  <c r="I325" i="9"/>
  <c r="I323" i="9"/>
  <c r="I321" i="9"/>
  <c r="I317" i="9"/>
  <c r="H302" i="9"/>
  <c r="I297" i="9"/>
  <c r="H297" i="9"/>
  <c r="H295" i="9"/>
  <c r="H293" i="9"/>
  <c r="H292" i="9"/>
  <c r="I291" i="9"/>
  <c r="H291" i="9"/>
  <c r="I290" i="9"/>
  <c r="H290" i="9"/>
  <c r="H289" i="9"/>
  <c r="I287" i="9"/>
  <c r="H271" i="9"/>
  <c r="I270" i="9"/>
  <c r="I268" i="9"/>
  <c r="I266" i="9"/>
  <c r="H260" i="9"/>
  <c r="H247" i="9"/>
  <c r="H246" i="9"/>
  <c r="H245" i="9"/>
  <c r="I241" i="9"/>
  <c r="H240" i="9"/>
  <c r="I239" i="9"/>
  <c r="H230" i="9"/>
  <c r="H229" i="9"/>
  <c r="H226" i="9"/>
  <c r="I225" i="9"/>
  <c r="I224" i="9"/>
  <c r="I219" i="9"/>
  <c r="I218" i="9"/>
  <c r="H905" i="9"/>
  <c r="H904" i="9"/>
  <c r="H901" i="9"/>
  <c r="H900" i="9"/>
  <c r="I205" i="9"/>
  <c r="I194" i="9"/>
  <c r="I189" i="9"/>
  <c r="H186" i="9"/>
  <c r="I175" i="9"/>
  <c r="H162" i="9"/>
  <c r="I157" i="9"/>
  <c r="H155" i="9"/>
  <c r="H152" i="9"/>
  <c r="H147" i="9"/>
  <c r="I140" i="9"/>
  <c r="H140" i="9"/>
  <c r="H137" i="9"/>
  <c r="I131" i="9"/>
  <c r="I113" i="9"/>
  <c r="I109" i="9"/>
  <c r="H108" i="9"/>
  <c r="I103" i="9"/>
  <c r="H98" i="9"/>
  <c r="H95" i="9"/>
  <c r="H82" i="9"/>
  <c r="H79" i="9"/>
  <c r="H74" i="9"/>
  <c r="I62" i="9"/>
  <c r="I59" i="9"/>
  <c r="H44" i="9"/>
  <c r="I35" i="9"/>
  <c r="I29" i="9"/>
  <c r="H948" i="9"/>
  <c r="I946" i="9"/>
  <c r="I945" i="9"/>
  <c r="H943" i="9"/>
  <c r="I940" i="9"/>
  <c r="H940" i="9"/>
  <c r="H937" i="9"/>
  <c r="I931" i="9"/>
  <c r="I928" i="9"/>
  <c r="I926" i="9"/>
  <c r="H919" i="9"/>
  <c r="I899" i="9"/>
  <c r="H898" i="9"/>
  <c r="I893" i="9"/>
  <c r="I192" i="9"/>
  <c r="I186" i="9"/>
  <c r="I178" i="9"/>
  <c r="I171" i="9"/>
  <c r="I159" i="9"/>
  <c r="I152" i="9"/>
  <c r="I127" i="9"/>
  <c r="I121" i="9"/>
  <c r="I101" i="9"/>
  <c r="I67" i="9"/>
  <c r="I51" i="9"/>
  <c r="I32" i="9"/>
  <c r="I890" i="9"/>
  <c r="H889" i="9"/>
  <c r="I886" i="9"/>
  <c r="I884" i="9"/>
  <c r="H883" i="9"/>
  <c r="H881" i="9"/>
  <c r="H879" i="9"/>
  <c r="I876" i="9"/>
  <c r="I874" i="9"/>
  <c r="H873" i="9"/>
  <c r="I871" i="9"/>
  <c r="H869" i="9"/>
  <c r="I867" i="9"/>
  <c r="H865" i="9"/>
  <c r="I862" i="9"/>
  <c r="I860" i="9"/>
  <c r="I857" i="9"/>
  <c r="H856" i="9"/>
  <c r="H854" i="9"/>
  <c r="I852" i="9"/>
  <c r="I850" i="9"/>
  <c r="I848" i="9"/>
  <c r="I845" i="9"/>
  <c r="I843" i="9"/>
  <c r="I841" i="9"/>
  <c r="H839" i="9"/>
  <c r="H837" i="9"/>
  <c r="H835" i="9"/>
  <c r="H832" i="9"/>
  <c r="I829" i="9"/>
  <c r="I772" i="9"/>
  <c r="I771" i="9"/>
  <c r="H771" i="9"/>
  <c r="H769" i="9"/>
  <c r="H767" i="9"/>
  <c r="I765" i="9"/>
  <c r="H764" i="9"/>
  <c r="I761" i="9"/>
  <c r="H760" i="9"/>
  <c r="I758" i="9"/>
  <c r="I756" i="9"/>
  <c r="I741" i="9"/>
  <c r="H740" i="9"/>
  <c r="H738" i="9"/>
  <c r="I735" i="9"/>
  <c r="H730" i="9"/>
  <c r="I725" i="9"/>
  <c r="H722" i="9"/>
  <c r="I719" i="9"/>
  <c r="H709" i="9"/>
  <c r="H707" i="9"/>
  <c r="I704" i="9"/>
  <c r="H703" i="9"/>
  <c r="H702" i="9"/>
  <c r="H701" i="9"/>
  <c r="H700" i="9"/>
  <c r="I695" i="9"/>
  <c r="I690" i="9"/>
  <c r="I682" i="9"/>
  <c r="I680" i="9"/>
  <c r="I678" i="9"/>
  <c r="I673" i="9"/>
  <c r="I672" i="9"/>
  <c r="I670" i="9"/>
  <c r="I668" i="9"/>
  <c r="I666" i="9"/>
  <c r="I652" i="9"/>
  <c r="I217" i="9"/>
  <c r="H217" i="9"/>
  <c r="I216" i="9"/>
  <c r="H216" i="9"/>
  <c r="I215" i="9"/>
  <c r="H215" i="9"/>
  <c r="I214" i="9"/>
  <c r="H214" i="9"/>
  <c r="I213" i="9"/>
  <c r="H213" i="9"/>
  <c r="I212" i="9"/>
  <c r="H212" i="9"/>
  <c r="I211" i="9"/>
  <c r="H211" i="9"/>
  <c r="I210" i="9"/>
  <c r="I199" i="9"/>
  <c r="H197" i="9"/>
  <c r="I196" i="9"/>
  <c r="H196" i="9"/>
  <c r="I195" i="9"/>
  <c r="H194" i="9"/>
  <c r="I193" i="9"/>
  <c r="H191" i="9"/>
  <c r="H190" i="9"/>
  <c r="H189" i="9"/>
  <c r="I188" i="9"/>
  <c r="I185" i="9"/>
  <c r="H185" i="9"/>
  <c r="I184" i="9"/>
  <c r="H184" i="9"/>
  <c r="I183" i="9"/>
  <c r="H183" i="9"/>
  <c r="I180" i="9"/>
  <c r="I179" i="9"/>
  <c r="H179" i="9"/>
  <c r="H178" i="9"/>
  <c r="H177" i="9"/>
  <c r="H175" i="9"/>
  <c r="I174" i="9"/>
  <c r="H174" i="9"/>
  <c r="I172" i="9"/>
  <c r="H171" i="9"/>
  <c r="I170" i="9"/>
  <c r="H169" i="9"/>
  <c r="I168" i="9"/>
  <c r="H168" i="9"/>
  <c r="H167" i="9"/>
  <c r="I166" i="9"/>
  <c r="H161" i="9"/>
  <c r="I154" i="9"/>
  <c r="I153" i="9"/>
  <c r="I148" i="9"/>
  <c r="I138" i="9"/>
  <c r="H138" i="9"/>
  <c r="I136" i="9"/>
  <c r="H134" i="9"/>
  <c r="H133" i="9"/>
  <c r="H132" i="9"/>
  <c r="H126" i="9"/>
  <c r="I125" i="9"/>
  <c r="H125" i="9"/>
  <c r="I124" i="9"/>
  <c r="H124" i="9"/>
  <c r="I123" i="9"/>
  <c r="H122" i="9"/>
  <c r="H120" i="9"/>
  <c r="I119" i="9"/>
  <c r="H113" i="9"/>
  <c r="H112" i="9"/>
  <c r="H111" i="9"/>
  <c r="I110" i="9"/>
  <c r="H107" i="9"/>
  <c r="I106" i="9"/>
  <c r="H105" i="9"/>
  <c r="H103" i="9"/>
  <c r="I102" i="9"/>
  <c r="H100" i="9"/>
  <c r="H99" i="9"/>
  <c r="I98" i="9"/>
  <c r="I97" i="9"/>
  <c r="I93" i="9"/>
  <c r="H93" i="9"/>
  <c r="I90" i="9"/>
  <c r="H90" i="9"/>
  <c r="I89" i="9"/>
  <c r="H89" i="9"/>
  <c r="I88" i="9"/>
  <c r="H88" i="9"/>
  <c r="I87" i="9"/>
  <c r="H87" i="9"/>
  <c r="I86" i="9"/>
  <c r="H86" i="9"/>
  <c r="I77" i="9"/>
  <c r="I76" i="9"/>
  <c r="I74" i="9"/>
  <c r="I73" i="9"/>
  <c r="H72" i="9"/>
  <c r="I70" i="9"/>
  <c r="H66" i="9"/>
  <c r="I65" i="9"/>
  <c r="H65" i="9"/>
  <c r="I64" i="9"/>
  <c r="H64" i="9"/>
  <c r="H57" i="9"/>
  <c r="I56" i="9"/>
  <c r="H53" i="9"/>
  <c r="I52" i="9"/>
  <c r="H52" i="9"/>
  <c r="H51" i="9"/>
  <c r="I50" i="9"/>
  <c r="I49" i="9"/>
  <c r="H43" i="9"/>
  <c r="I42" i="9"/>
  <c r="I41" i="9"/>
  <c r="I39" i="9"/>
  <c r="H37" i="9"/>
  <c r="I36" i="9"/>
  <c r="H33" i="9"/>
  <c r="H32" i="9"/>
  <c r="I31" i="9"/>
  <c r="H29" i="9"/>
  <c r="I27" i="9"/>
  <c r="H26" i="9"/>
  <c r="I24" i="9"/>
  <c r="I22" i="9"/>
  <c r="H22" i="9"/>
  <c r="I20" i="9"/>
  <c r="H23" i="5"/>
  <c r="I1016" i="9"/>
  <c r="H1016" i="9"/>
  <c r="I1015" i="9"/>
  <c r="H1015" i="9"/>
  <c r="I1014" i="9"/>
  <c r="H1014" i="9"/>
  <c r="I1013" i="9"/>
  <c r="H1013" i="9"/>
  <c r="I1012" i="9"/>
  <c r="H1012" i="9"/>
  <c r="I1011" i="9"/>
  <c r="H1011" i="9"/>
  <c r="I1010" i="9"/>
  <c r="H1010" i="9"/>
  <c r="I1009" i="9"/>
  <c r="H1009" i="9"/>
  <c r="I1008" i="9"/>
  <c r="H1008" i="9"/>
  <c r="I1007" i="9"/>
  <c r="H1007" i="9"/>
  <c r="I1006" i="9"/>
  <c r="H1006" i="9"/>
  <c r="I1005" i="9"/>
  <c r="H1005" i="9"/>
  <c r="I1004" i="9"/>
  <c r="H1004" i="9"/>
  <c r="I1003" i="9"/>
  <c r="H1003" i="9"/>
  <c r="I1002" i="9"/>
  <c r="H1002" i="9"/>
  <c r="I1001" i="9"/>
  <c r="H1001" i="9"/>
  <c r="I1000" i="9"/>
  <c r="H1000" i="9"/>
  <c r="I999" i="9"/>
  <c r="H999" i="9"/>
  <c r="I998" i="9"/>
  <c r="H998" i="9"/>
  <c r="I997" i="9"/>
  <c r="H997" i="9"/>
  <c r="I996" i="9"/>
  <c r="H996" i="9"/>
  <c r="I995" i="9"/>
  <c r="H995" i="9"/>
  <c r="I994" i="9"/>
  <c r="H994" i="9"/>
  <c r="I993" i="9"/>
  <c r="H993" i="9"/>
  <c r="I992" i="9"/>
  <c r="H992" i="9"/>
  <c r="I991" i="9"/>
  <c r="H991" i="9"/>
  <c r="I990" i="9"/>
  <c r="H990" i="9"/>
  <c r="I989" i="9"/>
  <c r="H989" i="9"/>
  <c r="I988" i="9"/>
  <c r="H988" i="9"/>
  <c r="I987" i="9"/>
  <c r="H987" i="9"/>
  <c r="I986" i="9"/>
  <c r="H986" i="9"/>
  <c r="I985" i="9"/>
  <c r="H985" i="9"/>
  <c r="I984" i="9"/>
  <c r="H984" i="9"/>
  <c r="I983" i="9"/>
  <c r="H983" i="9"/>
  <c r="I982" i="9"/>
  <c r="H982" i="9"/>
  <c r="I981" i="9"/>
  <c r="H981" i="9"/>
  <c r="I980" i="9"/>
  <c r="H980" i="9"/>
  <c r="I979" i="9"/>
  <c r="H979" i="9"/>
  <c r="I978" i="9"/>
  <c r="H978" i="9"/>
  <c r="I977" i="9"/>
  <c r="H977" i="9"/>
  <c r="I976" i="9"/>
  <c r="H976" i="9"/>
  <c r="I975" i="9"/>
  <c r="H975" i="9"/>
  <c r="I974" i="9"/>
  <c r="H974" i="9"/>
  <c r="I973" i="9"/>
  <c r="H973" i="9"/>
  <c r="I972" i="9"/>
  <c r="H972" i="9"/>
  <c r="I971" i="9"/>
  <c r="H971" i="9"/>
  <c r="I970" i="9"/>
  <c r="H970" i="9"/>
  <c r="I969" i="9"/>
  <c r="H969" i="9"/>
  <c r="I968" i="9"/>
  <c r="H968" i="9"/>
  <c r="I967" i="9"/>
  <c r="H967" i="9"/>
  <c r="I966" i="9"/>
  <c r="H966" i="9"/>
  <c r="I965" i="9"/>
  <c r="H965" i="9"/>
  <c r="I964" i="9"/>
  <c r="H964" i="9"/>
  <c r="I963" i="9"/>
  <c r="H963" i="9"/>
  <c r="I962" i="9"/>
  <c r="H962" i="9"/>
  <c r="I961" i="9"/>
  <c r="H961" i="9"/>
  <c r="I960" i="9"/>
  <c r="H960" i="9"/>
  <c r="I959" i="9"/>
  <c r="H959" i="9"/>
  <c r="I958" i="9"/>
  <c r="H958" i="9"/>
  <c r="I957" i="9"/>
  <c r="H957" i="9"/>
  <c r="I956" i="9"/>
  <c r="H956" i="9"/>
  <c r="I955" i="9"/>
  <c r="H955" i="9"/>
  <c r="I954" i="9"/>
  <c r="H954" i="9"/>
  <c r="I953" i="9"/>
  <c r="H953" i="9"/>
  <c r="I952" i="9"/>
  <c r="I950" i="9"/>
  <c r="I949" i="9"/>
  <c r="H949" i="9"/>
  <c r="I947" i="9"/>
  <c r="H947" i="9"/>
  <c r="H946" i="9"/>
  <c r="H945" i="9"/>
  <c r="I944" i="9"/>
  <c r="H944" i="9"/>
  <c r="H942" i="9"/>
  <c r="H941" i="9"/>
  <c r="I938" i="9"/>
  <c r="H938" i="9"/>
  <c r="I936" i="9"/>
  <c r="I935" i="9"/>
  <c r="H934" i="9"/>
  <c r="H933" i="9"/>
  <c r="I932" i="9"/>
  <c r="H932" i="9"/>
  <c r="I930" i="9"/>
  <c r="H930" i="9"/>
  <c r="I929" i="9"/>
  <c r="H929" i="9"/>
  <c r="H928" i="9"/>
  <c r="H927" i="9"/>
  <c r="H926" i="9"/>
  <c r="I925" i="9"/>
  <c r="H925" i="9"/>
  <c r="I923" i="9"/>
  <c r="I922" i="9"/>
  <c r="I921" i="9"/>
  <c r="I920" i="9"/>
  <c r="I909" i="9"/>
  <c r="H908" i="9"/>
  <c r="I906" i="9"/>
  <c r="H906" i="9"/>
  <c r="I896" i="9"/>
  <c r="I894" i="9"/>
  <c r="I209" i="9"/>
  <c r="I207" i="9"/>
  <c r="I200" i="9"/>
  <c r="I182" i="9"/>
  <c r="I160" i="9"/>
  <c r="H158" i="9"/>
  <c r="H151" i="9"/>
  <c r="H149" i="9"/>
  <c r="I146" i="9"/>
  <c r="I142" i="9"/>
  <c r="H141" i="9"/>
  <c r="H136" i="9"/>
  <c r="H899" i="9"/>
  <c r="I897" i="9"/>
  <c r="I895" i="9"/>
  <c r="I208" i="9"/>
  <c r="H201" i="9"/>
  <c r="H200" i="9"/>
  <c r="I198" i="9"/>
  <c r="I197" i="9"/>
  <c r="I162" i="9"/>
  <c r="I156" i="9"/>
  <c r="H143" i="9"/>
  <c r="I115" i="9"/>
  <c r="I96" i="9"/>
  <c r="I94" i="9"/>
  <c r="I83" i="9"/>
  <c r="H27" i="9"/>
  <c r="I19" i="9"/>
  <c r="I892" i="9"/>
  <c r="H891" i="9"/>
  <c r="I888" i="9"/>
  <c r="H887" i="9"/>
  <c r="H885" i="9"/>
  <c r="I882" i="9"/>
  <c r="I880" i="9"/>
  <c r="I878" i="9"/>
  <c r="H877" i="9"/>
  <c r="I873" i="9"/>
  <c r="H871" i="9"/>
  <c r="I869" i="9"/>
  <c r="H867" i="9"/>
  <c r="I864" i="9"/>
  <c r="H863" i="9"/>
  <c r="H861" i="9"/>
  <c r="I859" i="9"/>
  <c r="H857" i="9"/>
  <c r="H855" i="9"/>
  <c r="H853" i="9"/>
  <c r="H851" i="9"/>
  <c r="H849" i="9"/>
  <c r="I846" i="9"/>
  <c r="H845" i="9"/>
  <c r="H843" i="9"/>
  <c r="I840" i="9"/>
  <c r="H840" i="9"/>
  <c r="I838" i="9"/>
  <c r="I836" i="9"/>
  <c r="I834" i="9"/>
  <c r="I831" i="9"/>
  <c r="H830" i="9"/>
  <c r="H770" i="9"/>
  <c r="H768" i="9"/>
  <c r="H766" i="9"/>
  <c r="I763" i="9"/>
  <c r="H762" i="9"/>
  <c r="I760" i="9"/>
  <c r="H758" i="9"/>
  <c r="H756" i="9"/>
  <c r="I754" i="9"/>
  <c r="I751" i="9"/>
  <c r="H749" i="9"/>
  <c r="I740" i="9"/>
  <c r="H739" i="9"/>
  <c r="I737" i="9"/>
  <c r="I726" i="9"/>
  <c r="I720" i="9"/>
  <c r="H719" i="9"/>
  <c r="I711" i="9"/>
  <c r="I705" i="9"/>
  <c r="H704" i="9"/>
  <c r="I701" i="9"/>
  <c r="H698" i="9"/>
  <c r="H697" i="9"/>
  <c r="H696" i="9"/>
  <c r="H694" i="9"/>
  <c r="I691" i="9"/>
  <c r="I685" i="9"/>
  <c r="I683" i="9"/>
  <c r="I679" i="9"/>
  <c r="H675" i="9"/>
  <c r="H674" i="9"/>
  <c r="H673" i="9"/>
  <c r="H672" i="9"/>
  <c r="B1036" i="9" l="1"/>
  <c r="C1036" i="9" s="1"/>
  <c r="C1029" i="9"/>
  <c r="H27" i="1" s="1"/>
  <c r="C1027" i="9"/>
  <c r="C1026" i="9"/>
  <c r="C1025" i="9"/>
  <c r="C1024" i="9"/>
  <c r="C1023" i="9"/>
  <c r="C1022" i="9"/>
  <c r="C1021" i="9"/>
  <c r="B1038" i="9"/>
  <c r="C1038" i="9" s="1"/>
  <c r="B1037" i="9"/>
  <c r="C1037" i="9" s="1"/>
  <c r="B1021" i="9"/>
  <c r="E27" i="1" s="1"/>
  <c r="B1024" i="9"/>
  <c r="E31" i="1" s="1"/>
  <c r="B1025" i="9"/>
  <c r="B1028" i="9"/>
  <c r="B27" i="1" s="1"/>
  <c r="B1040" i="9"/>
  <c r="C1040" i="9" s="1"/>
  <c r="B1022" i="9"/>
  <c r="B1026" i="9"/>
  <c r="B1035" i="9"/>
  <c r="C1035" i="9" s="1"/>
  <c r="B1041" i="9"/>
  <c r="C1041" i="9" s="1"/>
  <c r="B1023" i="9"/>
  <c r="B31" i="1" s="1"/>
  <c r="B1027" i="9"/>
  <c r="B1030" i="9"/>
  <c r="B1039" i="9"/>
  <c r="C1039" i="9" s="1"/>
  <c r="B1042" i="9"/>
  <c r="C1042" i="9" s="1"/>
  <c r="H31" i="1" l="1"/>
</calcChain>
</file>

<file path=xl/sharedStrings.xml><?xml version="1.0" encoding="utf-8"?>
<sst xmlns="http://schemas.openxmlformats.org/spreadsheetml/2006/main" count="1223" uniqueCount="1030">
  <si>
    <t>DECONSTRUCTING KLARNA'S $40M AI CLAIM - BUSINESS VALUE ATTRIBUTION ANALYSIS</t>
  </si>
  <si>
    <t>A case study in what AI actually did vs what Klarna said it did.  All metrics sourced from public filings, press releases, and earnings reports.  Model by Tanya, MS Analytics, Northeastern University.</t>
  </si>
  <si>
    <t xml:space="preserve">  KEY INSIGHTS</t>
  </si>
  <si>
    <t>1</t>
  </si>
  <si>
    <t>Capacity unlock, not labor elimination, was the primary source of value.</t>
  </si>
  <si>
    <t>Avoided hiring from volume growth generated greater long-term value than direct labor displacement and compounds as the business scales. Most analyses stop at 'AI replaced agents.' The more important story is that AI enabled Klarna to serve 20% more volume in 2024 without adding proportional headcount -- an estimated $21M in avoided hiring that grows every year.</t>
  </si>
  <si>
    <t>2</t>
  </si>
  <si>
    <t>Restructuring drove more short-term savings than AI.</t>
  </si>
  <si>
    <t>Pre-AI cost reductions ($47M in 2023) exceeded post-AI reductions ($37M in 2024), suggesting AI's isolated year-one contribution was closer to $15-25M than the headline $40M figure. This is not a critique of the investment -- it still generated strong returns -- but a challenge to the attribution framing in Klarna's public narrative.</t>
  </si>
  <si>
    <t>3</t>
  </si>
  <si>
    <t>AI materially improved support unit economics.</t>
  </si>
  <si>
    <t>Lower cost per ticket (-40%), reduced repeat inquiries (-25%), and faster resolution times (-82%) improved operational efficiency even as customer volume increased. AI's impact is most visible at the unit level, where efficiency gains persisted and compounded, rather than in the aggregate cost line where restructuring effects obscure attribution.</t>
  </si>
  <si>
    <t>4</t>
  </si>
  <si>
    <t>The investment remains attractive under conservative assumptions.</t>
  </si>
  <si>
    <t>NPV remains positive and payback remains under two years across all three attribution scenarios modeled -- including the skeptical case where AI contributed only $15M annually. The debate is about magnitude, not direction. Even the most conservative scenario produces a strong financial case.</t>
  </si>
  <si>
    <t>5</t>
  </si>
  <si>
    <t>AI automation has a complexity ceiling.</t>
  </si>
  <si>
    <t>Klarna's return to human-assisted support by 2025 confirms that the 67% automation rate reflects easy-ticket saturation, not a sustainable long-run ceiling. Long-term value comes from augmenting agents and scaling capacity, not replacing human judgment. 5-year projections using a flat automation rate overstate years 3-5 returns by an estimated 10-15%.</t>
  </si>
  <si>
    <t xml:space="preserve">  FINANCIAL OUTCOMES</t>
  </si>
  <si>
    <t>NET PRESENT VALUE</t>
  </si>
  <si>
    <t>INTERNAL RATE OF RETURN</t>
  </si>
  <si>
    <t>PAYBACK PERIOD</t>
  </si>
  <si>
    <t>Base case, 10% discount rate</t>
  </si>
  <si>
    <t>vs 10% hurdle rate</t>
  </si>
  <si>
    <t>Simple payback</t>
  </si>
  <si>
    <t>5-YEAR NET BENEFIT</t>
  </si>
  <si>
    <t>RETURN ON INVESTMENT</t>
  </si>
  <si>
    <t>YEAR-0 INVESTMENT</t>
  </si>
  <si>
    <t>Total cumulative value</t>
  </si>
  <si>
    <t>Total benefit / investment</t>
  </si>
  <si>
    <t>One-time cost</t>
  </si>
  <si>
    <t xml:space="preserve">  MONTE CARLO SIMULATION (1,000 SCENARIOS) - press F9 to refresh</t>
  </si>
  <si>
    <t>PROB. NPV &gt; $0</t>
  </si>
  <si>
    <t>EXPECTED NPV (MEAN)</t>
  </si>
  <si>
    <t>PROB. ROI &gt; 2x</t>
  </si>
  <si>
    <t>% of scenarios positive</t>
  </si>
  <si>
    <t>Average all 1,000 scenarios</t>
  </si>
  <si>
    <t>% of strong-return scenarios</t>
  </si>
  <si>
    <t>10th PERCENTILE NPV</t>
  </si>
  <si>
    <t>90th PERCENTILE NPV</t>
  </si>
  <si>
    <t>NPV RANGE</t>
  </si>
  <si>
    <t>Downside: worst 10%</t>
  </si>
  <si>
    <t>Upside: best 10%</t>
  </si>
  <si>
    <t>Max minus Min</t>
  </si>
  <si>
    <t xml:space="preserve">  OPERATIONAL OUTCOMES (Product Analytics View)</t>
  </si>
  <si>
    <t>COST PER TICKET</t>
  </si>
  <si>
    <t>AI AUTOMATION RATE</t>
  </si>
  <si>
    <t>RESOLUTION TIME</t>
  </si>
  <si>
    <t>Before</t>
  </si>
  <si>
    <t>$7.18</t>
  </si>
  <si>
    <t>0%</t>
  </si>
  <si>
    <t>11 min</t>
  </si>
  <si>
    <t>After AI</t>
  </si>
  <si>
    <t>$4.28</t>
  </si>
  <si>
    <t>67%</t>
  </si>
  <si>
    <t>&lt;2 min</t>
  </si>
  <si>
    <t>Derived + confirmed by cost/transaction data</t>
  </si>
  <si>
    <t>Confirmed: Klarna press release Feb 2024</t>
  </si>
  <si>
    <t>FIRST CONTACT RESOLUTION</t>
  </si>
  <si>
    <t>REPEAT INQUIRY RATE</t>
  </si>
  <si>
    <t>CSAT IMPACT</t>
  </si>
  <si>
    <t>~68%</t>
  </si>
  <si>
    <t>~32%</t>
  </si>
  <si>
    <t>Baseline</t>
  </si>
  <si>
    <t>~76%</t>
  </si>
  <si>
    <t>~24%</t>
  </si>
  <si>
    <t>Flat</t>
  </si>
  <si>
    <t>Back-calculated from 25% repeat reduction</t>
  </si>
  <si>
    <t>Confirmed: 25% reduction (Klarna Feb 2024)</t>
  </si>
  <si>
    <t>Confirmed: CSAT unchanged (Klarna Feb 2024)</t>
  </si>
  <si>
    <t xml:space="preserve">  AI ATTRIBUTION SCENARIOS (full analysis in Counterfactual Analysis sheet)</t>
  </si>
  <si>
    <t>Skeptical (A): AI contributed $15M</t>
  </si>
  <si>
    <t>NPV: $42.1M</t>
  </si>
  <si>
    <t>Payback: 0.1 yrs</t>
  </si>
  <si>
    <t>Base Case (B): AI contributed $25M</t>
  </si>
  <si>
    <t>NPV: $80.1M</t>
  </si>
  <si>
    <t>Klarna's Claim (C): AI contributed $40M</t>
  </si>
  <si>
    <t>NPV: $136.9M</t>
  </si>
  <si>
    <t>Payback: 0.0 yrs</t>
  </si>
  <si>
    <t>KEY: Recommendation (INVEST) does not change across scenarios. Only magnitude changes. Even the skeptical case shows positive NPV and payback under 2 years.</t>
  </si>
  <si>
    <t xml:space="preserve">  KLARNA ACTUAL OUTCOMES (confirmed primary sources)</t>
  </si>
  <si>
    <t>CS Cost Reduction 2022-2024</t>
  </si>
  <si>
    <t>Resolution Time Improvement</t>
  </si>
  <si>
    <t>Cost/Transaction Reduction</t>
  </si>
  <si>
    <t>$84M total
($287M to $203M)</t>
  </si>
  <si>
    <t>11 min to 2 min
(82% faster)</t>
  </si>
  <si>
    <t>$0.32 to $0.19
(40% over 2yr)</t>
  </si>
  <si>
    <t>Klarna F-1 / Fintech Takes</t>
  </si>
  <si>
    <t>Klarna Press Release Feb 2024</t>
  </si>
  <si>
    <t>CX Dive / Klarna Q1 2025</t>
  </si>
  <si>
    <t>NAVIGATE:  Key Insights (this page)  |  Value Driver Analysis  |  Counterfactual Analysis  |  Operational KPIs  |  Cash Flow Model  |  Monte Carlo  |  Reality Check  |  Executive Memo</t>
  </si>
  <si>
    <t>EXECUTIVE MEMORANDUM</t>
  </si>
  <si>
    <t xml:space="preserve">  TO:   CFO / Board of Directors, Klarna</t>
  </si>
  <si>
    <t xml:space="preserve">  FROM:   Strategy Analytics Team</t>
  </si>
  <si>
    <t xml:space="preserve">  RE:   AI Customer Service Investment - Business Value Assessment</t>
  </si>
  <si>
    <t xml:space="preserve">  DATE:   Q1 2024 (post-deployment review)</t>
  </si>
  <si>
    <t xml:space="preserve">  MODEL:   5-Year NPV + Monte Carlo Simulation (1,000 scenarios)</t>
  </si>
  <si>
    <t xml:space="preserve">  SITUATION</t>
  </si>
  <si>
    <t xml:space="preserve">  Klarna, a $2.8B global fintech company, operates customer service across 35 languages for 150 million users. In 2022, customer service and operations costs reached $287M -- representing a significant and growing operational burden. In late 2023, Klarna partnered with OpenAI to deploy a GPT-4-class AI customer service assistant, launching globally in February 2024 with the stated goal of reducing support costs and improving resolution speed.</t>
  </si>
  <si>
    <t xml:space="preserve">  COMPLICATION</t>
  </si>
  <si>
    <t xml:space="preserve">  The investment case is more nuanced than headline figures suggest. Two findings complicate a straightforward attribution of savings to AI:</t>
  </si>
  <si>
    <t xml:space="preserve">  1.  Pre-AI efficiency gains were larger. Customer service costs fell $47M in 2023 -- before the AI assistant launched -- compared to $37M in 2024 after AI was live. The 2022 workforce restructuring (approx. 580 staff) and operational tightening contributed more to absolute cost savings than AI in its first full year.</t>
  </si>
  <si>
    <t xml:space="preserve">  2.  AI hit a complexity ceiling. By early 2025, Klarna reintroduced human agents for complex customer cases, indicating that the 67% automation rate achieved in month one does not represent a stable long-run equilibrium. The $40M projected profit improvement partially reflects avoided hiring during a growth phase, not purely realized cost reduction from existing operations.</t>
  </si>
  <si>
    <t xml:space="preserve">  RECOMMENDATION</t>
  </si>
  <si>
    <t xml:space="preserve">  The AI investment is financially justified. Based on a 5-year NPV model with base-case assumptions anchored to Klarna's actual reported metrics, the investment generates positive returns under most scenarios modeled.</t>
  </si>
  <si>
    <t xml:space="preserve">  Base Case NPV:         [pull from Cash Flow Model sheet, cell B at NPV row]</t>
  </si>
  <si>
    <t xml:space="preserve">  IRR:                   [pull from Cash Flow Model] vs 10% hurdle rate</t>
  </si>
  <si>
    <t xml:space="preserve">  Payback Period:        [pull from Cash Flow Model] years</t>
  </si>
  <si>
    <t xml:space="preserve">  Probability NPV &gt; 0:   [pull from Monte Carlo sheet, Probability NPV &gt; $0 row]</t>
  </si>
  <si>
    <t xml:space="preserve">  Recommendation: Invest. However, financial projections should be revised to reflect AI's isolated contribution of approximately $37M per year -- not the full $84M two-year savings often attributed to the program.</t>
  </si>
  <si>
    <t xml:space="preserve">  FINANCIAL EVIDENCE</t>
  </si>
  <si>
    <t xml:space="preserve">  All figures from 5-year discounted cash flow model. Assumptions sourced from Klarna filings, McKinsey Gen AI Report (2023), and Klarna press releases.</t>
  </si>
  <si>
    <t xml:space="preserve">  Net Present Value (base case):         [Cash Flow Model - B at NPV row]</t>
  </si>
  <si>
    <t xml:space="preserve">  Internal Rate of Return:               [Cash Flow Model - B at IRR row]</t>
  </si>
  <si>
    <t xml:space="preserve">  Simple Payback Period:                 [Cash Flow Model - B at Payback row]</t>
  </si>
  <si>
    <t xml:space="preserve">  5-Year Total Net Benefit:              [Cash Flow Model - B at Total row]</t>
  </si>
  <si>
    <t xml:space="preserve">  Monte Carlo - Mean NPV (1,000 runs):   [Monte Carlo - B at Mean row]</t>
  </si>
  <si>
    <t xml:space="preserve">  Monte Carlo - Prob(NPV &gt; 0):           [Monte Carlo - B at Prob row]</t>
  </si>
  <si>
    <t xml:space="preserve">  Monte Carlo - 10th/90th percentile:    [Monte Carlo - B at P10 row] / [B at P90 row]</t>
  </si>
  <si>
    <t xml:space="preserve">  OPERATIONAL EVIDENCE (Klarna confirmed, primary sources)</t>
  </si>
  <si>
    <t xml:space="preserve">  The following metrics are confirmed from Klarna's official press releases and earnings reports:</t>
  </si>
  <si>
    <t xml:space="preserve">  Resolution time:          11 minutes (before) vs under 2 minutes (after AI) -- 82% improvement</t>
  </si>
  <si>
    <t xml:space="preserve">  AI automation rate:       67% of all customer service volume handled by AI in month 1</t>
  </si>
  <si>
    <t xml:space="preserve">  Repeat inquiry reduction: 25% fewer repeat contacts -- improved first-contact resolution</t>
  </si>
  <si>
    <t xml:space="preserve">  Customer satisfaction:    Unchanged -- AI matched human agent CSAT scores</t>
  </si>
  <si>
    <t xml:space="preserve">  Cost per transaction:     $0.32 (Q1 2023) to $0.19 (Q1 2025) -- 40% reduction over two years</t>
  </si>
  <si>
    <t xml:space="preserve">  Revenue per employee:     $369K (2023) to $1M (Q2 2025) -- reflects broad AI adoption company-wide</t>
  </si>
  <si>
    <t xml:space="preserve">  KEY RISKS</t>
  </si>
  <si>
    <t xml:space="preserve">  Risk 1 -- Complexity ceiling (HIGH): AI's automation rate is not stable at 67% for complex interactions. Klarna's decision to reintroduce human agents by 2025 confirms this. 5-year NPV projections using a flat automation rate are likely 10-15% too optimistic.</t>
  </si>
  <si>
    <t xml:space="preserve">  Risk 2 -- AI attribution bias (MEDIUM): Parallel efficiency initiatives running concurrently with AI make it difficult to isolate AI's causal contribution. The $47M pre-AI cost drop is the clearest evidence of this. Future models should build a pre-AI trend line as the counterfactual baseline.</t>
  </si>
  <si>
    <t xml:space="preserve">  Risk 3 -- Running cost escalation (LOW): OpenAI enterprise pricing scales with volume. As Klarna's user base grows 15-22% annually, API costs may increase faster than projected. Model sensitivity to running cost shows a $3.5M annual swing materially affects NPV.</t>
  </si>
  <si>
    <t xml:space="preserve">  WHAT THIS MODEL GOT RIGHT AND WRONG</t>
  </si>
  <si>
    <t xml:space="preserve">  This section demonstrates analytical integrity -- the willingness to critique the model's own assumptions.</t>
  </si>
  <si>
    <t xml:space="preserve">  CORRECT:</t>
  </si>
  <si>
    <t xml:space="preserve">  - Direction: NPV is positive in all base-case scenarios</t>
  </si>
  <si>
    <t xml:space="preserve">  - Adoption rate: 67% base case matched Klarna's actual month-1 result exactly</t>
  </si>
  <si>
    <t xml:space="preserve">  - CSAT: Correctly modeled as flat, confirmed by Klarna</t>
  </si>
  <si>
    <t xml:space="preserve">  - Cost per transaction: Conservative estimate; actual outcome exceeded the model</t>
  </si>
  <si>
    <t xml:space="preserve">  INCORRECT:</t>
  </si>
  <si>
    <t xml:space="preserve">  - Attributed all 2022-2024 savings to AI (missed the $47M pre-AI efficiency drop)</t>
  </si>
  <si>
    <t xml:space="preserve">  - Assumed 67% automation rate sustained for all 5 years (Klarna hit a ceiling by year 2)</t>
  </si>
  <si>
    <t xml:space="preserve">  - Did not distinguish cost avoidance from cost reduction in the $40M headline figure</t>
  </si>
  <si>
    <t xml:space="preserve">  IMPLICATION FOR FUTURE AI INVESTMENT MODELS:</t>
  </si>
  <si>
    <t xml:space="preserve">  Analysts should: (1) build a pre-AI trend line as the null hypothesis, (2) model automation rate as a declining curve not a fixed percentage, and (3) separately account for avoided hiring vs realized cost reduction.</t>
  </si>
  <si>
    <t xml:space="preserve">  SENSITIVITY SUMMARY</t>
  </si>
  <si>
    <t xml:space="preserve">  The following variables, in order of impact on NPV:</t>
  </si>
  <si>
    <t xml:space="preserve">  1. Productivity Gain (15% to 40%)  -- largest driver of NPV variance</t>
  </si>
  <si>
    <t xml:space="preserve">  2. AI Adoption Rate (50% to 90%)   -- second largest driver</t>
  </si>
  <si>
    <t xml:space="preserve">  3. Annual AI Running Cost ($2M to $5.5M)  -- meaningful but not dominant</t>
  </si>
  <si>
    <t xml:space="preserve">  4. Discount Rate (8% to 12%)       -- changes magnitude, not direction</t>
  </si>
  <si>
    <t xml:space="preserve">  5. Implementation Cost ($1M to $1.5M)  -- smallest driver (one-time)</t>
  </si>
  <si>
    <t xml:space="preserve">  Full sensitivity analysis in the Reality Check sheet.</t>
  </si>
  <si>
    <t xml:space="preserve">  Data sources: Klarna F-1 SEC Filing | Klarna Annual Reports 2022-2023 | Klarna Press Release Feb 27 2024 | Fintech Takes (Mar 2025) | McKinsey Gen AI Report 2023 | CX Dive Q1 2025 | Klarna Q2 2025 Earnings</t>
  </si>
  <si>
    <t>VALUE DRIVER WATERFALL: From Klarna's $40M Claim to AI-Isolated Contribution</t>
  </si>
  <si>
    <t>Each bar shows what the $40M headline figure actually consists of -- and how much is genuinely attributable to AI vs parallel restructuring initiatives. All figures derived from confirmed Klarna data or explicitly labeled estimates.</t>
  </si>
  <si>
    <t>Step</t>
  </si>
  <si>
    <t>Label</t>
  </si>
  <si>
    <t>Value ($M)</t>
  </si>
  <si>
    <t>Base (invisible)</t>
  </si>
  <si>
    <t>Positive</t>
  </si>
  <si>
    <t>Negative</t>
  </si>
  <si>
    <t>Running Total ($M)</t>
  </si>
  <si>
    <t>Notes</t>
  </si>
  <si>
    <t>Klarna's Stated Figure</t>
  </si>
  <si>
    <t>Starting point: Klarna's publicly stated $40M profit improvement (Feb 2024 press release). This is the figure being deconstructed.</t>
  </si>
  <si>
    <t>Labor Efficiency</t>
  </si>
  <si>
    <t>AI handles 67% of agent volume at 53% capture rate of theoretical max. Derived from: 3,000 agents x $35K x 0.67 x 0.53. Confirmed inputs, estimated capture rate.</t>
  </si>
  <si>
    <t>Repeat Inquiry Reduction</t>
  </si>
  <si>
    <t>25% fewer repeat contacts x 41.1M annual tickets x $0.32 cost per transaction. Most defensible calculation in the project -- all inputs confirmed by Klarna.</t>
  </si>
  <si>
    <t>Capacity Unlock</t>
  </si>
  <si>
    <t>3,000 agents x 15% volume growth x $35K = avoided hiring. Confirmed: Klarna grew ~20% in 2024. This is cost avoidance, not cost reduction.</t>
  </si>
  <si>
    <t>Resolution Efficiency</t>
  </si>
  <si>
    <t>Human agents gain ~10% efficiency from better ticket routing. Estimated: 990 human agents x $35K x 10%. Conservative and labeled as estimate.</t>
  </si>
  <si>
    <t>Non-AI Adjustment</t>
  </si>
  <si>
    <t>Subtract restructuring carryforward: 30% of $47M pre-AI drop persists into 2024. This is the attribution adjustment -- what would have happened without AI.</t>
  </si>
  <si>
    <t>AI Running Costs</t>
  </si>
  <si>
    <t>Annual API licensing ($3M) + maintenance ($0.5M) = $3.5M. Confirmed from OpenAI enterprise spend benchmarks. Subtract from gross savings.</t>
  </si>
  <si>
    <t>AI-Isolated
Contribution (Est.)</t>
  </si>
  <si>
    <t>AI-Isolated Contribution</t>
  </si>
  <si>
    <t>Final estimate of AI's isolated annual contribution after stripping out restructuring carryforward and AI running costs. Range: $15M-$25M depending on attribution assumption. See Counterfactual Analysis sheet.</t>
  </si>
  <si>
    <t>HOW TO READ THIS CHART: The green bars show value added by each AI-driven mechanism. The red bars subtract factors that inflate the headline figure: restructuring carryforward (the $14.1M that would have saved itself) and AI running costs ($3.5M/yr). The final bar is the estimated AI-isolated annual contribution under the base-case attribution assumption. Under the skeptical assumption (Counterfactual Scenario A), subtract an additional ~$10M.</t>
  </si>
  <si>
    <t>DECONSTRUCTING KLARNA'S $40M AI CLAIM - VALUE ATTRIBUTION ANALYSIS</t>
  </si>
  <si>
    <t>Where did the value actually come from? Each component derived from public data with explicit calculation logic. Estimates flagged. No unsupported round numbers.</t>
  </si>
  <si>
    <t xml:space="preserve">  SECTION A - VALUE DRIVER DECOMPOSITION: Breaking Down the $40M</t>
  </si>
  <si>
    <t>Value Driver</t>
  </si>
  <si>
    <t>Estimated Annual
Contribution ($)</t>
  </si>
  <si>
    <t>% of Total
Savings</t>
  </si>
  <si>
    <t>Derivation Method</t>
  </si>
  <si>
    <t>Confidence</t>
  </si>
  <si>
    <t>Data Source</t>
  </si>
  <si>
    <t>Key Assumption / Caveat</t>
  </si>
  <si>
    <t>Labor Efficiency
(AI handles 67% of agent workload)</t>
  </si>
  <si>
    <t>Theoretical max = Inputs!C7 agents x Inputs!C10 salary x Inputs!C21 automation rate = $70.4M.
Realized at 53% capture rate (actual $37M drop / $70.4M theoretical).
Capture gap explained by headcount lag + complexity ceiling.</t>
  </si>
  <si>
    <t>MEDIUM - derived from public data</t>
  </si>
  <si>
    <t>Klarna Annual Reports + CEO statement + BPO salary benchmarks</t>
  </si>
  <si>
    <t>Assumes linear mapping of automation rate to cost reduction. Ignores agent mix shift toward harder tickets.</t>
  </si>
  <si>
    <t>Repeat Inquiry Reduction
(25% fewer repeat contacts)</t>
  </si>
  <si>
    <t>Total monthly volume = 2.3M / Inputs!C21 automation rate = 3.43M chats/month.
Annual volume = 3.43M x 12 = 41.1M tickets.
25% repeat reduction x $0.32 cost per transaction = annual saving.
This is the most defensible calculation in the project - directly from Klarna's confirmed figures.</t>
  </si>
  <si>
    <t>HIGH - all inputs confirmed by Klarna</t>
  </si>
  <si>
    <t>Klarna Press Release Feb 27 2024 + CX Dive transaction cost data</t>
  </si>
  <si>
    <t>Assumes repeat reduction applies evenly across all ticket types. May overstate if AI only deflects simple tickets.</t>
  </si>
  <si>
    <t>Capacity Unlock
(avoided hiring during 20% growth)</t>
  </si>
  <si>
    <t>Klarna GMV grew ~20% in 2024. Without AI, would have required Inputs!C7 x Inputs!C41 = 450 additional agents.
450 agents x Inputs!C10 annual cost = avoided hiring per year.
This is cost AVOIDANCE not cost REDUCTION - does not appear in year-over-year cost comparison but is real economic value.</t>
  </si>
  <si>
    <t>MEDIUM - growth rate estimate</t>
  </si>
  <si>
    <t>Klarna Q2 2025 Earnings (GMV growth) + BPO salary benchmarks</t>
  </si>
  <si>
    <t>Critical distinction: cost avoidance vs cost reduction. $287M base cost stays flat while handling 20% more volume. The $37M reported reduction UNDERSTATES total value created because it excludes this component.</t>
  </si>
  <si>
    <t>Resolution Speed Efficiency
(11 min -&gt; 2 min for AI tier)</t>
  </si>
  <si>
    <t>AI resolution time improvement (11min to 2min) has two effects:
1. AI handles more volume per hour (captured in automation rate)
2. Human agents receive better-routed escalations, improving their productivity ~10%
Human tier = Inputs!C7 x (1 - Inputs!C21) = 990 agents x Inputs!C10 x 10% efficiency gain
Conservative estimate. Does NOT include customer retention value of faster resolution.</t>
  </si>
  <si>
    <t>LOW-MEDIUM - 10% efficiency gain is estimated</t>
  </si>
  <si>
    <t>Klarna Press Release (resolution times) + industry benchmarks for routing efficiency</t>
  </si>
  <si>
    <t>10% human efficiency gain is a conservative assumption. Could be higher if AI pre-qualifies issues well. Customer retention value of faster resolution excluded - would require churn data.</t>
  </si>
  <si>
    <t>Non-AI Efficiency Factors
(2022 restructuring carryforward)</t>
  </si>
  <si>
    <t>Pre-AI cost drop in 2023 = Inputs!C47 ($47M) from 2022 layoffs and ops tightening.
Estimated 30% of restructuring benefit carries into 2024 as ongoing savings.
= $47M x 30% = ~$14M non-AI contribution to the 2024 cost reduction.
IMPLICATION: AI's isolated contribution = total $37M drop minus ~$14M carryforward = ~$23M true AI-specific saving.</t>
  </si>
  <si>
    <t>LOW - 30% carryforward is estimated</t>
  </si>
  <si>
    <t>Fintech Takes Klarna F-1 analysis (Mar 2025) - pre-AI cost drop confirmed</t>
  </si>
  <si>
    <t>30% carryforward assumption is debatable. Range: 20%-50%. Sensitivity: if 50%, AI contribution falls to ~$18M. This is the key uncertainty in the attribution analysis.</t>
  </si>
  <si>
    <t>TOTAL ESTIMATED VALUE CREATED
(all drivers combined)</t>
  </si>
  <si>
    <t>100%</t>
  </si>
  <si>
    <t>Sum of all components. Compare to Klarna's stated $40M and actual $37M cost drop.</t>
  </si>
  <si>
    <t>See individual rows above</t>
  </si>
  <si>
    <t>Total likely exceeds reported $37M cost drop because capacity unlock (avoidance) is excluded from P&amp;L savings.</t>
  </si>
  <si>
    <t xml:space="preserve">  SECTION B - KLARNA STATED vs MODEL DERIVED vs AI-ISOLATED</t>
  </si>
  <si>
    <t>Metric</t>
  </si>
  <si>
    <t>This Model's Estimate</t>
  </si>
  <si>
    <t>Difference</t>
  </si>
  <si>
    <t>Explanation</t>
  </si>
  <si>
    <t>Total CS cost reduction 2022-2024</t>
  </si>
  <si>
    <t>Model includes capacity unlock (cost avoidance) which does not show in P&amp;L. Klarna's $84M is pure cost reduction. Model total includes avoided costs.</t>
  </si>
  <si>
    <t>AI-attributed profit improvement</t>
  </si>
  <si>
    <t>Klarna's $40M is mostly avoided hiring framing. Model isolates realized cost reduction only (labor + repeat + resolution). Expect model to show lower figure - that is the point.</t>
  </si>
  <si>
    <t>AI-ISOLATED contribution (excl. non-AI factors)</t>
  </si>
  <si>
    <t>Not disclosed</t>
  </si>
  <si>
    <t>N/A</t>
  </si>
  <si>
    <t>Key original insight: strip out the restructuring carryforward to isolate AI's true causal contribution. This is the number Klarna never published and your analysis derives.</t>
  </si>
  <si>
    <t xml:space="preserve">  SECTION C - WHY DID KLARNA ONLY CAPTURE 53% OF THEORETICAL LABOR SAVINGS?</t>
  </si>
  <si>
    <t>Theoretical max labor saving = 3,000 agents x $35K x 67% automation = $70.4M. Actual labor-related saving (post-AI drop) = ~$26M. Capture rate = 37%. The $44M gap is the most analytically interesting number in the project. Here is where it went.</t>
  </si>
  <si>
    <t>Reason for Gap</t>
  </si>
  <si>
    <t>Estimated Gap ($)</t>
  </si>
  <si>
    <t>Implication</t>
  </si>
  <si>
    <t>Headcount rationalization lag</t>
  </si>
  <si>
    <t>Companies do not immediately reduce headcount when automation is deployed. BPO contracts have notice periods. Klarna held agents through 2024 as buffer. Estimated 25% of theoretical saving delayed 12-18 months.</t>
  </si>
  <si>
    <t>Year 2-3 savings will be higher as contracts roll off and headcount adjusts to new baseline.</t>
  </si>
  <si>
    <t>Complexity ceiling on AI-handled volume</t>
  </si>
  <si>
    <t>AI handles easy, fast-resolution tickets. The 33% human-handled volume is disproportionately complex, long, and expensive per ticket. Average cost per human ticket likely rose 20-30% as simple volume was deflected.</t>
  </si>
  <si>
    <t>5-year NPV model overestimates years 3-5 if automation rate is treated as stable. True long-run automation ceiling likely 70-75%, not 90%.</t>
  </si>
  <si>
    <t>Non-AI parallel efficiency initiatives</t>
  </si>
  <si>
    <t>30% of the restructuring benefit from 2023 continues into 2024, inflating the apparent AI contribution. Vendor renegotiations, process improvements, and org changes compound over time.</t>
  </si>
  <si>
    <t>AI attribution analysis must use a pre-AI trend as counterfactual, not a flat baseline. Without this adjustment, AI ROI is overstated by ~15-20%.</t>
  </si>
  <si>
    <t>Offsetting cost increases</t>
  </si>
  <si>
    <t>New costs introduced by AI: API licensing, engineering maintenance, QA, prompt tuning, and integration upkeep. These offset gross savings. Estimated total = API cost + maintenance = $3.5M/yr minimum.</t>
  </si>
  <si>
    <t>Net saving is always less than gross saving. Financial model already accounts for this but worth isolating as a line item.</t>
  </si>
  <si>
    <t xml:space="preserve">  SECTION D - ORIGINAL INSIGHT: The True AI-Isolated Contribution</t>
  </si>
  <si>
    <t>Klarna's reported total cost drop (2022-2024)</t>
  </si>
  <si>
    <t>Minus: Pre-AI efficiency carryforward (est. 30%)</t>
  </si>
  <si>
    <t>Minus: AI running costs (API + maintenance, 5yr avg)</t>
  </si>
  <si>
    <t>Klarna's stated figure for comparison</t>
  </si>
  <si>
    <t>Gap: Overstatement in Klarna's headline figure</t>
  </si>
  <si>
    <t>MEMO LANGUAGE: 'Klarna's $40M headline figure conflates gross savings with net AI contribution. After adjusting for pre-AI efficiency carryforward and ongoing AI running costs, the AI-isolated net contribution is estimated at $18-25M annually - still a strong positive return on a $1.45M initial investment, but materially different from the marketed figure. This distinction matters because it changes the payback period from ~1 year to ~1.5-2 years and shifts the primary value driver from cost reduction to capacity unlock.'</t>
  </si>
  <si>
    <t xml:space="preserve">  SECTION E - THE DATA GAP: What This Model Cannot Do (And Why That Matters)</t>
  </si>
  <si>
    <t>Every model has a data ceiling. This one's is ticket-level segmentation. Klarna has never publicly disclosed how their 3.43M monthly chats break down by ticket type, nor the per-category AI resolution rates. Without that data, this model cannot answer the most important operational question: which ticket types drove the 67% automation rate, and which ones define the ceiling?</t>
  </si>
  <si>
    <t>Data Point</t>
  </si>
  <si>
    <t>What We Know</t>
  </si>
  <si>
    <t>What We Don't Know</t>
  </si>
  <si>
    <t>Why It Matters</t>
  </si>
  <si>
    <t>Where It Would Come From</t>
  </si>
  <si>
    <t>Ticket type breakdown</t>
  </si>
  <si>
    <t>Overall: 3.43M chats/month, 67% automated</t>
  </si>
  <si>
    <t>How that 67% splits across password resets, refunds, disputes, fraud reports</t>
  </si>
  <si>
    <t>The 33% human-handled volume is likely disproportionately complex. Without the split, we cannot model year 3-5 automation ceiling accurately.</t>
  </si>
  <si>
    <t>Klarna investor relations, earnings calls, or a FOIA-equivalent disclosure. Currently unpublished.</t>
  </si>
  <si>
    <t>Per-category resolution rates</t>
  </si>
  <si>
    <t>Aggregate 67% confirmed month-1</t>
  </si>
  <si>
    <t>AI resolution rate for refunds vs fraud vs account queries</t>
  </si>
  <si>
    <t>If fraud (lowest AI resolution) is growing faster than simpler categories, automation rate will decline over time -- exactly what happened by 2025.</t>
  </si>
  <si>
    <t>Would require Klarna to disclose operational metrics by ticket type. No public company does this routinely.</t>
  </si>
  <si>
    <t>Handle time by ticket type</t>
  </si>
  <si>
    <t>Aggregate: 11 min (before) to 2 min (after) for AI-handled tickets</t>
  </si>
  <si>
    <t>Human handle time for the complex 33% that stayed human</t>
  </si>
  <si>
    <t>Human agents handling harder tickets likely have longer handle times post-AI, raising per-agent cost. This partially offsets aggregate savings.</t>
  </si>
  <si>
    <t>Internal Klarna ops data. Not publicly available.</t>
  </si>
  <si>
    <t>Agent-level productivity data</t>
  </si>
  <si>
    <t>3,000 outsourced agents (CEO statement)</t>
  </si>
  <si>
    <t>How many agents were retained, redeployed, or released after AI deployment</t>
  </si>
  <si>
    <t>Determines whether savings were realized through headcount reduction or capacity buffer. Changes payback period materially.</t>
  </si>
  <si>
    <t>Klarna employee count filings (limited detail for outsourced BPO). Partially inferable from annual reports.</t>
  </si>
  <si>
    <t>CSAT by channel (AI vs human)</t>
  </si>
  <si>
    <t>Aggregate CSAT: unchanged (Klarna confirmed)</t>
  </si>
  <si>
    <t>Whether AI CSAT equaled human CSAT for equivalent ticket types, or averaged out to flat</t>
  </si>
  <si>
    <t>If AI CSAT is higher on simple tickets but lower on escalations, aggregate flat CSAT masks a quality problem in the 33% human tier.</t>
  </si>
  <si>
    <t>Not disclosed. Would require Klarna CSAT reporting by interaction type.</t>
  </si>
  <si>
    <t>ANALYTICAL INTEGRITY NOTE: A model that acknowledges its own data gaps is more credible than one that fills them with assumptions. The ticket-type segmentation gap is the single improvement that would most change this model's precision. In an interview: 'The analysis I could not do -- and why it would have been the most valuable addition -- was a bottom-up ticket-type decomposition. That requires data Klarna has never publicly disclosed. If I had access to their ops data, I would model AI resolution rate as a function of ticket complexity, which would produce a more accurate automation ceiling for years 3-5 and explain the complexity ceiling Klarna hit in 2025.'</t>
  </si>
  <si>
    <t>COUNTERFACTUAL ANALYSIS - WHAT WOULD HAVE HAPPENED WITHOUT AI?</t>
  </si>
  <si>
    <t>The most important question in any attribution analysis: what is the null hypothesis? Two scenarios modeled. Argument for each presented. You decide which is more defensible.</t>
  </si>
  <si>
    <t xml:space="preserve">  SECTION A - THE TWO COUNTERFACTUALS</t>
  </si>
  <si>
    <t>Year 0
(2022)</t>
  </si>
  <si>
    <t>Year 1
(2023)
Actual</t>
  </si>
  <si>
    <t>Year 2
(2024)
Actual</t>
  </si>
  <si>
    <t>CF Scenario 1:
Trend Continues</t>
  </si>
  <si>
    <t>CF Scenario 2:
Costs Flatten</t>
  </si>
  <si>
    <t>Actual with AI</t>
  </si>
  <si>
    <t>Difference vs CF2
(AI's contribution)</t>
  </si>
  <si>
    <t>CS &amp; Ops Cost ($M)</t>
  </si>
  <si>
    <t>YoY Change ($M)</t>
  </si>
  <si>
    <t>Cumulative savings vs 2022 baseline</t>
  </si>
  <si>
    <t xml:space="preserve">  SECTION B - THE ARGUMENT FOR EACH COUNTERFACTUAL</t>
  </si>
  <si>
    <t>Counterfactual 1: Trend Continues</t>
  </si>
  <si>
    <t>Counterfactual 2: Costs Flatten</t>
  </si>
  <si>
    <t>Core claim</t>
  </si>
  <si>
    <t>The $47M annual decline seen in 2023 would have continued into 2024 even without AI, driven by ongoing restructuring and vendor contract renegotiations.</t>
  </si>
  <si>
    <t>The 2022-2023 cost reduction was a one-time restructuring event. Without AI, costs would have stabilized at the new ~$240M level as the org settled.</t>
  </si>
  <si>
    <t>Implication for AI</t>
  </si>
  <si>
    <t>AI UNDERPERFORMED the counterfactual. Costs dropped $37M with AI vs $47M projected without. Preliminary read: AI destroyed value in year 1 vs the trend.</t>
  </si>
  <si>
    <t>AI contributed the full $37M drop. All cost reduction in 2024 is attributable to AI. This is Klarna's implicit framing in their press releases.</t>
  </si>
  <si>
    <t>Supporting evidence</t>
  </si>
  <si>
    <t>Restructuring programs have multi-year effects. Vendor contracts renegotiated in 2022-2023 deliver savings in subsequent years. No reason to expect savings to stop at year 1.</t>
  </si>
  <si>
    <t>Layoff-driven savings are front-loaded - once headcount is reduced, the saving is captured. No further reduction without another restructuring event. 2023 was an exceptional year; 2024 would have reverted to normal.</t>
  </si>
  <si>
    <t>Weakness of this argument</t>
  </si>
  <si>
    <t>If restructuring savings are ongoing, why did they slow from -$47M to -$37M in the AI year? The deceleration suggests restructuring effects were fading anyway.</t>
  </si>
  <si>
    <t>Assumes a clean break between restructuring and steady state. In practice, operational improvement is continuous, not step-function.</t>
  </si>
  <si>
    <t>Most defensible conclusion</t>
  </si>
  <si>
    <t>Use as the DOWNSIDE scenario. If this is true, AI's isolated contribution in year 1 is near zero and the investment value comes entirely from capacity unlock in years 2-5.</t>
  </si>
  <si>
    <t>Use as the BASE CASE. Restructuring was one-time; AI drove the 2024 cost reduction. This is the assumption your NPV model currently uses.</t>
  </si>
  <si>
    <t xml:space="preserve">  SECTION C - 5-YEAR COST PROJECTION: With AI vs Without (both counterfactuals)</t>
  </si>
  <si>
    <t>Scenario</t>
  </si>
  <si>
    <t>2022
(Base)</t>
  </si>
  <si>
    <t>2023
(Actual)</t>
  </si>
  <si>
    <t>2024
(Actual)</t>
  </si>
  <si>
    <t>2025
(Proj)</t>
  </si>
  <si>
    <t>2026
(Proj)</t>
  </si>
  <si>
    <t>2027
(Proj)</t>
  </si>
  <si>
    <t>5-yr Cumulative
Saving vs CF2</t>
  </si>
  <si>
    <t>Actual with AI (confirmed + projected)</t>
  </si>
  <si>
    <t>CF2: No AI, costs flatten at $240M</t>
  </si>
  <si>
    <t>CF1: No AI, trend continues (-$47M/yr)</t>
  </si>
  <si>
    <t>AI Saving vs CF2 (base case counterfactual)</t>
  </si>
  <si>
    <t>AI Saving vs CF1 (aggressive counterfactual)</t>
  </si>
  <si>
    <t>KEY FINDING: Under CF2 (base case - costs flatten), AI saves approximately $37M in year 1 and growing amounts as volume scales. 5-year cumulative saving vs no-AI is the correct NPV input. Under CF1 (aggressive - trend continues), AI actually underperforms in years 1-2 but still wins long-term because no restructuring trend continues indefinitely to sub-zero cost. The honest answer: truth is between CF1 and CF2. AI's year-1 contribution is $15-37M depending on counterfactual assumed. Your model uses CF2. Acknowledge CF1 exists. Argue CF2 is more defensible. That argument is your analysis.</t>
  </si>
  <si>
    <t xml:space="preserve">  SECTION D - WAS KLARNA OVER-CREDITING AI? Three Attribution Scenarios</t>
  </si>
  <si>
    <t>Klarna's stated figure: $40M profit improvement. Total CS cost drop 2022-2024: $84M. Post-AI year (2024) drop alone: $37M. Key question: how much of the $37M 2024 drop is genuinely attributable to AI vs. continuing restructuring effects from 2022? Three scenarios below. Each changes the investment case materially.</t>
  </si>
  <si>
    <t>Scenario A: Skeptical
(AI contributed $15M)</t>
  </si>
  <si>
    <t>Scenario B: Base Case
(AI contributed $25M)</t>
  </si>
  <si>
    <t>Scenario C: Klarna's Claim
(AI contributed $40M)</t>
  </si>
  <si>
    <t>Which is most defensible?</t>
  </si>
  <si>
    <t>AI-Attributed Annual Saving</t>
  </si>
  <si>
    <t>$15M</t>
  </si>
  <si>
    <t>$25M</t>
  </si>
  <si>
    <t>$40M</t>
  </si>
  <si>
    <t>Scenario B most defensible based on restructuring carryforward analysis</t>
  </si>
  <si>
    <t>Annual Net Benefit (after $3.5M running cost)</t>
  </si>
  <si>
    <t>$11.5M</t>
  </si>
  <si>
    <t>$21.5M</t>
  </si>
  <si>
    <t>$36.5M</t>
  </si>
  <si>
    <t>All scenarios produce positive net benefit</t>
  </si>
  <si>
    <t>5-Year NPV (10% discount rate)</t>
  </si>
  <si>
    <t>$42.1M</t>
  </si>
  <si>
    <t>$80.1M</t>
  </si>
  <si>
    <t>$136.9M</t>
  </si>
  <si>
    <t>All scenarios show positive NPV. Investment justified even under skeptical assumptions.</t>
  </si>
  <si>
    <t>Payback Period</t>
  </si>
  <si>
    <t>0.1 yrs</t>
  </si>
  <si>
    <t>0.0 yrs</t>
  </si>
  <si>
    <t>Even in Scenario A, payback under 2 years. Strong result.</t>
  </si>
  <si>
    <t>ROI (5-year, total benefit / investment)</t>
  </si>
  <si>
    <t>39.7x</t>
  </si>
  <si>
    <t>74.1x</t>
  </si>
  <si>
    <t>125.9x</t>
  </si>
  <si>
    <t>Scenario A still shows 30x+ ROI. The investment was worthwhile under all plausible assumptions.</t>
  </si>
  <si>
    <t>Recommendation</t>
  </si>
  <si>
    <t>INVEST (with caution)</t>
  </si>
  <si>
    <t>INVEST (base case)</t>
  </si>
  <si>
    <t>INVEST (optimistic)</t>
  </si>
  <si>
    <t>Recommendation does not change across scenarios. What changes is magnitude.</t>
  </si>
  <si>
    <t>What this tells you</t>
  </si>
  <si>
    <t>If skeptic is right: AI had modest P&amp;L impact in year 1. Value is in capacity unlock for years 2-5.</t>
  </si>
  <si>
    <t>If base case is right: AI is a solid investment that paid back in ~18 months with meaningful P&amp;L impact.</t>
  </si>
  <si>
    <t>If Klarna is right: AI is an exceptional investment. But requires accepting their framing without adjustment.</t>
  </si>
  <si>
    <t>The KEY insight: even the skeptical scenario justifies the investment. The debate is about magnitude, not direction.</t>
  </si>
  <si>
    <t>MEMO LANGUAGE: 'Under three attribution scenarios ranging from $15M to $40M annual AI contribution, the investment generates positive NPV and payback under 2 years in all cases. The debate is not whether AI created value -- it clearly did -- but whether management's $40M headline figure reflects AI's isolated causal impact or conflates it with parallel efficiency initiatives. Our best estimate of $25M in year-1 AI-specific contribution still represents an exceptional ROI on a $1.45M investment, with additional upside from capacity unlock in years 2-5 as Klarna scales.'</t>
  </si>
  <si>
    <t>OPERATIONAL KPI LAYER - THIS IS WHAT MAKES IT A PRODUCT ANALYTICS PROJECT</t>
  </si>
  <si>
    <t>8 operational metrics tracked across 3 time periods. Derivation logic shown for all estimated figures. This layer explains WHY financial outcomes changed - the mechanism, not just the result.</t>
  </si>
  <si>
    <t xml:space="preserve">  SECTION A - KPI TRACKING TABLE: Pre-AI vs AI Launch vs Post-Maturity</t>
  </si>
  <si>
    <t>KPI</t>
  </si>
  <si>
    <t>Pre-AI Baseline
(2022 / Q1 2023)</t>
  </si>
  <si>
    <t>AI Launch
(Q1 2024, Month 1)</t>
  </si>
  <si>
    <t>Post-Maturity
(Q1 2025)</t>
  </si>
  <si>
    <t>Change
(Launch vs Pre-AI)</t>
  </si>
  <si>
    <t>% Improvement</t>
  </si>
  <si>
    <t>How Derived / Data Source</t>
  </si>
  <si>
    <t>Cost per Ticket ($)
[Most important unit metric]</t>
  </si>
  <si>
    <t>Pre-AI: $287M CS cost / est. 41.1M annual tickets (derived from 2.3M/0.67 x 12). Post: $203M / 41.1M x 1.20 volume growth. Confirmed directionally by Klarna: cost/transaction $0.32 -&gt; $0.19.</t>
  </si>
  <si>
    <t>AI Automation Rate (%)
[Primary operational driver]</t>
  </si>
  <si>
    <t>0.80</t>
  </si>
  <si>
    <t>Launch: 67% confirmed by Klarna press release Feb 27 2024. Post-maturity: 80% estimated from trajectory; Klarna walked back AI-only by 2025 suggesting ceiling.</t>
  </si>
  <si>
    <t>Average Resolution Time (minutes)
[Speed metric - confirmed]</t>
  </si>
  <si>
    <t>CONFIRMED primary source: Klarna Press Release Feb 27 2024. 11 minutes (human) -&gt; under 2 minutes (AI). 82% improvement. Post-maturity: assumed maintained at 2 min for AI-handled volume.</t>
  </si>
  <si>
    <t>First Contact Resolution Rate (%)
[FCR - back-calculated]</t>
  </si>
  <si>
    <t>DERIVED: Klarna confirmed 25% repeat inquiry reduction. If repeat rate was ~32% pre-AI (FCR = 68%), a 25% reduction in repeats implies new repeat rate = 24%, FCR = 76%. Industry average FCR is 70-75% (Gartner). 68% pre-AI is conservative.</t>
  </si>
  <si>
    <t>Repeat Inquiry Rate (%)
[Quality metric - confirmed]</t>
  </si>
  <si>
    <t>CONFIRMED: Klarna reported 25% reduction in repeat inquiries (press release Feb 2024). Pre-AI repeat rate of 32% estimated from industry benchmarks. Post-AI: 0.32 x 0.75 = 0.24. Post-maturity: continued gradual improvement assumed.</t>
  </si>
  <si>
    <t>Cost per Transaction ($)
[Unit economics - confirmed]</t>
  </si>
  <si>
    <t>CONFIRMED: $0.32 (Q1 2023) and $0.19 (Q1 2025) confirmed by Klarna Q1 2025 earnings. 40% reduction over 2 years. Q1 2024 estimated as midpoint.</t>
  </si>
  <si>
    <t>Support Capacity Utilization
(actual vol / max AI capacity)</t>
  </si>
  <si>
    <t>DERIVED: AI can theoretically handle unlimited concurrent chats. Pre-AI: agents near capacity at ~95% utilization. Post-AI launch: sudden capacity expansion means utilization drops to ~65%. This is the capacity unlock story - Klarna can 3x volume without proportional cost increase.</t>
  </si>
  <si>
    <t>Revenue per Employee ($)
[Org efficiency - confirmed]</t>
  </si>
  <si>
    <t>CONFIRMED endpoints: $369K (2023) and $1M (Q2 2025) from Klarna Q2 2025 earnings. CAUTION: This reflects AI adoption across ALL Klarna functions, not CS alone. Do not attribute full improvement to CS AI deployment.</t>
  </si>
  <si>
    <t xml:space="preserve">  SECTION B - WHAT THE KPIs TELL YOU THAT THE FINANCIALS DON'T</t>
  </si>
  <si>
    <t>Insight</t>
  </si>
  <si>
    <t>What It Means</t>
  </si>
  <si>
    <t>Why a Hiring Manager Cares</t>
  </si>
  <si>
    <t>Cost per ticket fell 40% while CSAT held flat</t>
  </si>
  <si>
    <t>This is the hardest combination to achieve in customer service. Usually cost reduction comes at quality cost. Klarna managed both. It implies AI handled the volume where quality was already high (simple queries), leaving hard queries to humans where quality investment was worth it.</t>
  </si>
  <si>
    <t>Demonstrates you understand unit economics, not just aggregate financials. Every product analytics role involves optimizing the cost/quality tradeoff.</t>
  </si>
  <si>
    <t>Automation rate of 67% in month 1 is unusually high</t>
  </si>
  <si>
    <t>Industry average for AI automation in customer service is 30-40% (IBM, 2023). Klarna achieving 67% in month 1 suggests their ticket mix was unusually automation-friendly, or OpenAI GPT-4 significantly outperformed earlier chatbot technology. This context is missing from Klarna's press release and your project should add it.</t>
  </si>
  <si>
    <t>Shows benchmarking awareness. A product analyst who can contextualize a metric against industry norms is more valuable than one who just reports the number.</t>
  </si>
  <si>
    <t>FCR improvement is the hidden value driver</t>
  </si>
  <si>
    <t>A 25% repeat inquiry reduction means FCR improved from ~68% to ~76%. Every 1pp improvement in FCR in a 41M ticket/year operation saves roughly $1.3M ($0.32 per ticket x 41M x 0.01 = $1.3M). FCR improvement is more sustainable than automation rate because it reflects genuine resolution quality, not just deflection.</t>
  </si>
  <si>
    <t>FCR is the KPI customer service leaders track most obsessively. Knowing this signals operational domain knowledge that pure finance analysts lack.</t>
  </si>
  <si>
    <t>Capacity utilization drop signals real option value</t>
  </si>
  <si>
    <t>Pre-AI, Klarna's support infrastructure was near capacity. AI created a massive capacity buffer. This buffer lets Klarna grow 15-20% per year without proportional support cost increases. The NPV model captures year 1-5 savings but not the option value of handling 300M users at current infrastructure cost.</t>
  </si>
  <si>
    <t>Real options thinking is what separates strategy analysts from financial modelers. Acknowledging this limitation explicitly shows analytical maturity.</t>
  </si>
  <si>
    <t xml:space="preserve">  SECTION C - INTERVIEW QUESTIONS THIS LAYER PREPARES YOU TO ANSWER</t>
  </si>
  <si>
    <t>Interview Question</t>
  </si>
  <si>
    <t>Strong Answer (using this project)</t>
  </si>
  <si>
    <t>Impact</t>
  </si>
  <si>
    <t>What is Klarna's cost per ticket and how did AI change it?</t>
  </si>
  <si>
    <t>Pre-AI: ~$7.18 per ticket (derived from $287M / 41M estimated annual tickets). Post-AI: ~$4.28 (40% reduction confirmed by cost/transaction data). The improvement is real but partially reflects ticket mix shift - AI handles easy cheap tickets, leaving humans with hard expensive ones.</t>
  </si>
  <si>
    <t>HIGH</t>
  </si>
  <si>
    <t>What is Klarna's first contact resolution rate?</t>
  </si>
  <si>
    <t>Not publicly disclosed directly. Back-calculated from 25% repeat inquiry reduction: FCR improved from ~68% to ~76%. This is a derived insight, not a reported figure - acknowledge the estimation and explain the logic.</t>
  </si>
  <si>
    <t>Was it labor savings or volume scaling that drove Klarna's ROI?</t>
  </si>
  <si>
    <t>Both, but volume scaling is the more sustainable driver. Year-1 labor saving was $26M (captured at 53% of theoretical max). Capacity unlock was $21M in avoided hiring. As Klarna grows, the capacity component compounds while the labor component plateaus.</t>
  </si>
  <si>
    <t>How does Klarna's 67% automation rate compare to industry?</t>
  </si>
  <si>
    <t>Industry average for AI automation in customer service is 30-40% (IBM, 2023). Klarna's 67% is approximately 2x the industry average in month 1. Possible explanations: ticket mix weighted toward simple queries, GPT-4 superiority over prior chatbot technology, or Klarna's clean data infrastructure.</t>
  </si>
  <si>
    <t>MEDIUM</t>
  </si>
  <si>
    <t>What happened to support quality when AI was deployed?</t>
  </si>
  <si>
    <t>CSAT held flat (confirmed by Klarna). FCR improved ~8pp (derived). Resolution time fell 82%. Repeat inquiries fell 25%. However: by 2025 Klarna reintroduced human agents for complex cases - suggesting a quality ceiling that aggregate CSAT stats do not capture.</t>
  </si>
  <si>
    <t>KLARNA AI INVESTMENT  -  INPUT ASSUMPTIONS</t>
  </si>
  <si>
    <t>Day 2: All model inputs in one place. Blue cells = values you can change. Formulas reference these cells  -  never hardcode numbers elsewhere.</t>
  </si>
  <si>
    <t xml:space="preserve">  🔵 Blue background = hardcoded input (change here only)     🟢 Green = confirmed from primary source     🟡 Yellow = estimate (flag in memo)     ⚫ Black text = formula</t>
  </si>
  <si>
    <t xml:space="preserve">  1 ── COMPANY BASELINE  (Klarna, End of 2022  -  Pre-AI)</t>
  </si>
  <si>
    <t>Total Employees (end 2022)</t>
  </si>
  <si>
    <t>FTE</t>
  </si>
  <si>
    <t>Klarna Annual Report 2022 | Confirmed primary source</t>
  </si>
  <si>
    <t>Customer Support Agent Pool (outsourced, avg)</t>
  </si>
  <si>
    <t>CEO Sebastian Siemiatkowski public statement (2024) | Outsourced BPO agents</t>
  </si>
  <si>
    <t>Annual Revenue (2022)</t>
  </si>
  <si>
    <t>USD</t>
  </si>
  <si>
    <t>Klarna Annual Report 2022 / Yahoo Finance</t>
  </si>
  <si>
    <t>Customer Service &amp; Ops Cost (2022)</t>
  </si>
  <si>
    <t>Klarna F-1 SEC Filing / Fintech Takes analysis (Mar 2025)</t>
  </si>
  <si>
    <t>Avg Annual Cost per Support Agent (BPO)</t>
  </si>
  <si>
    <t>USD / agent</t>
  </si>
  <si>
    <t>BPO industry range $1,200-$4,000/mo. $35K = mid-range for European mixed-market outsourcing | text.com/blog/bpo-pricing</t>
  </si>
  <si>
    <t>Avg Resolution Time  -  Before AI</t>
  </si>
  <si>
    <t>Minutes</t>
  </si>
  <si>
    <t>Klarna Press Release, Feb 27 2024 | Primary source</t>
  </si>
  <si>
    <t>Cost per Support Transaction (Q1 2023 baseline)</t>
  </si>
  <si>
    <t>USD / transaction</t>
  </si>
  <si>
    <t>CX Dive / Klarna Q1 2025 Earnings Report</t>
  </si>
  <si>
    <t xml:space="preserve">  2 ── AI INVESTMENT COSTS</t>
  </si>
  <si>
    <t>One-Time Implementation Cost (Year 0)</t>
  </si>
  <si>
    <t>Estimate. No official Klarna figure. Range $1M-$1.5M based on 6-month OpenAI deployment timeline | Flag in memo</t>
  </si>
  <si>
    <t>Annual AI Licensing / API Cost</t>
  </si>
  <si>
    <t>USD / yr</t>
  </si>
  <si>
    <t>OpenAI enterprise avg spend $561K (SMB) to $561K+ (enterprise). Klarna at 2.3M chats/mo = high-volume tier. $3M = mid estimate | spendhound.com</t>
  </si>
  <si>
    <t>Annual Maintenance &amp; Engineering Cost</t>
  </si>
  <si>
    <t>Estimate: internal eng team upkeep, prompt tuning, integration maintenance. Conservative estimate.</t>
  </si>
  <si>
    <t>Training &amp; Change Management Cost (Year 0)</t>
  </si>
  <si>
    <t>One-time cost. Estimate based on McKinsey implementation benchmarks for enterprise AI rollouts.</t>
  </si>
  <si>
    <t xml:space="preserve">  3 ── AI PERFORMANCE ASSUMPTIONS  (Base Case)</t>
  </si>
  <si>
    <t>AI Automation Rate (% of chats handled by AI)</t>
  </si>
  <si>
    <t>% of volume</t>
  </si>
  <si>
    <t>Klarna actual month-1 result: 67% of all chats automated | Klarna Press Release Feb 27 2024</t>
  </si>
  <si>
    <t>Productivity Gain  -  Base Case</t>
  </si>
  <si>
    <t>% improvement</t>
  </si>
  <si>
    <t>McKinsey Gen AI Report 2023: 30-45% range for customer ops. 25% = conservative-mid | mckinsey.com/capabilities/tech-and-ai</t>
  </si>
  <si>
    <t>% reduction</t>
  </si>
  <si>
    <t>Klarna actual result: 25% drop in repeat inquiries | Klarna Press Release Feb 27 2024</t>
  </si>
  <si>
    <t>Avg Resolution Time  -  After AI</t>
  </si>
  <si>
    <t>Klarna actual result: &lt;2 mins vs 11 mins previously | Klarna Press Release Feb 27 2024</t>
  </si>
  <si>
    <t>Customer Satisfaction Impact</t>
  </si>
  <si>
    <t>% change (0 = flat)</t>
  </si>
  <si>
    <t>Klarna reported CSAT unchanged after AI rollout | Klarna Press Release Feb 27 2024</t>
  </si>
  <si>
    <t>Ramp-Up Period (months before full adoption)</t>
  </si>
  <si>
    <t>Months</t>
  </si>
  <si>
    <t>Klarna launched globally Feb 2024. Month-1 results suggest fast ramp. 3 months = conservative.</t>
  </si>
  <si>
    <t xml:space="preserve">  4 ── MONTE CARLO SIMULATION RANGES  (Min / Base / Max)</t>
  </si>
  <si>
    <t>Variable</t>
  </si>
  <si>
    <t>MIN</t>
  </si>
  <si>
    <t>BASE</t>
  </si>
  <si>
    <t>MAX</t>
  </si>
  <si>
    <t>Productivity Gain</t>
  </si>
  <si>
    <t>15%</t>
  </si>
  <si>
    <t>25%</t>
  </si>
  <si>
    <t>Min=McKinsey floor adj. | Base=conservative-mid | Max=Klarna actual | Source: McKinsey 2023 + Klarna PR</t>
  </si>
  <si>
    <t>AI Adoption Rate</t>
  </si>
  <si>
    <t>50%</t>
  </si>
  <si>
    <t>Min=Gartner: 64% customers prefer no AI (resistance floor) | Base=Klarna actual | Max=mature deployment | Source: Gartner 2024</t>
  </si>
  <si>
    <t>Implementation Cost</t>
  </si>
  <si>
    <t>$1.0M</t>
  </si>
  <si>
    <t>$1.25M</t>
  </si>
  <si>
    <t>No primary source. Estimate based on 6-month GPT-4 enterprise deployment timeline | Flag in memo</t>
  </si>
  <si>
    <t>Annual AI Running Cost</t>
  </si>
  <si>
    <t>$2.0M</t>
  </si>
  <si>
    <t>$3.0M</t>
  </si>
  <si>
    <t>OpenAI enterprise spend data: avg $561K SMB, up to enterprise tier | spendhound.com</t>
  </si>
  <si>
    <t>Revenue Uplift from Better CX</t>
  </si>
  <si>
    <t>1%</t>
  </si>
  <si>
    <t>Secondary benefit. Gartner: 70% of mid-sized firms report 40%+ CSAT jump. Conservative range.</t>
  </si>
  <si>
    <t>Cost per Transaction Reduction</t>
  </si>
  <si>
    <t>20%</t>
  </si>
  <si>
    <t>35%</t>
  </si>
  <si>
    <t>Klarna actual: 40% over 2 years ($0.32→$0.19). Min=partial adoption scenario | CX Dive / Klarna Q1 2025</t>
  </si>
  <si>
    <t xml:space="preserve">  5 ── FINANCIAL MODEL PARAMETERS</t>
  </si>
  <si>
    <t>Discount Rate (for NPV calculation)</t>
  </si>
  <si>
    <t>%</t>
  </si>
  <si>
    <t>Standard corporate hurdle rate. Fintech typically 8-12%. Sensitivity test at 8% and 12% | CFA Institute / Damodaran</t>
  </si>
  <si>
    <t>Model Time Horizon</t>
  </si>
  <si>
    <t>Years</t>
  </si>
  <si>
    <t>Standard for tech investment evaluation. AI tools evolve fast  -  5yr limit is methodologically sound | McKinsey capital budgeting</t>
  </si>
  <si>
    <t>Year of Investment (Year 0)</t>
  </si>
  <si>
    <t>Year</t>
  </si>
  <si>
    <t>Klarna's partnership with OpenAI announced 2023. Investment decision modeled as end-2023.</t>
  </si>
  <si>
    <t>Annual Volume Growth Rate (customer base)</t>
  </si>
  <si>
    <t>% / yr</t>
  </si>
  <si>
    <t>Klarna GMV grew ~14-22% YoY. 15% is conservative estimate for transaction volume growth.</t>
  </si>
  <si>
    <t xml:space="preserve">  6 ── KLARNA ACTUAL REPORTED OUTCOMES  (Day 5 comparison  -  do not change)</t>
  </si>
  <si>
    <t>CS &amp; Ops Cost Reduction 2022→2024 (actual)</t>
  </si>
  <si>
    <t>$287M → $203M = $84M total reduction over 2 years | Klarna F-1 / Fintech Takes</t>
  </si>
  <si>
    <t>AI-attributed profit improvement (Klarna stated)</t>
  </si>
  <si>
    <t>Klarna's own figure. Annualized. | Klarna Press Release Feb 27 2024 + Q1 2024 Earnings</t>
  </si>
  <si>
    <t>Cost per Transaction Reduction (actual, 2yr)</t>
  </si>
  <si>
    <t>% (40%)</t>
  </si>
  <si>
    <t>$0.32 → $0.19 per transaction Q1 2023 to Q1 2025 | CX Dive / Klarna Q1 2025 Earnings</t>
  </si>
  <si>
    <t>Pre-AI cost drop (2022→2023, before AI launched)</t>
  </si>
  <si>
    <t>KEY NUANCE: Bigger drop happened BEFORE AI. $287M→$240M | Fintech Takes / Klarna F-1</t>
  </si>
  <si>
    <t>Post-AI cost drop (2023→2024, after AI launched)</t>
  </si>
  <si>
    <t>KEY NUANCE: Smaller drop after AI. $240M→$203M | Fintech Takes / Klarna F-1</t>
  </si>
  <si>
    <t>Revenue per Employee  -  2023 (pre-AI baseline)</t>
  </si>
  <si>
    <t>USD / employee</t>
  </si>
  <si>
    <t>Klarna Q2 2025 Earnings Release</t>
  </si>
  <si>
    <t>Revenue per Employee  -  Q2 2025 (post-AI)</t>
  </si>
  <si>
    <t>Klarna Q2 2025 Earnings Release. ~3x improvement in 2 years.</t>
  </si>
  <si>
    <t xml:space="preserve">  7 ── DERIVED CALCULATIONS  (auto-calculated  -  do not edit)</t>
  </si>
  <si>
    <t>Total Annual Support Payroll Cost (pre-AI)</t>
  </si>
  <si>
    <t>Agents × BPO salary = baseline payroll exposure</t>
  </si>
  <si>
    <t>Estimated Annual AI Savings  -  Base Case</t>
  </si>
  <si>
    <t>CS cost × productivity gain = annual benefit</t>
  </si>
  <si>
    <t>Total Year-0 Investment</t>
  </si>
  <si>
    <t>Implementation + training</t>
  </si>
  <si>
    <t>Annual Net Benefit (Savings minus Running Costs)</t>
  </si>
  <si>
    <t>Gross savings minus annual AI costs</t>
  </si>
  <si>
    <t>Simple Payback Period (years)</t>
  </si>
  <si>
    <t>Implementation cost ÷ net annual benefit</t>
  </si>
  <si>
    <t>KLARNA AI INVESTMENT  -  5-YEAR CASH FLOW MODEL</t>
  </si>
  <si>
    <t>Day 3: NPV, IRR, and payback period. All values flow from Inputs sheet  -  change assumptions there, not here.</t>
  </si>
  <si>
    <t>LINE ITEM</t>
  </si>
  <si>
    <t>Year 0
(2023)</t>
  </si>
  <si>
    <t>Year 1
(2024)</t>
  </si>
  <si>
    <t>Year 2
(2025)</t>
  </si>
  <si>
    <t>Year 3
(2026)</t>
  </si>
  <si>
    <t>Year 4
(2027)</t>
  </si>
  <si>
    <t>Year 5
(2028)</t>
  </si>
  <si>
    <t xml:space="preserve">  A ── INVESTMENT &amp; OPERATING COSTS  (Cash Outflows)</t>
  </si>
  <si>
    <t>One-Time Implementation Cost</t>
  </si>
  <si>
    <t>Year 0 only. Negative = cash outflow</t>
  </si>
  <si>
    <t>Training &amp; Change Management</t>
  </si>
  <si>
    <t>Year 0 only. One-time cost.</t>
  </si>
  <si>
    <t>Recurring. Constant across years (conservative  -  prices may fall)</t>
  </si>
  <si>
    <t>Annual Maintenance &amp; Engineering</t>
  </si>
  <si>
    <t>Recurring.</t>
  </si>
  <si>
    <t>TOTAL COSTS (Year)</t>
  </si>
  <si>
    <t>Sum of all outflows</t>
  </si>
  <si>
    <t xml:space="preserve">  B ── BENEFITS &amp; SAVINGS  (Cash Inflows)</t>
  </si>
  <si>
    <t>Labor Savings (AI handles outsourced volume)</t>
  </si>
  <si>
    <t>CS cost × productivity gain × automation rate × volume growth</t>
  </si>
  <si>
    <t>Savings from Repeat Inquiry Reduction</t>
  </si>
  <si>
    <t>25% fewer repeat contacts × CS cost base. Klarna-confirmed.</t>
  </si>
  <si>
    <t>Revenue Uplift (CX improvement → retention)</t>
  </si>
  <si>
    <t>1% revenue uplift (conservative). CSAT flat per Klarna. Sensitivity test at 0% and 3%.</t>
  </si>
  <si>
    <t>TOTAL BENEFITS (Year)</t>
  </si>
  <si>
    <t>Sum of all inflows</t>
  </si>
  <si>
    <t xml:space="preserve">  C ── NET CASH FLOW  (Benefits + Costs)</t>
  </si>
  <si>
    <t>NET CASH FLOW (Year)</t>
  </si>
  <si>
    <t>Year 0 should be negative (investment). Years 1-5 should be positive.</t>
  </si>
  <si>
    <t>Cumulative Cash Flow</t>
  </si>
  <si>
    <t>Running total  -  shows payback crossover point</t>
  </si>
  <si>
    <t xml:space="preserve">  D ── FINANCIAL SUMMARY  (NPV · IRR · Payback)</t>
  </si>
  <si>
    <t>Net Present Value (NPV)</t>
  </si>
  <si>
    <t>NPV &gt; 0 = investment creates value. Formula: Year0 + NPV(discount rate, Yr1:Yr5)</t>
  </si>
  <si>
    <t>Internal Rate of Return (IRR)</t>
  </si>
  <si>
    <t>Compare to Inputs!C38 hurdle rate. IRR &gt; hurdle rate = invest.</t>
  </si>
  <si>
    <t>Simple Payback Period</t>
  </si>
  <si>
    <t>Years (approx)</t>
  </si>
  <si>
    <t>Year 0 investment ÷ Year 1 net benefit. Rough estimate  -  see cumulative row above.</t>
  </si>
  <si>
    <t>Total 5-Year Net Benefit</t>
  </si>
  <si>
    <t>Sum of all net cash flows across 5 years.</t>
  </si>
  <si>
    <t>Return on Investment (ROI)</t>
  </si>
  <si>
    <t>x (multiple)</t>
  </si>
  <si>
    <t>Total benefits ÷ total investment. &gt;1x means you got more than you put in.</t>
  </si>
  <si>
    <t xml:space="preserve">  HOW TO READ THESE RESULTS</t>
  </si>
  <si>
    <t xml:space="preserve">  NPV &gt; $0</t>
  </si>
  <si>
    <t>Investment creates value. The higher, the better. This is your primary recommendation metric.</t>
  </si>
  <si>
    <t xml:space="preserve">  NPV &lt; $0</t>
  </si>
  <si>
    <t>Investment destroys value at the assumed discount rate. Does NOT mean reject  -  check your assumptions.</t>
  </si>
  <si>
    <t xml:space="preserve">  IRR &gt; 10% (hurdle rate)</t>
  </si>
  <si>
    <t>Project earns more than the cost of capital. Green light.</t>
  </si>
  <si>
    <t xml:space="preserve">  IRR &lt; 10%</t>
  </si>
  <si>
    <t>Project underperforms vs. hurdle rate. Revisit cost assumptions.</t>
  </si>
  <si>
    <t xml:space="preserve">  Payback &lt; 3 years</t>
  </si>
  <si>
    <t>Strong result for an AI investment. Klarna's actual result was ~1 year.</t>
  </si>
  <si>
    <t xml:space="preserve">  Cumulative CF turns positive</t>
  </si>
  <si>
    <t>The exact month payback occurs. Look at the cumulative row above.</t>
  </si>
  <si>
    <t>KLARNA AI INVESTMENT - MONTE CARLO SIMULATION  (1,000 Scenarios)</t>
  </si>
  <si>
    <t>CS_COST</t>
  </si>
  <si>
    <t>NOTE: This simulation is the most data-limited section of the project. Variables are drawn from McKinsey benchmarks and Klarna's month-1 results -- not from multi-year operational data Klarna has never publicly disclosed. Treat outputs as directional, not precise. See Section 5 below for full data limitation disclosure.</t>
  </si>
  <si>
    <t xml:space="preserve">  METHOD: Triangular distribution  -  each uncertain variable is randomly sampled between MIN and MAX, weighted toward BASE CASE. Formula: =MIN + (MAX-MIN)*IF(RAND()&lt;(BASE-MIN)/(MAX-MIN), SQRT(RAND()*(BASE-MIN)/(MAX-MIN)), 1-SQRT(RAND()*(MAX-BASE)/(MAX-MIN)))</t>
  </si>
  <si>
    <t xml:space="preserve">  SECTION 1  -  ASSUMPTION RANGES  (sourced from Inputs sheet)</t>
  </si>
  <si>
    <t>BASE CASE</t>
  </si>
  <si>
    <t>Source</t>
  </si>
  <si>
    <t>Unit</t>
  </si>
  <si>
    <t>Justification</t>
  </si>
  <si>
    <t>McKinsey Gen AI 2023 + Klarna actual</t>
  </si>
  <si>
    <t>McKinsey Gen AI Report 2023 (30-45% for customer ops). LIMITATION: McKinsey range is for enterprise AI broadly, not BNPL customer service specifically. Klarna's actual outcome (67% automation, $37M saving) suggests the realized gain fell within this range but the mapping is imperfect. Use as directional only.</t>
  </si>
  <si>
    <t>Gartner 2024 + Klarna actual</t>
  </si>
  <si>
    <t>Klarna actual month-1: 67% (confirmed). Min/max derived from Gartner adoption studies. LIMITATION: Klarna has not published how adoption rate evolved month-by-month after launch. The 2025 reintroduction of human agents suggests the ceiling is closer to 70-75%, but this is inference, not a disclosed figure.</t>
  </si>
  <si>
    <t>Industry estimate (no official Klarna figure)</t>
  </si>
  <si>
    <t>No official Klarna figure exists. Range estimated from 6-month GPT-4 enterprise deployment timeline. LIMITATION: Klarna's actual OpenAI contract terms are undisclosed. This is the least grounded assumption in the model.</t>
  </si>
  <si>
    <t>OpenAI enterprise spend data (SpendHound 2026)</t>
  </si>
  <si>
    <t>USD/yr</t>
  </si>
  <si>
    <t>OpenAI enterprise spend data (SpendHound, 2026). LIMITATION: Klarna's specific API pricing tier is not disclosed. At 2.3M chats/month, they are at high-volume enterprise scale. The $2M-$5.5M range reflects enterprise tier uncertainty, not confirmed spend.</t>
  </si>
  <si>
    <t>Revenue Uplift %</t>
  </si>
  <si>
    <t>Gartner CSAT studies + Klarna flat CSAT</t>
  </si>
  <si>
    <t>Klarna confirmed CSAT flat (Feb 2024 press release). LIMITATION: Klarna has not disclosed whether CSAT remained flat in 2025 after rehiring human agents. 0% base case is the only confirmed data point. The 0-3% range is speculative.</t>
  </si>
  <si>
    <t>Volume Growth Rate</t>
  </si>
  <si>
    <t>Klarna GMV growth history (14-22% YoY)</t>
  </si>
  <si>
    <t>Klarna GMV grew 14-22% historically. LIMITATION: Ticket volume growth does not map perfectly to GMV growth -- AI deflection means tickets grow slower than GMV as automation matures. This range likely overstates ticket volume growth in years 3-5.</t>
  </si>
  <si>
    <t xml:space="preserve">  SECTION 2  -  SIMULATION TABLE  (1,000 scenarios  -  each row = one random draw)</t>
  </si>
  <si>
    <t>Sim #</t>
  </si>
  <si>
    <t>Productivity
Gain</t>
  </si>
  <si>
    <t>Adoption
Rate</t>
  </si>
  <si>
    <t>Impl.
Cost ($)</t>
  </si>
  <si>
    <t>Running
Cost ($/yr)</t>
  </si>
  <si>
    <t>Rev
Uplift %</t>
  </si>
  <si>
    <t>Vol
Growth %</t>
  </si>
  <si>
    <t>NPV ($)</t>
  </si>
  <si>
    <t>ROI (x)</t>
  </si>
  <si>
    <t xml:space="preserve">  SECTION 3  -  SIMULATION SUMMARY STATISTICS</t>
  </si>
  <si>
    <t>Interpretation</t>
  </si>
  <si>
    <t>Mean (Expected Value)</t>
  </si>
  <si>
    <t>Best single-number summary of expected outcome across all scenarios</t>
  </si>
  <si>
    <t>Median</t>
  </si>
  <si>
    <t>Middle outcome  -  less affected by extreme scenarios than mean</t>
  </si>
  <si>
    <t>10th Percentile (Worst 10%)</t>
  </si>
  <si>
    <t>In 10% of scenarios, NPV is below this. Your downside risk floor.</t>
  </si>
  <si>
    <t>90th Percentile (Best 10%)</t>
  </si>
  <si>
    <t>In 10% of scenarios, NPV exceeds this. Your upside ceiling.</t>
  </si>
  <si>
    <t>Standard Deviation</t>
  </si>
  <si>
    <t>Width of distribution  -  higher = more uncertain outcome</t>
  </si>
  <si>
    <t>Min (Worst Case)</t>
  </si>
  <si>
    <t>Absolute worst scenario across all 1,000 simulations</t>
  </si>
  <si>
    <t>Max (Best Case)</t>
  </si>
  <si>
    <t>Absolute best scenario across all 1,000 simulations</t>
  </si>
  <si>
    <t>Probability NPV &gt; $0</t>
  </si>
  <si>
    <t xml:space="preserve"> - </t>
  </si>
  <si>
    <t>KEY OUTPUT: % of scenarios where investment creates value. Target: &gt;70%</t>
  </si>
  <si>
    <t>Probability ROI &gt; 2x</t>
  </si>
  <si>
    <t>% of scenarios with strong return. Compare to Klarna's actual ~3x outcome.</t>
  </si>
  <si>
    <t>Probability NPV &gt; $10M</t>
  </si>
  <si>
    <t>% of scenarios with substantial value creation</t>
  </si>
  <si>
    <t xml:space="preserve">  SECTION 4  -  NPV HISTOGRAM BINS  (use this to build a chart: Insert → Chart → Column)</t>
  </si>
  <si>
    <t>NPV Range</t>
  </si>
  <si>
    <t>Count</t>
  </si>
  <si>
    <t>% of Scenarios</t>
  </si>
  <si>
    <t>Visual Guide</t>
  </si>
  <si>
    <t>Below -$5M</t>
  </si>
  <si>
    <t>← Select A &amp; B columns of this table, then Insert → Chart → Clustered Column to build histogram</t>
  </si>
  <si>
    <t>-$5M to -$2M</t>
  </si>
  <si>
    <t>-$2M to $0</t>
  </si>
  <si>
    <t>$0 to $5M</t>
  </si>
  <si>
    <t>$5M to $10M</t>
  </si>
  <si>
    <t>$10M to $20M</t>
  </si>
  <si>
    <t>$20M to $40M</t>
  </si>
  <si>
    <t>Above $40M</t>
  </si>
  <si>
    <t xml:space="preserve">  HOW TO PRESENT THIS:  The histogram shows the shape of possible outcomes. A tight distribution clustered above $0 = low-risk, high-confidence investment. A wide spread = high uncertainty  -  your memo should address which assumptions drive that width (see sensitivity analysis Day 5).</t>
  </si>
  <si>
    <t xml:space="preserve">  SECTION 5 - DATA LIMITATION DISCLOSURE: Why This Simulation Is Directional, Not Precise</t>
  </si>
  <si>
    <t>A Monte Carlo simulation is only as good as its input distributions. This model uses the best publicly available data, but Klarna has never disclosed the multi-year operational metrics that would make this simulation precise. The five limitations below are not excuses -- they are analytical honesty. In an interview: cite these proactively. It signals rigor, not weakness.</t>
  </si>
  <si>
    <t>Limitation</t>
  </si>
  <si>
    <t>What We Used</t>
  </si>
  <si>
    <t>What We Needed</t>
  </si>
  <si>
    <t>Impact on Output</t>
  </si>
  <si>
    <t>Productivity gain distribution</t>
  </si>
  <si>
    <t>McKinsey 2023 enterprise AI range (15-40%). Triangular distribution.</t>
  </si>
  <si>
    <t>Klarna-specific productivity data by ticket type and year. A declining curve as easy tickets are automated first.</t>
  </si>
  <si>
    <t>Likely overstates year 3-5 NPV by 10-15%. Model assumes constant productivity gain; reality shows diminishing returns.</t>
  </si>
  <si>
    <t>LOW - generic benchmark applied to specific context</t>
  </si>
  <si>
    <t>Automation rate trajectory</t>
  </si>
  <si>
    <t>Static range (50-90%) anchored to Klarna's month-1 result of 67%.</t>
  </si>
  <si>
    <t>Monthly automation rate data showing how 67% evolved over 24 months. Klarna reintroduced humans by 2025 suggesting a ceiling.</t>
  </si>
  <si>
    <t>Model treats automation rate as independently drawn each simulation. In reality it is path-dependent and bounded by complexity ceiling.</t>
  </si>
  <si>
    <t>MEDIUM - month-1 anchor is confirmed but multi-year trajectory is unknown</t>
  </si>
  <si>
    <t>AI running cost</t>
  </si>
  <si>
    <t>OpenAI enterprise spend benchmarks ($2M-$5.5M range). No Klarna-specific figure.</t>
  </si>
  <si>
    <t>Klarna's actual OpenAI contract value and per-token pricing tier.</t>
  </si>
  <si>
    <t>Running cost uncertainty is the third largest driver of NPV variance after productivity gain and adoption rate. A $3.5M annual swing over 5 years is material.</t>
  </si>
  <si>
    <t>LOW - no primary source. Biggest acknowledged unknown in the model.</t>
  </si>
  <si>
    <t>Revenue uplift from better CX</t>
  </si>
  <si>
    <t>0-3% range. Conservative. Klarna confirmed CSAT flat.</t>
  </si>
  <si>
    <t>Customer retention data showing whether faster resolution reduced churn. Klarna has not published churn rates.</t>
  </si>
  <si>
    <t>This variable contributes minimally to simulated NPV because base case is 0%. Low impact but the upper bound (3%) is speculative.</t>
  </si>
  <si>
    <t>MEDIUM - base case confirmed (flat CSAT), but range upper bound is estimated</t>
  </si>
  <si>
    <t>Volume growth rate</t>
  </si>
  <si>
    <t>Klarna GMV growth history (10-22% range). Proxy for ticket volume.</t>
  </si>
  <si>
    <t>Actual ticket volume growth data showing how AI deflection changes the ticket-to-GMV ratio over time.</t>
  </si>
  <si>
    <t>Ticket volume likely grows slower than GMV as AI deflects more queries. This variable may overstate future benefit base.</t>
  </si>
  <si>
    <t>MEDIUM - GMV data confirmed, ticket volume proxy is reasonable but imperfect</t>
  </si>
  <si>
    <t>WHAT THIS MEANS FOR HOW TO USE THIS SIMULATION: The probability outputs (e.g. '87% of scenarios show positive NPV') should be treated as directional signals, not statistical precision. The simulation is most useful for two things: (1) confirming that the investment recommendation is robust to a wide range of assumptions, and (2) identifying which variable, if wrong, most changes the conclusion. On both dimensions the simulation does its job. On precise NPV estimation, primary data from Klarna's internal systems would be required.</t>
  </si>
  <si>
    <t>KLARNA AI INVESTMENT  -  REALITY CHECK &amp; VARIANCE ANALYSIS</t>
  </si>
  <si>
    <t>Day 5: Compare what your model predicted vs what Klarna actually reported. This is the section most student projects skip  -  and the one hiring managers remember.</t>
  </si>
  <si>
    <t xml:space="preserve">  SECTION 1  -  MODEL vs REALITY: Metric-by-Metric</t>
  </si>
  <si>
    <t>Your Model Predicted</t>
  </si>
  <si>
    <t>Klarna Actually Reported</t>
  </si>
  <si>
    <t>Gap / Variance</t>
  </si>
  <si>
    <t>Verdict</t>
  </si>
  <si>
    <t>What This Means</t>
  </si>
  <si>
    <t>Annual CS Savings
(base case, Yr 1)</t>
  </si>
  <si>
    <t>$37-42M/yr
(actual 2024)</t>
  </si>
  <si>
    <t>Model likely within
20-30% of actual</t>
  </si>
  <si>
    <t>✅ CORRECT
DIRECTION</t>
  </si>
  <si>
    <t>Your model predicts positive savings. Klarna confirmed ~$37M cost drop in the AI year. If your formula lands within $10M of that, your assumptions were sound.</t>
  </si>
  <si>
    <t>AI Profit Improvement</t>
  </si>
  <si>
    <t>$40M annualized
(Klarna stated, 2024)</t>
  </si>
  <si>
    <t>Compare model
output to $40M</t>
  </si>
  <si>
    <t>✅ CLOSE
TO ACTUAL</t>
  </si>
  <si>
    <t>Klarna's own figure. Your model base case should be in the same ballpark. Difference = your error to analyze.</t>
  </si>
  <si>
    <t>Cost/Transaction
Reduction</t>
  </si>
  <si>
    <t>~35% (model
base case)</t>
  </si>
  <si>
    <t>40% actual
($0.32→$0.19, 2yr)</t>
  </si>
  <si>
    <t>Model slightly
underpredicts</t>
  </si>
  <si>
    <t>✅ CONSERVATIVE
GOOD SIGN</t>
  </si>
  <si>
    <t>Actual beat your model by ~5pp. This is analytical integrity  -  conservative assumptions that reality exceeded. Mention this in your memo.</t>
  </si>
  <si>
    <t>67% month-1
~80%+ by 2025</t>
  </si>
  <si>
    <t>Perfect base
case anchor</t>
  </si>
  <si>
    <t>✅ WELL
ANCHORED</t>
  </si>
  <si>
    <t>Your base case matches Klarna's published month-1 result exactly. Strong methodological choice.</t>
  </si>
  <si>
    <t>Pre-AI Cost Drop
2022 → 2023</t>
  </si>
  <si>
    <t>$0 assumed
(model starts at AI)</t>
  </si>
  <si>
    <t>$47M dropped BEFORE
AI even launched</t>
  </si>
  <si>
    <t>⚠️ MODEL MISSED
this entirely</t>
  </si>
  <si>
    <t>⚠️ KEY
GAP</t>
  </si>
  <si>
    <t>THE MOST IMPORTANT FINDING. $47M dropped before AI launched (2022 layoffs + ops efficiency). Your model attributes all savings to AI. This overestimates AI's isolated contribution. This gap IS your analysis section.</t>
  </si>
  <si>
    <t>CSAT Impact</t>
  </si>
  <si>
    <t>0% change
(flat assumed)</t>
  </si>
  <si>
    <t>Flat confirmed
by Klarna</t>
  </si>
  <si>
    <t>Exact match</t>
  </si>
  <si>
    <t>✅ EXACT
MATCH</t>
  </si>
  <si>
    <t>Perfect. However  -  by 2025 Klarna rehired humans for complex cases, suggesting a subtle quality ceiling your model did not capture in years 3-5.</t>
  </si>
  <si>
    <t>Long-term Automation
Sustainability</t>
  </si>
  <si>
    <t>67% maintained
all 5 years</t>
  </si>
  <si>
    <t>Klarna walked back
AI-only by 2025</t>
  </si>
  <si>
    <t>Model too
optimistic Yr 3-5</t>
  </si>
  <si>
    <t>⚠️ OVERESTIMATES
long run</t>
  </si>
  <si>
    <t>A more accurate model would apply a declining automation curve after year 2. Your model's 5-year NPV is likely 10-15% too high as a result.</t>
  </si>
  <si>
    <t>Total AI Business
Impact (all functions)</t>
  </si>
  <si>
    <t>CS savings only
(in scope)</t>
  </si>
  <si>
    <t>$1M rev/employee
vs $369K baseline</t>
  </si>
  <si>
    <t>Model undercounts
broad AI impact</t>
  </si>
  <si>
    <t>ℹ️ OUT OF
SCOPE</t>
  </si>
  <si>
    <t>The 3x revenue-per-employee gain is real but driven by AI across all Klarna functions. Don't overattribute to CS AI alone. Acknowledge but don't claim credit.</t>
  </si>
  <si>
    <t xml:space="preserve">  SECTION 2  -  THE 5 KEY ANALYTICAL FINDINGS  (your written analysis)</t>
  </si>
  <si>
    <t xml:space="preserve">  FINDING 1: Pre-AI efficiency gains were larger than post-AI gains</t>
  </si>
  <si>
    <t>Cost fell $47M in 2023 (before AI) vs $37M in 2024 (after AI launched). The 2022 layoffs and operational restructuring were doing more work in absolute dollar terms than the chatbot. Your model  -  like most analyst models at the time  -  would attribute all savings to AI and overestimate its isolated impact. In your memo: acknowledge this gap and discuss what a better model would have included (a pre-AI trend line as the counterfactual).</t>
  </si>
  <si>
    <t xml:space="preserve">  FINDING 2: The $40M figure conflates cost avoidance with cost reduction</t>
  </si>
  <si>
    <t>Klarna's '$40M profit improvement' is partly an avoided-hiring figure  -  they didn't fire 700 people, they avoided adding them during a growth phase. Actual realized cash savings from headcount reduction were smaller than $40M implies. A rigorous model should separately calculate: (a) headcount cost avoidance and (b) actual cost reduction. Your model likely merges them.</t>
  </si>
  <si>
    <t xml:space="preserve">  FINDING 3: AI hit a complexity ceiling  -  your model does not capture this</t>
  </si>
  <si>
    <t>Klarna reintroduced human agents for complex cases by early 2025. Your 5-year model assumes sustained automation rates, meaning your Year 3-5 NPV projections are likely 10-15% too optimistic. A more accurate model would apply a declining automation rate curve after year 2, reflecting the real-world pattern where AI handles easy volume quickly but struggles with edge cases long-term.</t>
  </si>
  <si>
    <t xml:space="preserve">  FINDING 4: What your model got right  -  own these wins</t>
  </si>
  <si>
    <t>Direction: correct  -  investment creates positive NPV in all base-case scenarios. Adoption rate: perfectly anchored to Klarna's actual 67% month-1 result. CSAT: correctly modeled as flat, matching Klarna's confirmed outcome. Cost per transaction: conservative estimate that actual reality exceeded  -  showing analytical discipline, not optimism bias. These are genuine methodological wins that distinguish your work from a template-following exercise.</t>
  </si>
  <si>
    <t xml:space="preserve">  FINDING 5: The single assumption that drove most model error</t>
  </si>
  <si>
    <t>Productivity gain applied to total CS cost. Your model uses McKinsey's 15-40% range against the full $287M base. But McKinsey's range applies to productivity per automated interaction  -  not to total cost. When applied to the full base, you're implicitly assuming all 3,000 agents benefit equally, which ignores that AI only handles 67% of volume and that complex cases remain human. The correct approach: model (automation rate × CS cost for automated volume) separately from (human cost for residual volume).</t>
  </si>
  <si>
    <t xml:space="preserve">  SECTION 3  -  SENSITIVITY ANALYSIS  (which variable moves NPV most?)</t>
  </si>
  <si>
    <t>Low Case</t>
  </si>
  <si>
    <t>Base Case</t>
  </si>
  <si>
    <t>High Case</t>
  </si>
  <si>
    <t>NPV Swing ($)</t>
  </si>
  <si>
    <t>Rank &amp; Implication</t>
  </si>
  <si>
    <t>40%</t>
  </si>
  <si>
    <t>🥇 #1  -  Largest driver. 25pp swing in productivity dominates all other variables.</t>
  </si>
  <si>
    <t>90%</t>
  </si>
  <si>
    <t>🥈 #2  -  Second biggest. Whether 50% or 90% of volume is automated changes NPV significantly.</t>
  </si>
  <si>
    <t>$2M</t>
  </si>
  <si>
    <t>$3.5M</t>
  </si>
  <si>
    <t>$5.5M</t>
  </si>
  <si>
    <t>🥉 #3  -  Meaningful but not dominant. $3.5M annual swing over 5 years.</t>
  </si>
  <si>
    <t>$1M</t>
  </si>
  <si>
    <t>$1.5M</t>
  </si>
  <si>
    <t>🔵 #4  -  Smallest. One-time $500K difference is minor vs 5-year benefit stream.</t>
  </si>
  <si>
    <t>Discount Rate</t>
  </si>
  <si>
    <t>8%</t>
  </si>
  <si>
    <t>10%</t>
  </si>
  <si>
    <t>12%</t>
  </si>
  <si>
    <t>🔵 #5  -  Moderate. Changes magnitude but not sign of recommendation.</t>
  </si>
  <si>
    <t xml:space="preserve">  SECTION 4  -  EXECUTIVE MEMO TEMPLATE  (Day 6  -  fill in the bracketed values)</t>
  </si>
  <si>
    <t>Klarna, a $2.8B fintech company, faced growing customer service costs ($287M in 2022) while scaling to 150M users across 35 languages. In early 2024, they deployed an AI customer service assistant built with OpenAI to reduce operational costs and improve resolution speed.</t>
  </si>
  <si>
    <t>The investment case is nuanced: $47M in cost savings had already materialized in 2023 before AI launched, suggesting parallel efficiency initiatives were running concurrently. Additionally, by 2025 Klarna reintroduced human agents for complex cases, revealing a complexity ceiling that limits long-run automation rates.</t>
  </si>
  <si>
    <t>Based on a 5-year NPV model validated against Klarna's actual reported outcomes, the AI investment was financially justified. [X]% of 1,000 Monte Carlo simulations produced positive NPV, with a base-case NPV of [pull from Cash Flow Model] and IRR of [pull from Cash Flow Model]. However, AI's isolated contribution is more modest than headline figures suggest  -  approximately $37M in year-1 cost reduction, not the full $84M two-year savings often attributed to AI.</t>
  </si>
  <si>
    <t xml:space="preserve">  KEY EVIDENCE</t>
  </si>
  <si>
    <t>Financial: NPV [value] | IRR [value] | Payback [value] years | Prob(NPV&gt;0) [value]%
Operational: Resolution time -82% | Automation rate 67% | CSAT unchanged | Cost/transaction -40%
Risk: Complexity ceiling identified in year 2 | Pre-AI efficiency trend confounds isolated AI attribution</t>
  </si>
  <si>
    <t xml:space="preserve">  ANALYTICAL LIMITATIONS &amp; WHAT THIS MEANS FOR FUTURE MODELS</t>
  </si>
  <si>
    <t>This model overestimates AI's isolated contribution by failing to account for: (1) the pre-AI efficiency trend as a counterfactual, (2) declining automation rates in years 3-5 as complexity ceiling is reached, and (3) the distinction between cost avoidance and cost reduction in the $40M headline figure. Future AI investment models should isolate the AI-specific causal effect by building a pre-AI trend line as the null hypothesis, model automation rates as a declining curve not a fixed percentage, and separately account for avoided hiring vs actual headcount reduction.</t>
  </si>
  <si>
    <t>KLARNA AI INVESTMENT ANALYSIS</t>
  </si>
  <si>
    <t>Day 1 Research: Assumptions &amp; Data Table</t>
  </si>
  <si>
    <t>Sources verified June 2026 | Yellow = still needs manual check | Green = confirmed</t>
  </si>
  <si>
    <t>Color guide:  🟡 Yellow = hardcoded input (verify &amp; update)   🟢 Green = confirmed from primary source   ⬜ White = derived / formula</t>
  </si>
  <si>
    <t>#</t>
  </si>
  <si>
    <t>Category</t>
  </si>
  <si>
    <t>Value</t>
  </si>
  <si>
    <t>Notes / Confidence</t>
  </si>
  <si>
    <t>FINANCIALS</t>
  </si>
  <si>
    <t>CS &amp; Ops Cost  -  2022 (baseline)</t>
  </si>
  <si>
    <t>$287M</t>
  </si>
  <si>
    <t>$USD</t>
  </si>
  <si>
    <t>Klarna F-1 / Fintech Takes (Mar 2025)</t>
  </si>
  <si>
    <t>Key baseline. Pre-AI cost. Confirmed from SEC F-1 filing.</t>
  </si>
  <si>
    <t>CS &amp; Ops Cost  -  2023</t>
  </si>
  <si>
    <t>$240M</t>
  </si>
  <si>
    <t>Dropped $47M before AI chatbot launched. Important nuance.</t>
  </si>
  <si>
    <t>CS &amp; Ops Cost  -  2024</t>
  </si>
  <si>
    <t>$203M</t>
  </si>
  <si>
    <t>Dropped $37M after AI. Smaller drop than pre-AI year.</t>
  </si>
  <si>
    <t>Total Revenue  -  2022</t>
  </si>
  <si>
    <t>$1.90B</t>
  </si>
  <si>
    <t>Yahoo Finance / Klarna Annual Report 2022</t>
  </si>
  <si>
    <t>Full-year revenue.</t>
  </si>
  <si>
    <t>Total Revenue  -  2023</t>
  </si>
  <si>
    <t>$2.28B</t>
  </si>
  <si>
    <t>Yahoo Finance / Klarna Annual Report 2023</t>
  </si>
  <si>
    <t>+20% YoY growth.</t>
  </si>
  <si>
    <t>Total Revenue  -  2024</t>
  </si>
  <si>
    <t>$2.81B</t>
  </si>
  <si>
    <t>Yahoo Finance / Sacra</t>
  </si>
  <si>
    <t>+24% YoY growth.</t>
  </si>
  <si>
    <t>Net Profit  -  2024</t>
  </si>
  <si>
    <t>$21M</t>
  </si>
  <si>
    <t>Klarna F-1</t>
  </si>
  <si>
    <t>First profitable year since 2019. Includes $171M asset sale gain.</t>
  </si>
  <si>
    <t>Projected AI Profit Improvement 2024</t>
  </si>
  <si>
    <t>Klarna Press Release, Feb 27 2024</t>
  </si>
  <si>
    <t>Annualized savings figure cited publicly. Primary source.</t>
  </si>
  <si>
    <t>HEADCOUNT</t>
  </si>
  <si>
    <t>Total Employees  -  End 2022</t>
  </si>
  <si>
    <t>5,441</t>
  </si>
  <si>
    <t>Klarna Annual Report 2022</t>
  </si>
  <si>
    <t>Down from 5,783 in 2021. Post-layoff figure.</t>
  </si>
  <si>
    <t>Avg Customer Support Agent Pool (pre-AI)</t>
  </si>
  <si>
    <t>~3,000</t>
  </si>
  <si>
    <t>FTE (outsourced)</t>
  </si>
  <si>
    <t>CEO Sebastian Siemiatkowski public statement</t>
  </si>
  <si>
    <t>Outsourced / BPO agents, not direct employees.</t>
  </si>
  <si>
    <t>10% Layoff  -  Sept 2022</t>
  </si>
  <si>
    <t>~580 staff</t>
  </si>
  <si>
    <t>Contrary Research / multiple news sources</t>
  </si>
  <si>
    <t>Attributed to macro conditions, not AI at this stage.</t>
  </si>
  <si>
    <t>Revenue per Employee  -  2023</t>
  </si>
  <si>
    <t>$369K</t>
  </si>
  <si>
    <t>$USD/employee</t>
  </si>
  <si>
    <t>Baseline for efficiency comparison.</t>
  </si>
  <si>
    <t>Revenue per Employee  -  Q2 2025</t>
  </si>
  <si>
    <t>Nearly 3x in 2 years. AI cited as primary driver.</t>
  </si>
  <si>
    <t>AI DEPLOYMENT</t>
  </si>
  <si>
    <t>AI Assistant Launch Date</t>
  </si>
  <si>
    <t>Feb 2024</t>
  </si>
  <si>
    <t>Date</t>
  </si>
  <si>
    <t>Global launch in partnership with OpenAI (GPT-4 class model).</t>
  </si>
  <si>
    <t>Chats Handled  -  Month 1</t>
  </si>
  <si>
    <t>2.3M</t>
  </si>
  <si>
    <t>Conversations</t>
  </si>
  <si>
    <t>In first month of full global deployment.</t>
  </si>
  <si>
    <t>% of All Chats Automated</t>
  </si>
  <si>
    <t>Two-thirds of all customer service volume.</t>
  </si>
  <si>
    <t>Equivalent Agent Workload Replaced</t>
  </si>
  <si>
    <t>700</t>
  </si>
  <si>
    <t>FTE equivalent</t>
  </si>
  <si>
    <t>Not 700 layoffs  -  equivalent capacity at any given time.</t>
  </si>
  <si>
    <t>Deployment Timeline</t>
  </si>
  <si>
    <t>~6 months</t>
  </si>
  <si>
    <t>Multiple analyst sources</t>
  </si>
  <si>
    <t>From partnership kickoff to global launch.</t>
  </si>
  <si>
    <t>AI Employee Daily Usage</t>
  </si>
  <si>
    <t>90%+</t>
  </si>
  <si>
    <t>OpenAI case study / Klarna Q1 2024 report</t>
  </si>
  <si>
    <t>Internal adoption rate across all staff.</t>
  </si>
  <si>
    <t>OPERATIONAL METRICS</t>
  </si>
  <si>
    <t>11 mins</t>
  </si>
  <si>
    <t>Human agent average.</t>
  </si>
  <si>
    <t>&lt;2 mins</t>
  </si>
  <si>
    <t>82% reduction in resolution time.</t>
  </si>
  <si>
    <t>More accurate first-contact resolution.</t>
  </si>
  <si>
    <t>Customer Satisfaction  -  Impact</t>
  </si>
  <si>
    <t>Unchanged</t>
  </si>
  <si>
    <t>CSAT</t>
  </si>
  <si>
    <t>AI matched human agents on satisfaction scores.</t>
  </si>
  <si>
    <t>Cost per Transaction  -  Q1 2023</t>
  </si>
  <si>
    <t>$0.32</t>
  </si>
  <si>
    <t>CX Dive / Klarna Q1 2025 Earnings</t>
  </si>
  <si>
    <t>Baseline transaction-level cost.</t>
  </si>
  <si>
    <t>Cost per Transaction  -  Q1 2025</t>
  </si>
  <si>
    <t>$0.19</t>
  </si>
  <si>
    <t>40% reduction over two years.</t>
  </si>
  <si>
    <t>Languages Supported</t>
  </si>
  <si>
    <t>35+</t>
  </si>
  <si>
    <t>Languages</t>
  </si>
  <si>
    <t>Available in 23 markets 24/7.</t>
  </si>
  <si>
    <t>MODEL INPUTS (ESTIMATE)</t>
  </si>
  <si>
    <t>Avg Annual Salary  -  Support Agent (outsourced)</t>
  </si>
  <si>
    <t>$35,000</t>
  </si>
  <si>
    <t>$1,200-$4,000/month per agent (BPO industry range). Source: text.com/blog/bpo-pricing (2026); Outsource Accelerator salary surveys</t>
  </si>
  <si>
    <t>Klarna used outsourced/BPO agents across multiple markets. Use $30K-$40K/yr as annual equivalent for European mixed-market BPO (mid-range of $1,200-$2,500/mo). NOT US domestic rates. Verified.</t>
  </si>
  <si>
    <t>AI Implementation Cost (one-time)</t>
  </si>
  <si>
    <t>$1M-$1.5M</t>
  </si>
  <si>
    <t>No official Klarna figure. Range from: Twig.so Klarna case study (6-month deployment); IBM AI implementation benchmarks; industry analyst estimates</t>
  </si>
  <si>
    <t>Klarna's deployment took ~6 months with OpenAI partnership. Enterprise AI implementations typically $500K-$2M. Use $1M-$1.5M as range. Flag as estimate in model.</t>
  </si>
  <si>
    <t>Annual AI Licensing / Maintenance Cost</t>
  </si>
  <si>
    <t>$2M-$5M</t>
  </si>
  <si>
    <t>$USD/yr</t>
  </si>
  <si>
    <t>OpenAI enterprise pricing: avg $561,564/yr for enterprises (SpendHound, 2026 actual spend data from 160 companies). Source: spendhound.com/marketplace/openai-pricing</t>
  </si>
  <si>
    <t>Klarna's scale (2.3M chats/month) puts them at high-volume enterprise tier. $2M-$5M annual range is reasonable. Note: token-based pricing means costs scale with volume.</t>
  </si>
  <si>
    <t>Productivity Gain Range (Monte Carlo min)</t>
  </si>
  <si>
    <t>McKinsey 'Economic Potential of Generative AI' (June 2023): mckinsey.com/capabilities/tech-and-ai/our-insights/the-economic-potential-of-generative-ai-the-next-productivity-frontier</t>
  </si>
  <si>
    <t>McKinsey reports 30-45% productivity increase for customer operations. 15% is conservative floor  -  accounts for low adoption, integration issues. Justified as downside scenario.</t>
  </si>
  <si>
    <t>Productivity Gain Range (Monte Carlo base)</t>
  </si>
  <si>
    <t>McKinsey Gen AI Report 2023 (30-45% range). Base case set at midpoint. Source: mckinsey.com/capabilities/tech-and-ai/our-insights/the-economic-potential-of-generative-ai</t>
  </si>
  <si>
    <t>25% is below McKinsey's stated range floor of 30%, reflecting that Klarna's gains were partially offset by complexity ceiling hit in 2025. Conservative-mid estimate.</t>
  </si>
  <si>
    <t>Productivity Gain Range (Monte Carlo max)</t>
  </si>
  <si>
    <t>Klarna actual results: resolution time -82%, repeat inquiries -25%, 67% chat automation. Source: Klarna Press Release Feb 27 2024 (klarna.com/international/press/...)</t>
  </si>
  <si>
    <t>40% max anchored to Klarna's own reported outcomes. McKinsey's 45% ceiling supports this. Use as optimistic-but-grounded ceiling.</t>
  </si>
  <si>
    <t>AI Adoption Rate Range (Monte Carlo min)</t>
  </si>
  <si>
    <t>Gartner (July 2024): 64% of customers prefer companies NOT use AI for service. Source: gartner.com/en/newsroom/press-releases/2024-07-09-gartner-survey-finds-64-percent...</t>
  </si>
  <si>
    <t>50% min reflects real customer resistance to AI (Gartner finding). Also: only 20% of orgs reduced headcount due to AI as of 2025 (Gartner 2026 survey). Justified low-adoption floor.</t>
  </si>
  <si>
    <t>AI Adoption Rate Range (Monte Carlo base)</t>
  </si>
  <si>
    <t>70%</t>
  </si>
  <si>
    <t>Klarna actual month-1 result: 67% of chats handled by AI. Source: Klarna Press Release Feb 27 2024</t>
  </si>
  <si>
    <t>Base case directly anchored to Klarna's real reported adoption rate. Strongest possible justification for this assumption.</t>
  </si>
  <si>
    <t>AI Adoption Rate Range (Monte Carlo max)</t>
  </si>
  <si>
    <t>Gartner (2024): 85% of CS leaders piloting GenAI in 2025. IBM: 42% of large companies already using AI in CS. Source: gartner.com/en/newsroom/press-releases/2024-12-09-gartner-survey-reveals-85-percent...</t>
  </si>
  <si>
    <t>90% ceiling reflects mature deployment phase. Klarna itself hit limits and rehired humans by 2025, so 90% is optimistic ceiling not expected outcome.</t>
  </si>
  <si>
    <t>Discount Rate (for NPV)</t>
  </si>
  <si>
    <t>Standard corporate finance practice. Fintech hurdle rates typically 8-12%. Source: CFA Institute guidelines; Damodaran cost of capital data (fintech sector)</t>
  </si>
  <si>
    <t>10% is standard. Klarna is high-growth fintech  -  could argue for 12% given risk profile. Sensitivity test both in your model.</t>
  </si>
  <si>
    <t>5 years</t>
  </si>
  <si>
    <t>Standard for technology investment evaluation. Source: McKinsey capital budgeting frameworks; standard NPV analysis practice</t>
  </si>
  <si>
    <t>5 years is appropriate  -  AI tools evolve fast, forecasting beyond 5 years for LLM-based systems has very low reliability. Flag this in your memo.</t>
  </si>
  <si>
    <t>KEY ANALYTICAL NUANCES</t>
  </si>
  <si>
    <t>Bigger cost drop happened BEFORE AI</t>
  </si>
  <si>
    <t>$47M drop in 2023 (pre-AI) vs $37M in 2024 (post-AI)</t>
  </si>
  <si>
    <t>Observation</t>
  </si>
  <si>
    <t>Fintech Takes analysis of Klarna F-1</t>
  </si>
  <si>
    <t>This is the analytical tension in your project. AI may not be the primary driver.</t>
  </si>
  <si>
    <t>Klarna walked back AI-only claims by 2025</t>
  </si>
  <si>
    <t>Rehired human agents for complex cases</t>
  </si>
  <si>
    <t>Pragmatic Engineer (Aug 2024) / multiple sources</t>
  </si>
  <si>
    <t>Adoption ceiling hit. Model should have flagged this risk.</t>
  </si>
  <si>
    <t>2024 profitability boosted by asset sale</t>
  </si>
  <si>
    <t>$171M gain from Klarna Checkout divestment</t>
  </si>
  <si>
    <t>Without this, $21M profit becomes a loss. Context matters.</t>
  </si>
  <si>
    <t>$40M saving = avoided hiring, not layoffs</t>
  </si>
  <si>
    <t>700 agent-equivalent capacity, not 700 fired staff</t>
  </si>
  <si>
    <t>Klarna Press Release / Pragmatic Engineer</t>
  </si>
  <si>
    <t>Important framing distinction for your memo.</t>
  </si>
  <si>
    <t>KLARNA AI INVESTMENT ANALYSIS  -  PROJECT CHARTER</t>
  </si>
  <si>
    <t>BUSINESS QUESTION</t>
  </si>
  <si>
    <t>Did Klarna's investment in AI-powered customer service create measurable business value?</t>
  </si>
  <si>
    <t>DECISION MAKER (SIMULATED)</t>
  </si>
  <si>
    <t>Klarna CFO / Board of Directors (2023 pre-investment perspective)</t>
  </si>
  <si>
    <t>TIME HORIZON</t>
  </si>
  <si>
    <t>5 years (2024-2028)</t>
  </si>
  <si>
    <t>SUCCESS METRICS</t>
  </si>
  <si>
    <t>1. NPV of AI investment (positive = value created)</t>
  </si>
  <si>
    <t>2. IRR vs. 10% hurdle rate</t>
  </si>
  <si>
    <t>3. Payback period (target: under 3 years)</t>
  </si>
  <si>
    <t>4. Probability of positive return (Monte Carlo output)</t>
  </si>
  <si>
    <t>5. Cost per transaction reduction</t>
  </si>
  <si>
    <t>6. Customer satisfaction impact</t>
  </si>
  <si>
    <t>KEY RISKS TO MODEL</t>
  </si>
  <si>
    <t>1. Low AI adoption rate (users prefer human agents)</t>
  </si>
  <si>
    <t>2. Cost overruns in implementation</t>
  </si>
  <si>
    <t>3. Lower-than-expected productivity gains</t>
  </si>
  <si>
    <t>4. Reputational risk if quality drops</t>
  </si>
  <si>
    <t>5. AI hitting complexity ceiling (Klarna actually experienced this in 2025)</t>
  </si>
  <si>
    <t>ANALYTICAL ANGLE (what makes this project unique)</t>
  </si>
  <si>
    <t>The pre-AI cost reduction ($47M in 2023) was LARGER than the post-AI reduction ($37M in 2024).</t>
  </si>
  <si>
    <t>This project interrogates whether AI was truly the primary driver, or whether macro cost-cutting</t>
  </si>
  <si>
    <t>was already doing the heavy lifting  -  and what your model should have flagged as a risk.</t>
  </si>
  <si>
    <t>DATA SOURCES</t>
  </si>
  <si>
    <t>• Klarna F-1 SEC Filing (2025)</t>
  </si>
  <si>
    <t>• Klarna Annual Reports 2022, 2023</t>
  </si>
  <si>
    <t>• Klarna Press Release: Feb 27, 2024 (AI launch)</t>
  </si>
  <si>
    <t>• Fintech Takes: Klarna Footnotes (March 2025)</t>
  </si>
  <si>
    <t>• McKinsey Generative AI Economic Potential Report (2023)</t>
  </si>
  <si>
    <t>• CX Dive Q1 2025 Earnings Coverage</t>
  </si>
  <si>
    <t>• Klarna Q2 2025 Earnings Release</t>
  </si>
  <si>
    <t>Day</t>
  </si>
  <si>
    <t>Sheet to Build</t>
  </si>
  <si>
    <t>What You Do</t>
  </si>
  <si>
    <t>Output</t>
  </si>
  <si>
    <t>1 ✅</t>
  </si>
  <si>
    <t>Assumptions (this sheet)</t>
  </si>
  <si>
    <t>Fill in all yellow cells. Add source URLs. Verify green cells.</t>
  </si>
  <si>
    <t>Complete assumptions table</t>
  </si>
  <si>
    <t>Inputs Sheet</t>
  </si>
  <si>
    <t>Create clean input cells color-coded in blue. One value per variable. No formulas yet.</t>
  </si>
  <si>
    <t>Excel Inputs tab</t>
  </si>
  <si>
    <t>Cash Flow Model</t>
  </si>
  <si>
    <t>Year 0 = investment cost. Years 1-5 = annual savings. Add NPV() and IRR() formulas.</t>
  </si>
  <si>
    <t>5-year cash flow + NPV/IRR</t>
  </si>
  <si>
    <t>Monte Carlo Simulation</t>
  </si>
  <si>
    <t>Use RAND() to simulate 1,000 scenarios. Output NPV distribution. Find probability NPV &gt; 0.</t>
  </si>
  <si>
    <t>Simulation tab + histogram</t>
  </si>
  <si>
    <t>Reality Check</t>
  </si>
  <si>
    <t>Compare your model output vs Klarna's actual reported results. Write 300 words on gaps.</t>
  </si>
  <si>
    <t>Variance analysis section</t>
  </si>
  <si>
    <t>6</t>
  </si>
  <si>
    <t>Executive Memo + Dashboard</t>
  </si>
  <si>
    <t>One-page memo: situation, recommendation, evidence, risks. Summary dashboard.</t>
  </si>
  <si>
    <t>Memo doc + dashboard tab</t>
  </si>
  <si>
    <t>7</t>
  </si>
  <si>
    <t>Buffer / Polish</t>
  </si>
  <si>
    <t>Clean formatting. Fix formula errors. Review for consistency.</t>
  </si>
  <si>
    <t>Final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</si>
</sst>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quot;-&quot;"/>
    <numFmt numFmtId="165" formatCode="0.0%"/>
    <numFmt numFmtId="166" formatCode="0.0\x"/>
    <numFmt numFmtId="167" formatCode="\$#,##0"/>
    <numFmt numFmtId="168" formatCode="0.0&quot; yrs&quot;"/>
    <numFmt numFmtId="169" formatCode="0.0&quot;x&quot;"/>
    <numFmt numFmtId="170" formatCode="\$#,##0\ ;\(\$#,##0\)"/>
    <numFmt numFmtId="171" formatCode="\$#,##0;\(\$#,##0\)"/>
    <numFmt numFmtId="172" formatCode="\$#,##0.00"/>
    <numFmt numFmtId="173" formatCode="\+\$#,##0.00;\-\$#,##0.00"/>
    <numFmt numFmtId="174" formatCode="\+0.0%;\-0.0%"/>
    <numFmt numFmtId="175" formatCode="0.0&quot; min&quot;"/>
    <numFmt numFmtId="176" formatCode="\+0.0;\-0.0"/>
    <numFmt numFmtId="177" formatCode="\$0.00"/>
    <numFmt numFmtId="178" formatCode="0.0"/>
  </numFmts>
  <fonts count="62" x14ac:knownFonts="1">
    <font>
      <sz val="11"/>
      <color theme="1"/>
      <name val="Calibri"/>
      <family val="2"/>
      <scheme val="minor"/>
    </font>
    <font>
      <b/>
      <sz val="16"/>
      <color rgb="FFFFFFFF"/>
      <name val="Arial"/>
    </font>
    <font>
      <i/>
      <sz val="11"/>
      <color rgb="FFFFFFFF"/>
      <name val="Arial"/>
    </font>
    <font>
      <i/>
      <sz val="9"/>
      <color rgb="FF444444"/>
      <name val="Arial"/>
    </font>
    <font>
      <b/>
      <sz val="11"/>
      <color rgb="FFFFFFFF"/>
      <name val="Arial"/>
    </font>
    <font>
      <sz val="9"/>
      <color rgb="FF000000"/>
      <name val="Arial"/>
    </font>
    <font>
      <b/>
      <sz val="9"/>
      <color rgb="FF000000"/>
      <name val="Arial"/>
    </font>
    <font>
      <sz val="10"/>
      <color rgb="FF000000"/>
      <name val="Arial"/>
    </font>
    <font>
      <b/>
      <sz val="12"/>
      <color rgb="FFFFFFFF"/>
      <name val="Arial"/>
    </font>
    <font>
      <b/>
      <sz val="10"/>
      <color rgb="FF000000"/>
      <name val="Arial"/>
    </font>
    <font>
      <i/>
      <sz val="8"/>
      <color rgb="FF555555"/>
      <name val="Arial"/>
    </font>
    <font>
      <b/>
      <sz val="15"/>
      <color rgb="FFFFFFFF"/>
      <name val="Arial"/>
    </font>
    <font>
      <i/>
      <sz val="9"/>
      <color rgb="FFFFFFFF"/>
      <name val="Arial"/>
    </font>
    <font>
      <i/>
      <sz val="8"/>
      <color rgb="FF333333"/>
      <name val="Arial"/>
    </font>
    <font>
      <b/>
      <sz val="10"/>
      <color rgb="FFFFFFFF"/>
      <name val="Arial"/>
    </font>
    <font>
      <sz val="10"/>
      <color rgb="FF00008B"/>
      <name val="Arial"/>
    </font>
    <font>
      <i/>
      <sz val="9"/>
      <color rgb="FF555555"/>
      <name val="Arial"/>
    </font>
    <font>
      <b/>
      <sz val="9"/>
      <color rgb="FFFFFFFF"/>
      <name val="Arial"/>
    </font>
    <font>
      <b/>
      <sz val="10"/>
      <color rgb="FF00008B"/>
      <name val="Arial"/>
    </font>
    <font>
      <sz val="10"/>
      <color rgb="FFC00000"/>
      <name val="Arial"/>
    </font>
    <font>
      <b/>
      <sz val="10"/>
      <color rgb="FFC00000"/>
      <name val="Arial"/>
    </font>
    <font>
      <b/>
      <sz val="10"/>
      <color rgb="FF375623"/>
      <name val="Arial"/>
    </font>
    <font>
      <b/>
      <sz val="10"/>
      <color rgb="FF1F3864"/>
      <name val="Arial"/>
    </font>
    <font>
      <b/>
      <sz val="10"/>
      <name val="Arial"/>
    </font>
    <font>
      <b/>
      <sz val="12"/>
      <color rgb="FF1F3864"/>
      <name val="Arial"/>
    </font>
    <font>
      <b/>
      <sz val="9"/>
      <name val="Arial"/>
    </font>
    <font>
      <sz val="8"/>
      <color rgb="FF888888"/>
      <name val="Arial"/>
    </font>
    <font>
      <b/>
      <sz val="11"/>
      <color rgb="FF1F3864"/>
      <name val="Arial"/>
    </font>
    <font>
      <i/>
      <sz val="9"/>
      <color rgb="FF333333"/>
      <name val="Arial"/>
    </font>
    <font>
      <i/>
      <sz val="10"/>
      <color rgb="FF555555"/>
      <name val="Arial"/>
    </font>
    <font>
      <b/>
      <sz val="9"/>
      <color rgb="FF375623"/>
      <name val="Arial"/>
    </font>
    <font>
      <b/>
      <sz val="9"/>
      <color rgb="FF7F6000"/>
      <name val="Arial"/>
    </font>
    <font>
      <b/>
      <sz val="9"/>
      <color rgb="FF1F3864"/>
      <name val="Arial"/>
    </font>
    <font>
      <i/>
      <sz val="8"/>
      <color rgb="FF444444"/>
      <name val="Arial"/>
    </font>
    <font>
      <b/>
      <sz val="13"/>
      <color rgb="FF375623"/>
      <name val="Arial"/>
    </font>
    <font>
      <b/>
      <sz val="10"/>
      <color rgb="FF7F0000"/>
      <name val="Arial"/>
    </font>
    <font>
      <b/>
      <sz val="18"/>
      <color rgb="FFFFFFFF"/>
      <name val="Arial"/>
    </font>
    <font>
      <sz val="11"/>
      <color rgb="FF000000"/>
      <name val="Arial"/>
    </font>
    <font>
      <b/>
      <sz val="13"/>
      <color rgb="FF1F3864"/>
      <name val="Arial"/>
    </font>
    <font>
      <b/>
      <sz val="13"/>
      <color rgb="FFC00000"/>
      <name val="Arial"/>
    </font>
    <font>
      <b/>
      <sz val="11"/>
      <color rgb="FF000000"/>
      <name val="Arial"/>
    </font>
    <font>
      <sz val="8"/>
      <name val="Arial"/>
    </font>
    <font>
      <i/>
      <sz val="10"/>
      <color rgb="FF000000"/>
      <name val="Arial"/>
    </font>
    <font>
      <b/>
      <sz val="11"/>
      <color rgb="FFC00000"/>
      <name val="Arial"/>
    </font>
    <font>
      <b/>
      <sz val="11"/>
      <color rgb="FF375623"/>
      <name val="Arial"/>
    </font>
    <font>
      <b/>
      <sz val="10"/>
      <color rgb="FF333333"/>
      <name val="Arial"/>
    </font>
    <font>
      <i/>
      <sz val="9"/>
      <color rgb="FF000000"/>
      <name val="Arial"/>
    </font>
    <font>
      <i/>
      <sz val="8"/>
      <color rgb="FF375623"/>
      <name val="Arial"/>
    </font>
    <font>
      <b/>
      <sz val="16"/>
      <color rgb="FF375623"/>
      <name val="Arial"/>
    </font>
    <font>
      <b/>
      <sz val="14"/>
      <color rgb="FFFFFFFF"/>
      <name val="Arial"/>
    </font>
    <font>
      <sz val="10"/>
      <color rgb="FF333333"/>
      <name val="Arial"/>
    </font>
    <font>
      <b/>
      <sz val="11"/>
      <color rgb="FF7030A0"/>
      <name val="Arial"/>
    </font>
    <font>
      <b/>
      <sz val="11"/>
      <color rgb="FFC55A11"/>
      <name val="Arial"/>
    </font>
    <font>
      <b/>
      <sz val="18"/>
      <color rgb="FF1F3864"/>
      <name val="Arial"/>
    </font>
    <font>
      <i/>
      <sz val="8"/>
      <color rgb="FF777777"/>
      <name val="Arial"/>
    </font>
    <font>
      <sz val="13"/>
      <color rgb="FF777777"/>
      <name val="Arial"/>
    </font>
    <font>
      <b/>
      <sz val="12"/>
      <color rgb="FFC00000"/>
      <name val="Arial"/>
    </font>
    <font>
      <b/>
      <sz val="12"/>
      <color rgb="FF375623"/>
      <name val="Arial"/>
    </font>
    <font>
      <sz val="9"/>
      <color rgb="FF333333"/>
      <name val="Arial"/>
    </font>
    <font>
      <sz val="9"/>
      <color rgb="FFC00000"/>
      <name val="Arial"/>
    </font>
    <font>
      <sz val="9"/>
      <color rgb="FF7F6000"/>
      <name val="Arial"/>
    </font>
    <font>
      <i/>
      <sz val="10"/>
      <color rgb="FF333333"/>
      <name val="Arial"/>
    </font>
  </fonts>
  <fills count="31">
    <fill>
      <patternFill patternType="none"/>
    </fill>
    <fill>
      <patternFill patternType="gray125"/>
    </fill>
    <fill>
      <patternFill patternType="solid">
        <fgColor rgb="FF1F3864"/>
      </patternFill>
    </fill>
    <fill>
      <patternFill patternType="solid">
        <fgColor rgb="FF2E5FA3"/>
      </patternFill>
    </fill>
    <fill>
      <patternFill patternType="solid">
        <fgColor rgb="FFE2EFDA"/>
      </patternFill>
    </fill>
    <fill>
      <patternFill patternType="solid">
        <fgColor rgb="FFFFF2CC"/>
      </patternFill>
    </fill>
    <fill>
      <patternFill patternType="solid">
        <fgColor rgb="FFD9E1F2"/>
      </patternFill>
    </fill>
    <fill>
      <patternFill patternType="solid">
        <fgColor rgb="FFFFFFFF"/>
      </patternFill>
    </fill>
    <fill>
      <patternFill patternType="solid">
        <fgColor rgb="FFF2F2F2"/>
      </patternFill>
    </fill>
    <fill>
      <patternFill patternType="solid">
        <fgColor rgb="FFF7F7F7"/>
      </patternFill>
    </fill>
    <fill>
      <patternFill patternType="solid">
        <fgColor rgb="FFDCE6F1"/>
      </patternFill>
    </fill>
    <fill>
      <patternFill patternType="solid">
        <fgColor rgb="FFC00000"/>
      </patternFill>
    </fill>
    <fill>
      <patternFill patternType="solid">
        <fgColor rgb="FF7030A0"/>
      </patternFill>
    </fill>
    <fill>
      <patternFill patternType="solid">
        <fgColor rgb="FFF3EEFF"/>
      </patternFill>
    </fill>
    <fill>
      <patternFill patternType="solid">
        <fgColor rgb="FF375623"/>
      </patternFill>
    </fill>
    <fill>
      <patternFill patternType="solid">
        <fgColor rgb="FFC55A11"/>
      </patternFill>
    </fill>
    <fill>
      <patternFill patternType="solid">
        <fgColor rgb="FFFCE4D6"/>
      </patternFill>
    </fill>
    <fill>
      <patternFill patternType="solid">
        <fgColor rgb="FFFFE0E0"/>
      </patternFill>
    </fill>
    <fill>
      <patternFill patternType="solid">
        <fgColor rgb="FFEAF0FB"/>
      </patternFill>
    </fill>
    <fill>
      <patternFill patternType="solid">
        <fgColor rgb="FFF7F9FF"/>
      </patternFill>
    </fill>
    <fill>
      <patternFill patternType="solid">
        <fgColor rgb="FFF0FAF0"/>
      </patternFill>
    </fill>
    <fill>
      <patternFill patternType="solid">
        <fgColor rgb="FFEDE7F9"/>
      </patternFill>
    </fill>
    <fill>
      <patternFill patternType="solid">
        <fgColor rgb="FFE2F0F0"/>
      </patternFill>
    </fill>
    <fill>
      <patternFill patternType="solid">
        <fgColor rgb="FFEAF5F5"/>
      </patternFill>
    </fill>
    <fill>
      <patternFill patternType="solid">
        <fgColor rgb="FF7F6000"/>
      </patternFill>
    </fill>
    <fill>
      <patternFill patternType="solid">
        <fgColor rgb="FFFFE8E8"/>
      </patternFill>
    </fill>
    <fill>
      <patternFill patternType="solid">
        <fgColor rgb="FF386411"/>
      </patternFill>
    </fill>
    <fill>
      <patternFill patternType="solid">
        <fgColor rgb="FF562311"/>
      </patternFill>
    </fill>
    <fill>
      <patternFill patternType="solid">
        <fgColor rgb="FF5FA311"/>
      </patternFill>
    </fill>
    <fill>
      <patternFill patternType="solid">
        <fgColor rgb="FF000011"/>
      </patternFill>
    </fill>
    <fill>
      <patternFill patternType="solid">
        <fgColor rgb="FF5A1111"/>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315">
    <xf numFmtId="0" fontId="0" fillId="0" borderId="0" xfId="0"/>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10" fillId="0" borderId="0" xfId="0" applyFont="1"/>
    <xf numFmtId="0" fontId="0" fillId="10" borderId="0" xfId="0" applyFill="1"/>
    <xf numFmtId="0" fontId="7" fillId="10" borderId="1" xfId="0" applyFont="1" applyFill="1" applyBorder="1" applyAlignment="1">
      <alignment horizontal="left" vertical="center" wrapText="1"/>
    </xf>
    <xf numFmtId="0" fontId="15" fillId="10" borderId="1" xfId="0" applyFont="1" applyFill="1" applyBorder="1" applyAlignment="1">
      <alignment horizontal="center" vertical="center"/>
    </xf>
    <xf numFmtId="0" fontId="16" fillId="10" borderId="1" xfId="0" applyFont="1" applyFill="1" applyBorder="1" applyAlignment="1">
      <alignment horizontal="center" vertical="center"/>
    </xf>
    <xf numFmtId="0" fontId="5" fillId="10" borderId="1" xfId="0" applyFont="1" applyFill="1" applyBorder="1" applyAlignment="1">
      <alignment horizontal="left" vertical="center" wrapText="1"/>
    </xf>
    <xf numFmtId="0" fontId="0" fillId="5" borderId="0" xfId="0" applyFill="1"/>
    <xf numFmtId="0" fontId="16" fillId="5" borderId="1" xfId="0" applyFont="1" applyFill="1" applyBorder="1" applyAlignment="1">
      <alignment horizontal="center" vertical="center"/>
    </xf>
    <xf numFmtId="0" fontId="0" fillId="7" borderId="0" xfId="0" applyFill="1"/>
    <xf numFmtId="0" fontId="17" fillId="12" borderId="1" xfId="0" applyFont="1" applyFill="1" applyBorder="1" applyAlignment="1">
      <alignment horizontal="center" vertical="center"/>
    </xf>
    <xf numFmtId="0" fontId="0" fillId="13" borderId="0" xfId="0" applyFill="1"/>
    <xf numFmtId="0" fontId="7" fillId="13" borderId="1" xfId="0" applyFont="1" applyFill="1" applyBorder="1" applyAlignment="1">
      <alignment horizontal="left" vertical="center"/>
    </xf>
    <xf numFmtId="0" fontId="18" fillId="10" borderId="1" xfId="0" applyFont="1" applyFill="1" applyBorder="1" applyAlignment="1">
      <alignment horizontal="center" vertical="center"/>
    </xf>
    <xf numFmtId="0" fontId="5" fillId="13" borderId="1" xfId="0" applyFont="1" applyFill="1" applyBorder="1" applyAlignment="1">
      <alignment horizontal="left" vertical="center" wrapText="1"/>
    </xf>
    <xf numFmtId="0" fontId="0" fillId="4" borderId="0" xfId="0" applyFill="1"/>
    <xf numFmtId="0" fontId="16" fillId="4" borderId="1" xfId="0" applyFont="1" applyFill="1" applyBorder="1" applyAlignment="1">
      <alignment horizontal="center" vertical="center"/>
    </xf>
    <xf numFmtId="0" fontId="0" fillId="16" borderId="0" xfId="0" applyFill="1"/>
    <xf numFmtId="0" fontId="7" fillId="16" borderId="1" xfId="0" applyFont="1" applyFill="1" applyBorder="1" applyAlignment="1">
      <alignment horizontal="left" vertical="center" wrapText="1"/>
    </xf>
    <xf numFmtId="0" fontId="16" fillId="16" borderId="1" xfId="0" applyFont="1" applyFill="1" applyBorder="1" applyAlignment="1">
      <alignment horizontal="center" vertical="center"/>
    </xf>
    <xf numFmtId="0" fontId="5" fillId="16" borderId="1" xfId="0" applyFont="1" applyFill="1" applyBorder="1" applyAlignment="1">
      <alignment horizontal="left" vertical="center" wrapText="1"/>
    </xf>
    <xf numFmtId="0" fontId="0" fillId="6" borderId="0" xfId="0" applyFill="1"/>
    <xf numFmtId="0" fontId="9"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7" fillId="17" borderId="1" xfId="0" applyFont="1" applyFill="1" applyBorder="1" applyAlignment="1">
      <alignment horizontal="left" vertical="center" wrapText="1"/>
    </xf>
    <xf numFmtId="164" fontId="19" fillId="17" borderId="1" xfId="0" applyNumberFormat="1" applyFont="1" applyFill="1" applyBorder="1" applyAlignment="1">
      <alignment horizontal="center" vertical="center"/>
    </xf>
    <xf numFmtId="0" fontId="16" fillId="17"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164" fontId="20" fillId="17" borderId="1" xfId="0" applyNumberFormat="1" applyFont="1" applyFill="1" applyBorder="1" applyAlignment="1">
      <alignment horizontal="center" vertical="center"/>
    </xf>
    <xf numFmtId="164" fontId="7" fillId="4" borderId="1" xfId="0" applyNumberFormat="1" applyFont="1" applyFill="1" applyBorder="1" applyAlignment="1">
      <alignment horizontal="center" vertical="center"/>
    </xf>
    <xf numFmtId="0" fontId="16" fillId="4" borderId="1" xfId="0" applyFont="1" applyFill="1" applyBorder="1" applyAlignment="1">
      <alignment horizontal="left" vertical="center" wrapText="1"/>
    </xf>
    <xf numFmtId="164" fontId="7" fillId="5" borderId="1" xfId="0" applyNumberFormat="1" applyFont="1" applyFill="1" applyBorder="1" applyAlignment="1">
      <alignment horizontal="center" vertical="center"/>
    </xf>
    <xf numFmtId="0" fontId="16" fillId="5" borderId="1" xfId="0" applyFont="1" applyFill="1" applyBorder="1" applyAlignment="1">
      <alignment horizontal="left" vertical="center" wrapText="1"/>
    </xf>
    <xf numFmtId="164" fontId="21" fillId="4" borderId="1" xfId="0" applyNumberFormat="1" applyFont="1" applyFill="1" applyBorder="1" applyAlignment="1">
      <alignment horizontal="center" vertical="center"/>
    </xf>
    <xf numFmtId="164" fontId="22" fillId="6" borderId="1" xfId="0" applyNumberFormat="1" applyFont="1" applyFill="1" applyBorder="1" applyAlignment="1">
      <alignment horizontal="center" vertical="center"/>
    </xf>
    <xf numFmtId="0" fontId="16" fillId="6" borderId="1" xfId="0" applyFont="1" applyFill="1" applyBorder="1" applyAlignment="1">
      <alignment horizontal="left" vertical="center" wrapText="1"/>
    </xf>
    <xf numFmtId="164" fontId="7" fillId="6" borderId="1" xfId="0" applyNumberFormat="1" applyFont="1" applyFill="1" applyBorder="1" applyAlignment="1">
      <alignment horizontal="center" vertical="center"/>
    </xf>
    <xf numFmtId="0" fontId="23" fillId="13" borderId="1" xfId="0" applyFont="1" applyFill="1" applyBorder="1" applyAlignment="1">
      <alignment horizontal="left" vertical="center"/>
    </xf>
    <xf numFmtId="0" fontId="16" fillId="13" borderId="1" xfId="0" applyFont="1" applyFill="1" applyBorder="1" applyAlignment="1">
      <alignment horizontal="center" vertical="center"/>
    </xf>
    <xf numFmtId="0" fontId="25" fillId="8"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9" fillId="6" borderId="1" xfId="0" applyFont="1" applyFill="1" applyBorder="1" applyAlignment="1">
      <alignment horizontal="left" vertical="center"/>
    </xf>
    <xf numFmtId="165" fontId="18" fillId="10" borderId="1" xfId="0" applyNumberFormat="1" applyFont="1" applyFill="1" applyBorder="1" applyAlignment="1">
      <alignment horizontal="center" vertical="center"/>
    </xf>
    <xf numFmtId="0" fontId="0" fillId="18" borderId="0" xfId="0" applyFill="1"/>
    <xf numFmtId="0" fontId="9" fillId="18" borderId="1" xfId="0" applyFont="1" applyFill="1" applyBorder="1" applyAlignment="1">
      <alignment horizontal="left" vertical="center"/>
    </xf>
    <xf numFmtId="0" fontId="5" fillId="18" borderId="1" xfId="0" applyFont="1" applyFill="1" applyBorder="1" applyAlignment="1">
      <alignment horizontal="left" vertical="center" wrapText="1"/>
    </xf>
    <xf numFmtId="0" fontId="16" fillId="18" borderId="1" xfId="0" applyFont="1" applyFill="1" applyBorder="1" applyAlignment="1">
      <alignment horizontal="center" vertical="center"/>
    </xf>
    <xf numFmtId="167" fontId="18" fillId="10" borderId="1" xfId="0" applyNumberFormat="1" applyFont="1" applyFill="1" applyBorder="1" applyAlignment="1">
      <alignment horizontal="center" vertical="center"/>
    </xf>
    <xf numFmtId="0" fontId="26" fillId="7" borderId="0" xfId="0" applyFont="1" applyFill="1" applyAlignment="1">
      <alignment horizontal="center" vertical="center"/>
    </xf>
    <xf numFmtId="165" fontId="5" fillId="7" borderId="0" xfId="0" applyNumberFormat="1" applyFont="1" applyFill="1" applyAlignment="1">
      <alignment horizontal="center" vertical="center"/>
    </xf>
    <xf numFmtId="167" fontId="5" fillId="7" borderId="0" xfId="0" applyNumberFormat="1" applyFont="1" applyFill="1" applyAlignment="1">
      <alignment horizontal="center" vertical="center"/>
    </xf>
    <xf numFmtId="166" fontId="5" fillId="7" borderId="0" xfId="0" applyNumberFormat="1" applyFont="1" applyFill="1" applyAlignment="1">
      <alignment horizontal="center" vertical="center"/>
    </xf>
    <xf numFmtId="0" fontId="26" fillId="19" borderId="0" xfId="0" applyFont="1" applyFill="1" applyAlignment="1">
      <alignment horizontal="center" vertical="center"/>
    </xf>
    <xf numFmtId="165" fontId="5" fillId="19" borderId="0" xfId="0" applyNumberFormat="1" applyFont="1" applyFill="1" applyAlignment="1">
      <alignment horizontal="center" vertical="center"/>
    </xf>
    <xf numFmtId="167" fontId="5" fillId="19" borderId="0" xfId="0" applyNumberFormat="1" applyFont="1" applyFill="1" applyAlignment="1">
      <alignment horizontal="center" vertical="center"/>
    </xf>
    <xf numFmtId="166" fontId="5" fillId="19" borderId="0" xfId="0" applyNumberFormat="1" applyFont="1" applyFill="1" applyAlignment="1">
      <alignment horizontal="center" vertical="center"/>
    </xf>
    <xf numFmtId="0" fontId="17" fillId="3" borderId="1" xfId="0" applyFont="1" applyFill="1" applyBorder="1" applyAlignment="1">
      <alignment horizontal="center" vertical="center"/>
    </xf>
    <xf numFmtId="0" fontId="9" fillId="4" borderId="1" xfId="0" applyFont="1" applyFill="1" applyBorder="1" applyAlignment="1">
      <alignment horizontal="left" vertical="center"/>
    </xf>
    <xf numFmtId="167" fontId="27" fillId="4" borderId="1" xfId="0" applyNumberFormat="1" applyFont="1" applyFill="1" applyBorder="1" applyAlignment="1">
      <alignment horizontal="center" vertical="center"/>
    </xf>
    <xf numFmtId="166" fontId="27" fillId="4" borderId="1" xfId="0" applyNumberFormat="1" applyFont="1" applyFill="1" applyBorder="1" applyAlignment="1">
      <alignment horizontal="center" vertical="center"/>
    </xf>
    <xf numFmtId="0" fontId="9" fillId="20" borderId="1" xfId="0" applyFont="1" applyFill="1" applyBorder="1" applyAlignment="1">
      <alignment horizontal="left" vertical="center"/>
    </xf>
    <xf numFmtId="167" fontId="27" fillId="20" borderId="1" xfId="0" applyNumberFormat="1" applyFont="1" applyFill="1" applyBorder="1" applyAlignment="1">
      <alignment horizontal="center" vertical="center"/>
    </xf>
    <xf numFmtId="166" fontId="27" fillId="20" borderId="1" xfId="0" applyNumberFormat="1" applyFont="1" applyFill="1" applyBorder="1" applyAlignment="1">
      <alignment horizontal="center" vertical="center"/>
    </xf>
    <xf numFmtId="165" fontId="27" fillId="20" borderId="1" xfId="0" applyNumberFormat="1" applyFont="1" applyFill="1" applyBorder="1" applyAlignment="1">
      <alignment horizontal="center" vertical="center"/>
    </xf>
    <xf numFmtId="0" fontId="27" fillId="20" borderId="1" xfId="0" applyFont="1" applyFill="1" applyBorder="1" applyAlignment="1">
      <alignment horizontal="center" vertical="center"/>
    </xf>
    <xf numFmtId="0" fontId="27" fillId="4" borderId="1" xfId="0" applyFont="1" applyFill="1" applyBorder="1" applyAlignment="1">
      <alignment horizontal="center" vertical="center"/>
    </xf>
    <xf numFmtId="165" fontId="27" fillId="4" borderId="1" xfId="0" applyNumberFormat="1" applyFont="1" applyFill="1" applyBorder="1" applyAlignment="1">
      <alignment horizontal="center" vertical="center"/>
    </xf>
    <xf numFmtId="0" fontId="9" fillId="13" borderId="1" xfId="0" applyFont="1" applyFill="1" applyBorder="1" applyAlignment="1">
      <alignment horizontal="left" vertical="center"/>
    </xf>
    <xf numFmtId="0" fontId="27" fillId="13" borderId="1" xfId="0" applyFont="1" applyFill="1" applyBorder="1" applyAlignment="1">
      <alignment horizontal="center" vertical="center"/>
    </xf>
    <xf numFmtId="165" fontId="7" fillId="13" borderId="1" xfId="0" applyNumberFormat="1" applyFont="1" applyFill="1" applyBorder="1" applyAlignment="1">
      <alignment horizontal="center" vertical="center"/>
    </xf>
    <xf numFmtId="0" fontId="9" fillId="21" borderId="1" xfId="0" applyFont="1" applyFill="1" applyBorder="1" applyAlignment="1">
      <alignment horizontal="left" vertical="center"/>
    </xf>
    <xf numFmtId="0" fontId="27" fillId="21" borderId="1" xfId="0" applyFont="1" applyFill="1" applyBorder="1" applyAlignment="1">
      <alignment horizontal="center" vertical="center"/>
    </xf>
    <xf numFmtId="165" fontId="7" fillId="21" borderId="1" xfId="0" applyNumberFormat="1" applyFont="1" applyFill="1" applyBorder="1" applyAlignment="1">
      <alignment horizontal="center" vertical="center"/>
    </xf>
    <xf numFmtId="167" fontId="15"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9" fillId="22" borderId="1" xfId="0" applyFont="1" applyFill="1" applyBorder="1" applyAlignment="1">
      <alignment horizontal="left" vertical="center" wrapText="1"/>
    </xf>
    <xf numFmtId="0" fontId="15" fillId="22" borderId="1" xfId="0" applyFont="1" applyFill="1" applyBorder="1" applyAlignment="1">
      <alignment horizontal="center" vertical="center" wrapText="1"/>
    </xf>
    <xf numFmtId="0" fontId="9" fillId="22"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32" fillId="22" borderId="1" xfId="0" applyFont="1" applyFill="1" applyBorder="1" applyAlignment="1">
      <alignment horizontal="center" vertical="center" wrapText="1"/>
    </xf>
    <xf numFmtId="0" fontId="5" fillId="22" borderId="1" xfId="0" applyFont="1" applyFill="1" applyBorder="1" applyAlignment="1">
      <alignment horizontal="left" vertical="center" wrapText="1"/>
    </xf>
    <xf numFmtId="0" fontId="17" fillId="14" borderId="1" xfId="0" applyFont="1" applyFill="1" applyBorder="1" applyAlignment="1">
      <alignment horizontal="center" vertical="center" wrapText="1"/>
    </xf>
    <xf numFmtId="0" fontId="9" fillId="22" borderId="1" xfId="0" applyFont="1" applyFill="1" applyBorder="1" applyAlignment="1">
      <alignment horizontal="left" vertical="center"/>
    </xf>
    <xf numFmtId="0" fontId="18" fillId="22" borderId="1" xfId="0" applyFont="1" applyFill="1" applyBorder="1" applyAlignment="1">
      <alignment horizontal="center" vertical="center"/>
    </xf>
    <xf numFmtId="167" fontId="22" fillId="22" borderId="1" xfId="0" applyNumberFormat="1" applyFont="1" applyFill="1" applyBorder="1" applyAlignment="1">
      <alignment horizontal="center" vertical="center"/>
    </xf>
    <xf numFmtId="0" fontId="9" fillId="23" borderId="1" xfId="0" applyFont="1" applyFill="1" applyBorder="1" applyAlignment="1">
      <alignment horizontal="left" vertical="center"/>
    </xf>
    <xf numFmtId="0" fontId="18" fillId="23" borderId="1" xfId="0" applyFont="1" applyFill="1" applyBorder="1" applyAlignment="1">
      <alignment horizontal="center" vertical="center"/>
    </xf>
    <xf numFmtId="167" fontId="22" fillId="23" borderId="1" xfId="0" applyNumberFormat="1" applyFont="1" applyFill="1" applyBorder="1" applyAlignment="1">
      <alignment horizontal="center" vertical="center"/>
    </xf>
    <xf numFmtId="0" fontId="5" fillId="23" borderId="1" xfId="0" applyFont="1" applyFill="1" applyBorder="1" applyAlignment="1">
      <alignment horizontal="left" vertical="center" wrapText="1"/>
    </xf>
    <xf numFmtId="167" fontId="7" fillId="4" borderId="1" xfId="0" applyNumberFormat="1" applyFont="1" applyFill="1" applyBorder="1" applyAlignment="1">
      <alignment horizontal="center" vertical="center" wrapText="1"/>
    </xf>
    <xf numFmtId="165"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167" fontId="7" fillId="6" borderId="1" xfId="0" applyNumberFormat="1" applyFont="1" applyFill="1" applyBorder="1" applyAlignment="1">
      <alignment horizontal="center" vertical="center" wrapText="1"/>
    </xf>
    <xf numFmtId="165" fontId="7" fillId="6" borderId="1" xfId="0" applyNumberFormat="1" applyFont="1" applyFill="1" applyBorder="1" applyAlignment="1">
      <alignment horizontal="center" vertical="center"/>
    </xf>
    <xf numFmtId="0" fontId="7" fillId="6" borderId="1" xfId="0" applyFont="1" applyFill="1" applyBorder="1" applyAlignment="1">
      <alignment horizontal="center" vertical="center" wrapText="1"/>
    </xf>
    <xf numFmtId="167" fontId="7" fillId="16" borderId="1" xfId="0" applyNumberFormat="1" applyFont="1" applyFill="1" applyBorder="1" applyAlignment="1">
      <alignment horizontal="center" vertical="center" wrapText="1"/>
    </xf>
    <xf numFmtId="165" fontId="7" fillId="16" borderId="1" xfId="0" applyNumberFormat="1" applyFont="1" applyFill="1" applyBorder="1" applyAlignment="1">
      <alignment horizontal="center" vertical="center"/>
    </xf>
    <xf numFmtId="0" fontId="7" fillId="16"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167" fontId="14" fillId="2" borderId="1" xfId="0" applyNumberFormat="1" applyFont="1" applyFill="1" applyBorder="1" applyAlignment="1">
      <alignment horizontal="center" vertical="center" wrapText="1"/>
    </xf>
    <xf numFmtId="165" fontId="14"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70" fontId="7" fillId="6" borderId="1" xfId="0" applyNumberFormat="1" applyFont="1" applyFill="1" applyBorder="1" applyAlignment="1">
      <alignment horizontal="center" vertical="center" wrapText="1"/>
    </xf>
    <xf numFmtId="167" fontId="7" fillId="5" borderId="1" xfId="0" applyNumberFormat="1" applyFont="1" applyFill="1" applyBorder="1" applyAlignment="1">
      <alignment horizontal="center" vertical="center" wrapText="1"/>
    </xf>
    <xf numFmtId="170"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167" fontId="7" fillId="17" borderId="1" xfId="0" applyNumberFormat="1" applyFont="1" applyFill="1" applyBorder="1" applyAlignment="1">
      <alignment horizontal="center" vertical="center" wrapText="1"/>
    </xf>
    <xf numFmtId="0" fontId="7" fillId="17" borderId="1" xfId="0" applyFont="1" applyFill="1" applyBorder="1" applyAlignment="1">
      <alignment horizontal="center" vertical="center" wrapText="1"/>
    </xf>
    <xf numFmtId="167" fontId="38" fillId="4" borderId="1" xfId="0" applyNumberFormat="1" applyFont="1" applyFill="1" applyBorder="1" applyAlignment="1">
      <alignment horizontal="center" vertical="center"/>
    </xf>
    <xf numFmtId="171" fontId="39" fillId="16" borderId="1" xfId="0" applyNumberFormat="1" applyFont="1" applyFill="1" applyBorder="1" applyAlignment="1">
      <alignment horizontal="center" vertical="center"/>
    </xf>
    <xf numFmtId="171" fontId="39" fillId="17" borderId="1" xfId="0" applyNumberFormat="1" applyFont="1" applyFill="1" applyBorder="1" applyAlignment="1">
      <alignment horizontal="center" vertical="center"/>
    </xf>
    <xf numFmtId="167" fontId="38" fillId="5" borderId="1" xfId="0" applyNumberFormat="1" applyFont="1" applyFill="1" applyBorder="1" applyAlignment="1">
      <alignment horizontal="center" vertical="center"/>
    </xf>
    <xf numFmtId="167" fontId="38" fillId="6" borderId="1" xfId="0" applyNumberFormat="1" applyFont="1" applyFill="1" applyBorder="1" applyAlignment="1">
      <alignment horizontal="center" vertical="center"/>
    </xf>
    <xf numFmtId="167" fontId="39" fillId="17" borderId="1" xfId="0" applyNumberFormat="1" applyFont="1" applyFill="1" applyBorder="1" applyAlignment="1">
      <alignment horizontal="center" vertical="center"/>
    </xf>
    <xf numFmtId="171" fontId="7" fillId="4" borderId="1" xfId="0" applyNumberFormat="1" applyFont="1" applyFill="1" applyBorder="1" applyAlignment="1">
      <alignment horizontal="center" vertical="center" wrapText="1"/>
    </xf>
    <xf numFmtId="171" fontId="7" fillId="6" borderId="1" xfId="0" applyNumberFormat="1" applyFont="1" applyFill="1" applyBorder="1" applyAlignment="1">
      <alignment horizontal="center" vertical="center" wrapText="1"/>
    </xf>
    <xf numFmtId="171" fontId="7" fillId="5" borderId="1" xfId="0" applyNumberFormat="1" applyFont="1" applyFill="1" applyBorder="1" applyAlignment="1">
      <alignment horizontal="center" vertical="center" wrapText="1"/>
    </xf>
    <xf numFmtId="171" fontId="7" fillId="16" borderId="1" xfId="0" applyNumberFormat="1" applyFont="1" applyFill="1" applyBorder="1" applyAlignment="1">
      <alignment horizontal="center" vertical="center" wrapText="1"/>
    </xf>
    <xf numFmtId="171" fontId="7" fillId="17" borderId="1" xfId="0" applyNumberFormat="1" applyFont="1" applyFill="1" applyBorder="1" applyAlignment="1">
      <alignment horizontal="center" vertical="center" wrapText="1"/>
    </xf>
    <xf numFmtId="172" fontId="7" fillId="6" borderId="1" xfId="0" applyNumberFormat="1" applyFont="1" applyFill="1" applyBorder="1" applyAlignment="1">
      <alignment horizontal="center" vertical="center" wrapText="1"/>
    </xf>
    <xf numFmtId="173" fontId="7" fillId="6" borderId="1" xfId="0" applyNumberFormat="1" applyFont="1" applyFill="1" applyBorder="1" applyAlignment="1">
      <alignment horizontal="center" vertical="center" wrapText="1"/>
    </xf>
    <xf numFmtId="174" fontId="7" fillId="6" borderId="1" xfId="0" applyNumberFormat="1"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174" fontId="7" fillId="4" borderId="1" xfId="0" applyNumberFormat="1" applyFont="1" applyFill="1" applyBorder="1" applyAlignment="1">
      <alignment horizontal="center" vertical="center" wrapText="1"/>
    </xf>
    <xf numFmtId="175" fontId="7" fillId="4" borderId="1" xfId="0" applyNumberFormat="1" applyFont="1" applyFill="1" applyBorder="1" applyAlignment="1">
      <alignment horizontal="center" vertical="center" wrapText="1"/>
    </xf>
    <xf numFmtId="176" fontId="7" fillId="4" borderId="1" xfId="0" applyNumberFormat="1"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174" fontId="7" fillId="5" borderId="1" xfId="0" applyNumberFormat="1" applyFont="1" applyFill="1" applyBorder="1" applyAlignment="1">
      <alignment horizontal="center" vertical="center" wrapText="1"/>
    </xf>
    <xf numFmtId="177" fontId="7" fillId="4" borderId="1" xfId="0" applyNumberFormat="1" applyFont="1" applyFill="1" applyBorder="1" applyAlignment="1">
      <alignment horizontal="center" vertical="center" wrapText="1"/>
    </xf>
    <xf numFmtId="173" fontId="7" fillId="4" borderId="1" xfId="0" applyNumberFormat="1" applyFont="1" applyFill="1" applyBorder="1" applyAlignment="1">
      <alignment horizontal="center" vertical="center" wrapText="1"/>
    </xf>
    <xf numFmtId="0" fontId="9"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41" fillId="0" borderId="0" xfId="0" applyFont="1"/>
    <xf numFmtId="0" fontId="47" fillId="4" borderId="0" xfId="0" applyFont="1" applyFill="1" applyAlignment="1">
      <alignment horizontal="center" vertical="center"/>
    </xf>
    <xf numFmtId="0" fontId="48" fillId="4" borderId="0" xfId="0" applyFont="1" applyFill="1" applyAlignment="1">
      <alignment horizontal="center" vertical="center"/>
    </xf>
    <xf numFmtId="0" fontId="6" fillId="5" borderId="1"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43" fillId="17"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44" fillId="4" borderId="1" xfId="0" applyFont="1" applyFill="1" applyBorder="1" applyAlignment="1">
      <alignment horizontal="center" vertical="center" wrapText="1"/>
    </xf>
    <xf numFmtId="0" fontId="45" fillId="5" borderId="1"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49" fillId="2" borderId="1" xfId="0" applyFont="1" applyFill="1" applyBorder="1" applyAlignment="1">
      <alignment horizontal="center" vertical="center"/>
    </xf>
    <xf numFmtId="0" fontId="0" fillId="2" borderId="1" xfId="0" applyFill="1" applyBorder="1"/>
    <xf numFmtId="0" fontId="49" fillId="11" borderId="1" xfId="0" applyFont="1" applyFill="1" applyBorder="1" applyAlignment="1">
      <alignment horizontal="center" vertical="center"/>
    </xf>
    <xf numFmtId="0" fontId="0" fillId="11" borderId="1" xfId="0" applyFill="1" applyBorder="1"/>
    <xf numFmtId="0" fontId="49" fillId="14" borderId="1" xfId="0" applyFont="1" applyFill="1" applyBorder="1" applyAlignment="1">
      <alignment horizontal="center" vertical="center"/>
    </xf>
    <xf numFmtId="0" fontId="0" fillId="14" borderId="1" xfId="0" applyFill="1" applyBorder="1"/>
    <xf numFmtId="0" fontId="49" fillId="12" borderId="1" xfId="0" applyFont="1" applyFill="1" applyBorder="1" applyAlignment="1">
      <alignment horizontal="center" vertical="center"/>
    </xf>
    <xf numFmtId="0" fontId="0" fillId="12" borderId="1" xfId="0" applyFill="1" applyBorder="1"/>
    <xf numFmtId="0" fontId="49" fillId="15" borderId="1" xfId="0" applyFont="1" applyFill="1" applyBorder="1" applyAlignment="1">
      <alignment horizontal="center" vertical="center"/>
    </xf>
    <xf numFmtId="0" fontId="0" fillId="15" borderId="1" xfId="0" applyFill="1" applyBorder="1"/>
    <xf numFmtId="0" fontId="54" fillId="22" borderId="0" xfId="0" applyFont="1" applyFill="1" applyAlignment="1">
      <alignment horizontal="center" vertical="center"/>
    </xf>
    <xf numFmtId="0" fontId="55" fillId="22" borderId="0" xfId="0" applyFont="1" applyFill="1" applyAlignment="1">
      <alignment horizontal="center" vertical="center"/>
    </xf>
    <xf numFmtId="0" fontId="58" fillId="16" borderId="1" xfId="0" applyFont="1" applyFill="1" applyBorder="1" applyAlignment="1">
      <alignment horizontal="left" vertical="center" wrapText="1"/>
    </xf>
    <xf numFmtId="0" fontId="59" fillId="17" borderId="1" xfId="0" applyFont="1" applyFill="1" applyBorder="1" applyAlignment="1">
      <alignment horizontal="left" vertical="center" wrapText="1"/>
    </xf>
    <xf numFmtId="0" fontId="60" fillId="16" borderId="1" xfId="0" applyFont="1" applyFill="1" applyBorder="1" applyAlignment="1">
      <alignment horizontal="left" vertical="center" wrapText="1"/>
    </xf>
    <xf numFmtId="0" fontId="9" fillId="26" borderId="1" xfId="0" applyFont="1" applyFill="1" applyBorder="1" applyAlignment="1">
      <alignment horizontal="left" vertical="center"/>
    </xf>
    <xf numFmtId="0" fontId="5" fillId="8" borderId="1" xfId="0" applyFont="1" applyFill="1" applyBorder="1" applyAlignment="1">
      <alignment horizontal="center" vertical="center"/>
    </xf>
    <xf numFmtId="178" fontId="0" fillId="8" borderId="1" xfId="0" applyNumberFormat="1" applyFill="1" applyBorder="1" applyAlignment="1">
      <alignment horizontal="center" vertical="center"/>
    </xf>
    <xf numFmtId="178" fontId="0" fillId="4" borderId="1" xfId="0" applyNumberFormat="1" applyFill="1" applyBorder="1" applyAlignment="1">
      <alignment horizontal="center" vertical="center"/>
    </xf>
    <xf numFmtId="178" fontId="0" fillId="17" borderId="1" xfId="0" applyNumberFormat="1" applyFill="1" applyBorder="1" applyAlignment="1">
      <alignment horizontal="center" vertical="center"/>
    </xf>
    <xf numFmtId="0" fontId="46" fillId="6" borderId="1" xfId="0" applyFont="1" applyFill="1" applyBorder="1" applyAlignment="1">
      <alignment horizontal="left" vertical="center" wrapText="1"/>
    </xf>
    <xf numFmtId="0" fontId="9" fillId="27" borderId="1" xfId="0" applyFont="1" applyFill="1" applyBorder="1" applyAlignment="1">
      <alignment horizontal="left" vertical="center"/>
    </xf>
    <xf numFmtId="0" fontId="9" fillId="28" borderId="1" xfId="0" applyFont="1" applyFill="1" applyBorder="1" applyAlignment="1">
      <alignment horizontal="left" vertical="center"/>
    </xf>
    <xf numFmtId="0" fontId="9" fillId="29" borderId="1" xfId="0" applyFont="1" applyFill="1" applyBorder="1" applyAlignment="1">
      <alignment horizontal="left" vertical="center"/>
    </xf>
    <xf numFmtId="0" fontId="9" fillId="30" borderId="1" xfId="0" applyFont="1" applyFill="1" applyBorder="1" applyAlignment="1">
      <alignment horizontal="left" vertical="center"/>
    </xf>
    <xf numFmtId="0" fontId="6" fillId="2" borderId="1" xfId="0" applyFont="1" applyFill="1" applyBorder="1" applyAlignment="1">
      <alignment horizontal="center" vertical="center"/>
    </xf>
    <xf numFmtId="178" fontId="14" fillId="2" borderId="1" xfId="0" applyNumberFormat="1" applyFont="1" applyFill="1" applyBorder="1" applyAlignment="1">
      <alignment horizontal="center" vertical="center"/>
    </xf>
    <xf numFmtId="178" fontId="23" fillId="2" borderId="1" xfId="0" applyNumberFormat="1" applyFont="1" applyFill="1" applyBorder="1" applyAlignment="1">
      <alignment horizontal="center" vertical="center"/>
    </xf>
    <xf numFmtId="0" fontId="34" fillId="4" borderId="0" xfId="0" applyFont="1" applyFill="1" applyAlignment="1">
      <alignment horizontal="center" vertical="center" wrapText="1"/>
    </xf>
    <xf numFmtId="0" fontId="0" fillId="0" borderId="0" xfId="0"/>
    <xf numFmtId="0" fontId="17" fillId="14" borderId="0" xfId="0" applyFont="1" applyFill="1" applyAlignment="1">
      <alignment horizontal="center" vertical="center" wrapText="1"/>
    </xf>
    <xf numFmtId="0" fontId="50" fillId="5" borderId="0" xfId="0" applyFont="1" applyFill="1" applyAlignment="1">
      <alignment horizontal="left" vertical="center" wrapText="1"/>
    </xf>
    <xf numFmtId="167" fontId="53" fillId="4" borderId="0" xfId="0" applyNumberFormat="1" applyFont="1" applyFill="1" applyAlignment="1">
      <alignment horizontal="center" vertical="center"/>
    </xf>
    <xf numFmtId="0" fontId="33" fillId="4" borderId="0" xfId="0" applyFont="1" applyFill="1" applyAlignment="1">
      <alignment horizontal="center" vertical="center" wrapText="1"/>
    </xf>
    <xf numFmtId="167" fontId="53" fillId="17" borderId="0" xfId="0" applyNumberFormat="1" applyFont="1" applyFill="1" applyAlignment="1">
      <alignment horizontal="center" vertical="center"/>
    </xf>
    <xf numFmtId="0" fontId="52" fillId="5" borderId="0" xfId="0" applyFont="1" applyFill="1" applyAlignment="1">
      <alignment horizontal="left" vertical="center"/>
    </xf>
    <xf numFmtId="0" fontId="14" fillId="14" borderId="0" xfId="0" applyFont="1" applyFill="1" applyAlignment="1">
      <alignment horizontal="left" vertical="center"/>
    </xf>
    <xf numFmtId="0" fontId="35" fillId="5" borderId="0" xfId="0" applyFont="1" applyFill="1" applyAlignment="1">
      <alignment horizontal="left" vertical="center" wrapText="1"/>
    </xf>
    <xf numFmtId="0" fontId="33" fillId="22" borderId="0" xfId="0" applyFont="1" applyFill="1" applyAlignment="1">
      <alignment horizontal="center" vertical="center" wrapText="1"/>
    </xf>
    <xf numFmtId="167" fontId="53" fillId="6" borderId="0" xfId="0" applyNumberFormat="1" applyFont="1" applyFill="1" applyAlignment="1">
      <alignment horizontal="center" vertical="center"/>
    </xf>
    <xf numFmtId="169" fontId="53" fillId="4" borderId="0" xfId="0" applyNumberFormat="1" applyFont="1" applyFill="1" applyAlignment="1">
      <alignment horizontal="center" vertical="center"/>
    </xf>
    <xf numFmtId="0" fontId="33" fillId="16" borderId="0" xfId="0" applyFont="1" applyFill="1" applyAlignment="1">
      <alignment horizontal="center" vertical="center" wrapText="1"/>
    </xf>
    <xf numFmtId="0" fontId="33" fillId="17" borderId="0" xfId="0" applyFont="1" applyFill="1" applyAlignment="1">
      <alignment horizontal="center" vertical="center" wrapText="1"/>
    </xf>
    <xf numFmtId="0" fontId="51" fillId="13" borderId="0" xfId="0" applyFont="1" applyFill="1" applyAlignment="1">
      <alignment horizontal="left" vertical="center"/>
    </xf>
    <xf numFmtId="0" fontId="8" fillId="2" borderId="0" xfId="0" applyFont="1" applyFill="1" applyAlignment="1">
      <alignment horizontal="left" vertical="center"/>
    </xf>
    <xf numFmtId="165" fontId="53" fillId="4" borderId="0" xfId="0" applyNumberFormat="1" applyFont="1" applyFill="1" applyAlignment="1">
      <alignment horizontal="center" vertical="center"/>
    </xf>
    <xf numFmtId="0" fontId="56" fillId="17" borderId="0" xfId="0" applyFont="1" applyFill="1" applyAlignment="1">
      <alignment horizontal="center" vertical="center"/>
    </xf>
    <xf numFmtId="0" fontId="21" fillId="4" borderId="0" xfId="0" applyFont="1" applyFill="1" applyAlignment="1">
      <alignment horizontal="left" vertical="center"/>
    </xf>
    <xf numFmtId="0" fontId="50" fillId="4" borderId="0" xfId="0" applyFont="1" applyFill="1" applyAlignment="1">
      <alignment horizontal="left" vertical="center" wrapText="1"/>
    </xf>
    <xf numFmtId="0" fontId="17" fillId="3" borderId="0" xfId="0" applyFont="1" applyFill="1" applyAlignment="1">
      <alignment horizontal="center" vertical="center" wrapText="1"/>
    </xf>
    <xf numFmtId="0" fontId="24" fillId="6" borderId="0" xfId="0" applyFont="1" applyFill="1" applyAlignment="1">
      <alignment horizontal="center" vertical="center"/>
    </xf>
    <xf numFmtId="0" fontId="33" fillId="6" borderId="0" xfId="0" applyFont="1" applyFill="1" applyAlignment="1">
      <alignment horizontal="center" vertical="center" wrapText="1"/>
    </xf>
    <xf numFmtId="0" fontId="14" fillId="3" borderId="0" xfId="0" applyFont="1" applyFill="1" applyAlignment="1">
      <alignment horizontal="left" vertical="center"/>
    </xf>
    <xf numFmtId="0" fontId="14" fillId="2" borderId="0" xfId="0" applyFont="1" applyFill="1" applyAlignment="1">
      <alignment horizontal="left" vertical="center"/>
    </xf>
    <xf numFmtId="0" fontId="20" fillId="17" borderId="0" xfId="0" applyFont="1" applyFill="1" applyAlignment="1">
      <alignment horizontal="left" vertical="center"/>
    </xf>
    <xf numFmtId="0" fontId="43" fillId="25" borderId="0" xfId="0" applyFont="1" applyFill="1" applyAlignment="1">
      <alignment horizontal="left" vertical="center"/>
    </xf>
    <xf numFmtId="0" fontId="12" fillId="3" borderId="0" xfId="0" applyFont="1" applyFill="1" applyAlignment="1">
      <alignment horizontal="left" vertical="center"/>
    </xf>
    <xf numFmtId="165" fontId="53" fillId="6" borderId="0" xfId="0" applyNumberFormat="1" applyFont="1" applyFill="1" applyAlignment="1">
      <alignment horizontal="center" vertical="center"/>
    </xf>
    <xf numFmtId="167" fontId="53" fillId="5" borderId="0" xfId="0" applyNumberFormat="1" applyFont="1" applyFill="1" applyAlignment="1">
      <alignment horizontal="center" vertical="center"/>
    </xf>
    <xf numFmtId="0" fontId="17" fillId="15" borderId="0" xfId="0" applyFont="1" applyFill="1" applyAlignment="1">
      <alignment horizontal="center" vertical="center" wrapText="1"/>
    </xf>
    <xf numFmtId="0" fontId="44" fillId="4" borderId="0" xfId="0" applyFont="1" applyFill="1" applyAlignment="1">
      <alignment horizontal="left" vertical="center"/>
    </xf>
    <xf numFmtId="0" fontId="27" fillId="4" borderId="0" xfId="0" applyFont="1" applyFill="1" applyAlignment="1">
      <alignment horizontal="left" vertical="center"/>
    </xf>
    <xf numFmtId="167" fontId="53" fillId="16" borderId="0" xfId="0" applyNumberFormat="1" applyFont="1" applyFill="1" applyAlignment="1">
      <alignment horizontal="center" vertical="center"/>
    </xf>
    <xf numFmtId="0" fontId="17" fillId="11" borderId="0" xfId="0" applyFont="1" applyFill="1" applyAlignment="1">
      <alignment horizontal="center" vertical="center" wrapText="1"/>
    </xf>
    <xf numFmtId="0" fontId="16" fillId="8" borderId="0" xfId="0" applyFont="1" applyFill="1" applyAlignment="1">
      <alignment horizontal="center" vertical="center"/>
    </xf>
    <xf numFmtId="0" fontId="17" fillId="24" borderId="0" xfId="0" applyFont="1" applyFill="1" applyAlignment="1">
      <alignment horizontal="center" vertical="center" wrapText="1"/>
    </xf>
    <xf numFmtId="0" fontId="50" fillId="25" borderId="0" xfId="0" applyFont="1" applyFill="1" applyAlignment="1">
      <alignment horizontal="left" vertical="center" wrapText="1"/>
    </xf>
    <xf numFmtId="0" fontId="57" fillId="4" borderId="0" xfId="0" applyFont="1" applyFill="1" applyAlignment="1">
      <alignment horizontal="center" vertical="center"/>
    </xf>
    <xf numFmtId="0" fontId="50" fillId="13" borderId="0" xfId="0" applyFont="1" applyFill="1" applyAlignment="1">
      <alignment horizontal="left" vertical="center" wrapText="1"/>
    </xf>
    <xf numFmtId="0" fontId="1" fillId="2" borderId="0" xfId="0" applyFont="1" applyFill="1" applyAlignment="1">
      <alignment horizontal="center" vertical="center"/>
    </xf>
    <xf numFmtId="0" fontId="14" fillId="11" borderId="0" xfId="0" applyFont="1" applyFill="1" applyAlignment="1">
      <alignment horizontal="left" vertical="center"/>
    </xf>
    <xf numFmtId="0" fontId="33" fillId="5" borderId="0" xfId="0" applyFont="1" applyFill="1" applyAlignment="1">
      <alignment horizontal="center" vertical="center" wrapText="1"/>
    </xf>
    <xf numFmtId="168" fontId="53" fillId="6" borderId="0" xfId="0" applyNumberFormat="1" applyFont="1" applyFill="1" applyAlignment="1">
      <alignment horizontal="center" vertical="center"/>
    </xf>
    <xf numFmtId="0" fontId="22" fillId="6" borderId="0" xfId="0" applyFont="1" applyFill="1" applyAlignment="1">
      <alignment horizontal="left" vertical="center"/>
    </xf>
    <xf numFmtId="0" fontId="7" fillId="13" borderId="0" xfId="0" applyFont="1" applyFill="1" applyAlignment="1">
      <alignment horizontal="left" vertical="center" wrapText="1"/>
    </xf>
    <xf numFmtId="0" fontId="7" fillId="6" borderId="0" xfId="0" applyFont="1" applyFill="1" applyAlignment="1">
      <alignment horizontal="left" vertical="center" wrapText="1"/>
    </xf>
    <xf numFmtId="0" fontId="7" fillId="4" borderId="0" xfId="0" applyFont="1" applyFill="1" applyAlignment="1">
      <alignment horizontal="left" vertical="center" wrapText="1"/>
    </xf>
    <xf numFmtId="0" fontId="7" fillId="17" borderId="0" xfId="0" applyFont="1" applyFill="1" applyAlignment="1">
      <alignment horizontal="left" vertical="center" wrapText="1"/>
    </xf>
    <xf numFmtId="0" fontId="7" fillId="16" borderId="0" xfId="0" applyFont="1" applyFill="1" applyAlignment="1">
      <alignment horizontal="left" vertical="center" wrapText="1"/>
    </xf>
    <xf numFmtId="0" fontId="0" fillId="7" borderId="0" xfId="0" applyFill="1"/>
    <xf numFmtId="0" fontId="4" fillId="15" borderId="0" xfId="0" applyFont="1" applyFill="1" applyAlignment="1">
      <alignment horizontal="left" vertical="center" wrapText="1"/>
    </xf>
    <xf numFmtId="0" fontId="7" fillId="6" borderId="0" xfId="0" applyFont="1" applyFill="1" applyAlignment="1">
      <alignment horizontal="left" vertical="center"/>
    </xf>
    <xf numFmtId="0" fontId="7" fillId="18" borderId="0" xfId="0" applyFont="1" applyFill="1" applyAlignment="1">
      <alignment horizontal="left" vertical="center"/>
    </xf>
    <xf numFmtId="0" fontId="7" fillId="5" borderId="0" xfId="0" applyFont="1" applyFill="1" applyAlignment="1">
      <alignment horizontal="left" vertical="center" wrapText="1"/>
    </xf>
    <xf numFmtId="0" fontId="9" fillId="6" borderId="0" xfId="0" applyFont="1" applyFill="1" applyAlignment="1">
      <alignment horizontal="left" vertical="center"/>
    </xf>
    <xf numFmtId="0" fontId="4" fillId="12" borderId="0" xfId="0" applyFont="1" applyFill="1" applyAlignment="1">
      <alignment horizontal="left" vertical="center" wrapText="1"/>
    </xf>
    <xf numFmtId="0" fontId="0" fillId="3" borderId="0" xfId="0" applyFill="1"/>
    <xf numFmtId="0" fontId="10" fillId="8" borderId="0" xfId="0" applyFont="1" applyFill="1" applyAlignment="1">
      <alignment horizontal="left" vertical="center" wrapText="1"/>
    </xf>
    <xf numFmtId="0" fontId="4" fillId="14" borderId="0" xfId="0" applyFont="1" applyFill="1" applyAlignment="1">
      <alignment horizontal="left" vertical="center" wrapText="1"/>
    </xf>
    <xf numFmtId="0" fontId="4" fillId="3" borderId="0" xfId="0" applyFont="1" applyFill="1" applyAlignment="1">
      <alignment horizontal="left" vertical="center" wrapText="1"/>
    </xf>
    <xf numFmtId="0" fontId="4" fillId="11" borderId="0" xfId="0" applyFont="1" applyFill="1" applyAlignment="1">
      <alignment horizontal="left" vertical="center" wrapText="1"/>
    </xf>
    <xf numFmtId="0" fontId="36" fillId="2" borderId="0" xfId="0" applyFont="1" applyFill="1" applyAlignment="1">
      <alignment horizontal="center" vertical="center"/>
    </xf>
    <xf numFmtId="0" fontId="61" fillId="5" borderId="0" xfId="0" applyFont="1" applyFill="1" applyAlignment="1">
      <alignment horizontal="left" vertical="center" wrapText="1"/>
    </xf>
    <xf numFmtId="0" fontId="49" fillId="2" borderId="0" xfId="0" applyFont="1" applyFill="1" applyAlignment="1">
      <alignment horizontal="center" vertical="center"/>
    </xf>
    <xf numFmtId="0" fontId="0" fillId="16" borderId="0" xfId="0" applyFill="1"/>
    <xf numFmtId="0" fontId="14" fillId="2" borderId="0" xfId="0" applyFont="1" applyFill="1" applyAlignment="1">
      <alignment horizontal="left" vertical="center" wrapText="1"/>
    </xf>
    <xf numFmtId="0" fontId="28" fillId="13" borderId="0" xfId="0" applyFont="1" applyFill="1" applyAlignment="1">
      <alignment horizontal="left" vertical="center" wrapText="1"/>
    </xf>
    <xf numFmtId="0" fontId="37" fillId="16" borderId="1" xfId="0" applyFont="1" applyFill="1" applyBorder="1" applyAlignment="1">
      <alignment horizontal="left" vertical="center"/>
    </xf>
    <xf numFmtId="0" fontId="0" fillId="0" borderId="2" xfId="0" applyBorder="1"/>
    <xf numFmtId="0" fontId="0" fillId="0" borderId="3" xfId="0" applyBorder="1"/>
    <xf numFmtId="0" fontId="37" fillId="4" borderId="1" xfId="0" applyFont="1" applyFill="1" applyBorder="1" applyAlignment="1">
      <alignment horizontal="left" vertical="center"/>
    </xf>
    <xf numFmtId="0" fontId="14" fillId="12" borderId="0" xfId="0" applyFont="1" applyFill="1" applyAlignment="1">
      <alignment horizontal="left" vertical="center" wrapText="1"/>
    </xf>
    <xf numFmtId="0" fontId="14" fillId="11" borderId="0" xfId="0" applyFont="1" applyFill="1" applyAlignment="1">
      <alignment horizontal="left" vertical="center" wrapText="1"/>
    </xf>
    <xf numFmtId="0" fontId="22" fillId="6" borderId="0" xfId="0" applyFont="1" applyFill="1" applyAlignment="1">
      <alignment horizontal="left" vertical="center" wrapText="1"/>
    </xf>
    <xf numFmtId="0" fontId="0" fillId="17" borderId="0" xfId="0" applyFill="1"/>
    <xf numFmtId="0" fontId="40" fillId="5" borderId="1" xfId="0" applyFont="1" applyFill="1" applyBorder="1" applyAlignment="1">
      <alignment horizontal="left" vertical="center"/>
    </xf>
    <xf numFmtId="0" fontId="28" fillId="5" borderId="0" xfId="0" applyFont="1" applyFill="1" applyAlignment="1">
      <alignment horizontal="left" vertical="center" wrapText="1"/>
    </xf>
    <xf numFmtId="0" fontId="37" fillId="17" borderId="1" xfId="0" applyFont="1" applyFill="1" applyBorder="1" applyAlignment="1">
      <alignment horizontal="left" vertical="center"/>
    </xf>
    <xf numFmtId="0" fontId="0" fillId="6" borderId="0" xfId="0" applyFill="1"/>
    <xf numFmtId="0" fontId="14" fillId="15" borderId="0" xfId="0" applyFont="1" applyFill="1" applyAlignment="1">
      <alignment horizontal="left" vertical="center"/>
    </xf>
    <xf numFmtId="0" fontId="11" fillId="2" borderId="0" xfId="0" applyFont="1" applyFill="1" applyAlignment="1">
      <alignment horizontal="center" vertical="center"/>
    </xf>
    <xf numFmtId="0" fontId="0" fillId="5" borderId="0" xfId="0" applyFill="1"/>
    <xf numFmtId="0" fontId="0" fillId="4" borderId="0" xfId="0" applyFill="1"/>
    <xf numFmtId="0" fontId="42" fillId="5" borderId="0" xfId="0" applyFont="1" applyFill="1" applyAlignment="1">
      <alignment horizontal="left" vertical="center" wrapText="1"/>
    </xf>
    <xf numFmtId="0" fontId="12" fillId="3" borderId="0" xfId="0" applyFont="1" applyFill="1" applyAlignment="1">
      <alignment horizontal="left" vertical="center" wrapText="1"/>
    </xf>
    <xf numFmtId="0" fontId="40" fillId="17" borderId="1" xfId="0" applyFont="1" applyFill="1" applyBorder="1" applyAlignment="1">
      <alignment horizontal="left" vertical="center"/>
    </xf>
    <xf numFmtId="0" fontId="37"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6" fillId="5"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42" fillId="6" borderId="0" xfId="0" applyFont="1" applyFill="1" applyAlignment="1">
      <alignment horizontal="left" vertical="center" wrapText="1"/>
    </xf>
    <xf numFmtId="0" fontId="14" fillId="3" borderId="0" xfId="0" applyFont="1" applyFill="1" applyAlignment="1">
      <alignment horizontal="left" vertical="center" wrapText="1"/>
    </xf>
    <xf numFmtId="0" fontId="12" fillId="2" borderId="1" xfId="0" applyFont="1" applyFill="1" applyBorder="1" applyAlignment="1">
      <alignment horizontal="left" vertical="center" wrapText="1"/>
    </xf>
    <xf numFmtId="0" fontId="14" fillId="12" borderId="0" xfId="0" applyFont="1" applyFill="1" applyAlignment="1">
      <alignment horizontal="left" vertical="center"/>
    </xf>
    <xf numFmtId="0" fontId="13" fillId="9" borderId="0" xfId="0" applyFont="1" applyFill="1" applyAlignment="1">
      <alignment horizontal="left" vertical="center"/>
    </xf>
    <xf numFmtId="164" fontId="24" fillId="6" borderId="1" xfId="0" applyNumberFormat="1" applyFont="1" applyFill="1" applyBorder="1" applyAlignment="1">
      <alignment horizontal="center" vertical="center"/>
    </xf>
    <xf numFmtId="0" fontId="14" fillId="3" borderId="1" xfId="0" applyFont="1" applyFill="1" applyBorder="1" applyAlignment="1">
      <alignment horizontal="center" vertical="center" wrapText="1"/>
    </xf>
    <xf numFmtId="0" fontId="0" fillId="0" borderId="4" xfId="0" applyBorder="1"/>
    <xf numFmtId="0" fontId="5" fillId="13"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165" fontId="24" fillId="6"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166" fontId="24" fillId="6" borderId="1" xfId="0" applyNumberFormat="1" applyFont="1" applyFill="1" applyBorder="1" applyAlignment="1">
      <alignment horizontal="center" vertical="center"/>
    </xf>
    <xf numFmtId="0" fontId="5" fillId="20"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3" fillId="9" borderId="0" xfId="0" applyFont="1" applyFill="1" applyAlignment="1">
      <alignment horizontal="left" vertical="center" wrapText="1"/>
    </xf>
    <xf numFmtId="0" fontId="12" fillId="15" borderId="0" xfId="0" applyFont="1" applyFill="1" applyAlignment="1">
      <alignment horizontal="left" vertical="center"/>
    </xf>
    <xf numFmtId="0" fontId="10" fillId="21" borderId="1" xfId="0" applyFont="1" applyFill="1" applyBorder="1" applyAlignment="1">
      <alignment horizontal="left" vertical="center" wrapText="1"/>
    </xf>
    <xf numFmtId="0" fontId="3" fillId="0" borderId="0" xfId="0" applyFont="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7" fillId="7" borderId="0" xfId="0" applyFont="1" applyFill="1" applyAlignment="1">
      <alignment horizontal="left" vertical="center" wrapText="1"/>
    </xf>
    <xf numFmtId="0" fontId="1" fillId="2" borderId="0" xfId="0" applyFont="1" applyFill="1" applyAlignment="1">
      <alignment horizontal="left" vertical="center" wrapText="1"/>
    </xf>
    <xf numFmtId="0" fontId="8" fillId="3" borderId="0" xfId="0" applyFont="1" applyFill="1" applyAlignment="1">
      <alignment horizontal="left" vertical="center" wrapText="1"/>
    </xf>
    <xf numFmtId="0" fontId="9" fillId="5"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Value Driver Waterfall: $40M Claim to AI-Isolated Contribution</a:t>
            </a:r>
          </a:p>
        </c:rich>
      </c:tx>
      <c:overlay val="1"/>
    </c:title>
    <c:autoTitleDeleted val="0"/>
    <c:plotArea>
      <c:layout/>
      <c:barChart>
        <c:barDir val="col"/>
        <c:grouping val="stacked"/>
        <c:varyColors val="1"/>
        <c:ser>
          <c:idx val="0"/>
          <c:order val="0"/>
          <c:tx>
            <c:v>Base</c:v>
          </c:tx>
          <c:spPr>
            <a:solidFill>
              <a:srgbClr val="FFFFFF"/>
            </a:solidFill>
            <a:ln>
              <a:solidFill>
                <a:srgbClr val="FFFFFF"/>
              </a:solidFill>
              <a:prstDash val="solid"/>
            </a:ln>
          </c:spPr>
          <c:invertIfNegative val="1"/>
          <c:cat>
            <c:strRef>
              <c:f>'Waterfall Chart'!$B$5:$B$12</c:f>
              <c:strCache>
                <c:ptCount val="8"/>
                <c:pt idx="0">
                  <c:v>Klarna's Stated Figure</c:v>
                </c:pt>
                <c:pt idx="1">
                  <c:v>Labor Efficiency</c:v>
                </c:pt>
                <c:pt idx="2">
                  <c:v>Repeat Inquiry Reduction</c:v>
                </c:pt>
                <c:pt idx="3">
                  <c:v>Capacity Unlock</c:v>
                </c:pt>
                <c:pt idx="4">
                  <c:v>Resolution Efficiency</c:v>
                </c:pt>
                <c:pt idx="5">
                  <c:v>Non-AI Adjustment</c:v>
                </c:pt>
                <c:pt idx="6">
                  <c:v>AI Running Costs</c:v>
                </c:pt>
                <c:pt idx="7">
                  <c:v>AI-Isolated Contribution</c:v>
                </c:pt>
              </c:strCache>
            </c:strRef>
          </c:cat>
          <c:val>
            <c:numRef>
              <c:f>'Waterfall Chart'!$D$5:$D$12</c:f>
              <c:numCache>
                <c:formatCode>0.0</c:formatCode>
                <c:ptCount val="8"/>
                <c:pt idx="0">
                  <c:v>0</c:v>
                </c:pt>
                <c:pt idx="1">
                  <c:v>40</c:v>
                </c:pt>
                <c:pt idx="2">
                  <c:v>49.9</c:v>
                </c:pt>
                <c:pt idx="3">
                  <c:v>53.2</c:v>
                </c:pt>
                <c:pt idx="4">
                  <c:v>63.7</c:v>
                </c:pt>
                <c:pt idx="5">
                  <c:v>79</c:v>
                </c:pt>
                <c:pt idx="6">
                  <c:v>82.5</c:v>
                </c:pt>
                <c:pt idx="7"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847C-4929-B369-3D08DC8BAD40}"/>
            </c:ext>
          </c:extLst>
        </c:ser>
        <c:ser>
          <c:idx val="1"/>
          <c:order val="1"/>
          <c:tx>
            <c:v>Value Added</c:v>
          </c:tx>
          <c:spPr>
            <a:solidFill>
              <a:srgbClr val="375623"/>
            </a:solidFill>
            <a:ln>
              <a:solidFill>
                <a:srgbClr val="375623"/>
              </a:solidFill>
              <a:prstDash val="solid"/>
            </a:ln>
          </c:spPr>
          <c:invertIfNegative val="1"/>
          <c:cat>
            <c:strRef>
              <c:f>'Waterfall Chart'!$B$5:$B$12</c:f>
              <c:strCache>
                <c:ptCount val="8"/>
                <c:pt idx="0">
                  <c:v>Klarna's Stated Figure</c:v>
                </c:pt>
                <c:pt idx="1">
                  <c:v>Labor Efficiency</c:v>
                </c:pt>
                <c:pt idx="2">
                  <c:v>Repeat Inquiry Reduction</c:v>
                </c:pt>
                <c:pt idx="3">
                  <c:v>Capacity Unlock</c:v>
                </c:pt>
                <c:pt idx="4">
                  <c:v>Resolution Efficiency</c:v>
                </c:pt>
                <c:pt idx="5">
                  <c:v>Non-AI Adjustment</c:v>
                </c:pt>
                <c:pt idx="6">
                  <c:v>AI Running Costs</c:v>
                </c:pt>
                <c:pt idx="7">
                  <c:v>AI-Isolated Contribution</c:v>
                </c:pt>
              </c:strCache>
            </c:strRef>
          </c:cat>
          <c:val>
            <c:numRef>
              <c:f>'Waterfall Chart'!$E$5:$E$12</c:f>
              <c:numCache>
                <c:formatCode>0.0</c:formatCode>
                <c:ptCount val="8"/>
                <c:pt idx="0">
                  <c:v>40</c:v>
                </c:pt>
                <c:pt idx="1">
                  <c:v>37.285499999999999</c:v>
                </c:pt>
                <c:pt idx="2">
                  <c:v>3.2955220000000001</c:v>
                </c:pt>
                <c:pt idx="3">
                  <c:v>15.75</c:v>
                </c:pt>
                <c:pt idx="4">
                  <c:v>3.4649999999999999</c:v>
                </c:pt>
                <c:pt idx="5">
                  <c:v>0</c:v>
                </c:pt>
                <c:pt idx="6">
                  <c:v>0</c:v>
                </c:pt>
                <c:pt idx="7">
                  <c:v>82.5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375623"/>
                    </a:solidFill>
                    <a:prstDash val="solid"/>
                  </a:ln>
                </c14:spPr>
              </c14:invertSolidFillFmt>
            </c:ext>
            <c:ext xmlns:c16="http://schemas.microsoft.com/office/drawing/2014/chart" uri="{C3380CC4-5D6E-409C-BE32-E72D297353CC}">
              <c16:uniqueId val="{00000001-847C-4929-B369-3D08DC8BAD40}"/>
            </c:ext>
          </c:extLst>
        </c:ser>
        <c:ser>
          <c:idx val="2"/>
          <c:order val="2"/>
          <c:tx>
            <c:v>Adjustment</c:v>
          </c:tx>
          <c:spPr>
            <a:solidFill>
              <a:srgbClr val="C00000"/>
            </a:solidFill>
            <a:ln>
              <a:solidFill>
                <a:srgbClr val="C00000"/>
              </a:solidFill>
              <a:prstDash val="solid"/>
            </a:ln>
          </c:spPr>
          <c:invertIfNegative val="1"/>
          <c:cat>
            <c:strRef>
              <c:f>'Waterfall Chart'!$B$5:$B$12</c:f>
              <c:strCache>
                <c:ptCount val="8"/>
                <c:pt idx="0">
                  <c:v>Klarna's Stated Figure</c:v>
                </c:pt>
                <c:pt idx="1">
                  <c:v>Labor Efficiency</c:v>
                </c:pt>
                <c:pt idx="2">
                  <c:v>Repeat Inquiry Reduction</c:v>
                </c:pt>
                <c:pt idx="3">
                  <c:v>Capacity Unlock</c:v>
                </c:pt>
                <c:pt idx="4">
                  <c:v>Resolution Efficiency</c:v>
                </c:pt>
                <c:pt idx="5">
                  <c:v>Non-AI Adjustment</c:v>
                </c:pt>
                <c:pt idx="6">
                  <c:v>AI Running Costs</c:v>
                </c:pt>
                <c:pt idx="7">
                  <c:v>AI-Isolated Contribution</c:v>
                </c:pt>
              </c:strCache>
            </c:strRef>
          </c:cat>
          <c:val>
            <c:numRef>
              <c:f>'Waterfall Chart'!$F$5:$F$12</c:f>
              <c:numCache>
                <c:formatCode>0.0</c:formatCode>
                <c:ptCount val="8"/>
                <c:pt idx="0">
                  <c:v>0</c:v>
                </c:pt>
                <c:pt idx="1">
                  <c:v>0</c:v>
                </c:pt>
                <c:pt idx="2">
                  <c:v>0</c:v>
                </c:pt>
                <c:pt idx="3">
                  <c:v>0</c:v>
                </c:pt>
                <c:pt idx="4">
                  <c:v>0</c:v>
                </c:pt>
                <c:pt idx="5">
                  <c:v>14.1</c:v>
                </c:pt>
                <c:pt idx="6">
                  <c:v>3.5</c:v>
                </c:pt>
                <c:pt idx="7"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C00000"/>
                    </a:solidFill>
                    <a:prstDash val="solid"/>
                  </a:ln>
                </c14:spPr>
              </c14:invertSolidFillFmt>
            </c:ext>
            <c:ext xmlns:c16="http://schemas.microsoft.com/office/drawing/2014/chart" uri="{C3380CC4-5D6E-409C-BE32-E72D297353CC}">
              <c16:uniqueId val="{00000002-847C-4929-B369-3D08DC8BAD4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endParaRPr lang="en-US"/>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55"/>
          <c:min val="0"/>
        </c:scaling>
        <c:delete val="1"/>
        <c:axPos val="l"/>
        <c:majorGridlines/>
        <c:title>
          <c:tx>
            <c:rich>
              <a:bodyPr/>
              <a:lstStyle/>
              <a:p>
                <a:pPr>
                  <a:defRPr/>
                </a:pPr>
                <a:r>
                  <a:rPr lang="en-US"/>
                  <a:t>Annual Value ($M)</a:t>
                </a:r>
              </a:p>
            </c:rich>
          </c:tx>
          <c:overlay val="1"/>
        </c:title>
        <c:numFmt formatCode="0.0&quot;M&quot;"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9360000" cy="576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opLeftCell="A18" workbookViewId="0">
      <selection sqref="A1:J1"/>
    </sheetView>
  </sheetViews>
  <sheetFormatPr defaultRowHeight="14.4" x14ac:dyDescent="0.3"/>
  <cols>
    <col min="1" max="1" width="3" customWidth="1"/>
    <col min="2" max="2" width="26" customWidth="1"/>
    <col min="3" max="3" width="20" customWidth="1"/>
    <col min="4" max="4" width="3" customWidth="1"/>
    <col min="5" max="5" width="26" customWidth="1"/>
    <col min="6" max="6" width="20" customWidth="1"/>
    <col min="7" max="7" width="3" customWidth="1"/>
    <col min="8" max="8" width="26" customWidth="1"/>
    <col min="9" max="9" width="20" customWidth="1"/>
    <col min="10" max="10" width="3" customWidth="1"/>
  </cols>
  <sheetData>
    <row r="1" spans="1:10" ht="37.950000000000003" customHeight="1" x14ac:dyDescent="0.3">
      <c r="A1" s="238" t="s">
        <v>0</v>
      </c>
      <c r="B1" s="198"/>
      <c r="C1" s="198"/>
      <c r="D1" s="198"/>
      <c r="E1" s="198"/>
      <c r="F1" s="198"/>
      <c r="G1" s="198"/>
      <c r="H1" s="198"/>
      <c r="I1" s="198"/>
      <c r="J1" s="198"/>
    </row>
    <row r="2" spans="1:10" ht="18" customHeight="1" x14ac:dyDescent="0.3">
      <c r="A2" s="225" t="s">
        <v>1</v>
      </c>
      <c r="B2" s="198"/>
      <c r="C2" s="198"/>
      <c r="D2" s="198"/>
      <c r="E2" s="198"/>
      <c r="F2" s="198"/>
      <c r="G2" s="198"/>
      <c r="H2" s="198"/>
      <c r="I2" s="198"/>
      <c r="J2" s="198"/>
    </row>
    <row r="3" spans="1:10" ht="7.95" customHeight="1" x14ac:dyDescent="0.3"/>
    <row r="4" spans="1:10" ht="28.05" customHeight="1" x14ac:dyDescent="0.3">
      <c r="A4" s="213" t="s">
        <v>2</v>
      </c>
      <c r="B4" s="198"/>
      <c r="C4" s="198"/>
      <c r="D4" s="198"/>
      <c r="E4" s="198"/>
      <c r="F4" s="198"/>
      <c r="G4" s="198"/>
      <c r="H4" s="198"/>
      <c r="I4" s="198"/>
      <c r="J4" s="198"/>
    </row>
    <row r="5" spans="1:10" ht="24" customHeight="1" x14ac:dyDescent="0.3">
      <c r="A5" s="169" t="s">
        <v>3</v>
      </c>
      <c r="B5" s="230" t="s">
        <v>4</v>
      </c>
      <c r="C5" s="198"/>
      <c r="D5" s="198"/>
      <c r="E5" s="198"/>
      <c r="F5" s="198"/>
      <c r="G5" s="198"/>
      <c r="H5" s="198"/>
      <c r="I5" s="198"/>
      <c r="J5" s="198"/>
    </row>
    <row r="6" spans="1:10" ht="43.95" customHeight="1" x14ac:dyDescent="0.3">
      <c r="A6" s="170"/>
      <c r="B6" s="217" t="s">
        <v>5</v>
      </c>
      <c r="C6" s="198"/>
      <c r="D6" s="198"/>
      <c r="E6" s="198"/>
      <c r="F6" s="198"/>
      <c r="G6" s="198"/>
      <c r="H6" s="198"/>
      <c r="I6" s="198"/>
      <c r="J6" s="198"/>
    </row>
    <row r="7" spans="1:10" ht="24" customHeight="1" x14ac:dyDescent="0.3">
      <c r="A7" s="171" t="s">
        <v>6</v>
      </c>
      <c r="B7" s="224" t="s">
        <v>7</v>
      </c>
      <c r="C7" s="198"/>
      <c r="D7" s="198"/>
      <c r="E7" s="198"/>
      <c r="F7" s="198"/>
      <c r="G7" s="198"/>
      <c r="H7" s="198"/>
      <c r="I7" s="198"/>
      <c r="J7" s="198"/>
    </row>
    <row r="8" spans="1:10" ht="43.95" customHeight="1" x14ac:dyDescent="0.3">
      <c r="A8" s="172"/>
      <c r="B8" s="235" t="s">
        <v>8</v>
      </c>
      <c r="C8" s="198"/>
      <c r="D8" s="198"/>
      <c r="E8" s="198"/>
      <c r="F8" s="198"/>
      <c r="G8" s="198"/>
      <c r="H8" s="198"/>
      <c r="I8" s="198"/>
      <c r="J8" s="198"/>
    </row>
    <row r="9" spans="1:10" ht="24" customHeight="1" x14ac:dyDescent="0.3">
      <c r="A9" s="173" t="s">
        <v>9</v>
      </c>
      <c r="B9" s="229" t="s">
        <v>10</v>
      </c>
      <c r="C9" s="198"/>
      <c r="D9" s="198"/>
      <c r="E9" s="198"/>
      <c r="F9" s="198"/>
      <c r="G9" s="198"/>
      <c r="H9" s="198"/>
      <c r="I9" s="198"/>
      <c r="J9" s="198"/>
    </row>
    <row r="10" spans="1:10" ht="43.95" customHeight="1" x14ac:dyDescent="0.3">
      <c r="A10" s="174"/>
      <c r="B10" s="217" t="s">
        <v>11</v>
      </c>
      <c r="C10" s="198"/>
      <c r="D10" s="198"/>
      <c r="E10" s="198"/>
      <c r="F10" s="198"/>
      <c r="G10" s="198"/>
      <c r="H10" s="198"/>
      <c r="I10" s="198"/>
      <c r="J10" s="198"/>
    </row>
    <row r="11" spans="1:10" ht="24" customHeight="1" x14ac:dyDescent="0.3">
      <c r="A11" s="175" t="s">
        <v>12</v>
      </c>
      <c r="B11" s="212" t="s">
        <v>13</v>
      </c>
      <c r="C11" s="198"/>
      <c r="D11" s="198"/>
      <c r="E11" s="198"/>
      <c r="F11" s="198"/>
      <c r="G11" s="198"/>
      <c r="H11" s="198"/>
      <c r="I11" s="198"/>
      <c r="J11" s="198"/>
    </row>
    <row r="12" spans="1:10" ht="43.95" customHeight="1" x14ac:dyDescent="0.3">
      <c r="A12" s="176"/>
      <c r="B12" s="237" t="s">
        <v>14</v>
      </c>
      <c r="C12" s="198"/>
      <c r="D12" s="198"/>
      <c r="E12" s="198"/>
      <c r="F12" s="198"/>
      <c r="G12" s="198"/>
      <c r="H12" s="198"/>
      <c r="I12" s="198"/>
      <c r="J12" s="198"/>
    </row>
    <row r="13" spans="1:10" ht="24" customHeight="1" x14ac:dyDescent="0.3">
      <c r="A13" s="177" t="s">
        <v>15</v>
      </c>
      <c r="B13" s="204" t="s">
        <v>16</v>
      </c>
      <c r="C13" s="198"/>
      <c r="D13" s="198"/>
      <c r="E13" s="198"/>
      <c r="F13" s="198"/>
      <c r="G13" s="198"/>
      <c r="H13" s="198"/>
      <c r="I13" s="198"/>
      <c r="J13" s="198"/>
    </row>
    <row r="14" spans="1:10" ht="43.95" customHeight="1" x14ac:dyDescent="0.3">
      <c r="A14" s="178"/>
      <c r="B14" s="200" t="s">
        <v>17</v>
      </c>
      <c r="C14" s="198"/>
      <c r="D14" s="198"/>
      <c r="E14" s="198"/>
      <c r="F14" s="198"/>
      <c r="G14" s="198"/>
      <c r="H14" s="198"/>
      <c r="I14" s="198"/>
      <c r="J14" s="198"/>
    </row>
    <row r="15" spans="1:10" ht="10.050000000000001" customHeight="1" x14ac:dyDescent="0.3"/>
    <row r="16" spans="1:10" ht="22.05" customHeight="1" x14ac:dyDescent="0.3">
      <c r="A16" s="221" t="s">
        <v>18</v>
      </c>
      <c r="B16" s="198"/>
      <c r="C16" s="198"/>
      <c r="D16" s="198"/>
      <c r="E16" s="198"/>
      <c r="F16" s="198"/>
      <c r="G16" s="198"/>
      <c r="H16" s="198"/>
      <c r="I16" s="198"/>
      <c r="J16" s="198"/>
    </row>
    <row r="17" spans="1:10" ht="22.05" customHeight="1" x14ac:dyDescent="0.3">
      <c r="B17" s="218" t="s">
        <v>19</v>
      </c>
      <c r="C17" s="198"/>
      <c r="E17" s="218" t="s">
        <v>20</v>
      </c>
      <c r="F17" s="198"/>
      <c r="H17" s="218" t="s">
        <v>21</v>
      </c>
      <c r="I17" s="198"/>
    </row>
    <row r="18" spans="1:10" ht="34.049999999999997" customHeight="1" x14ac:dyDescent="0.3">
      <c r="B18" s="208">
        <f>'Cash Flow Model'!B23</f>
        <v>780211044.76658356</v>
      </c>
      <c r="C18" s="198"/>
      <c r="E18" s="226">
        <f>'Cash Flow Model'!B24</f>
        <v>107.87189094028626</v>
      </c>
      <c r="F18" s="198"/>
      <c r="H18" s="241">
        <f>'Cash Flow Model'!B25</f>
        <v>9.2834534446814207E-3</v>
      </c>
      <c r="I18" s="198"/>
    </row>
    <row r="19" spans="1:10" ht="19.95" customHeight="1" x14ac:dyDescent="0.3">
      <c r="B19" s="220" t="s">
        <v>22</v>
      </c>
      <c r="C19" s="198"/>
      <c r="E19" s="220" t="s">
        <v>23</v>
      </c>
      <c r="F19" s="198"/>
      <c r="H19" s="220" t="s">
        <v>24</v>
      </c>
      <c r="I19" s="198"/>
    </row>
    <row r="20" spans="1:10" ht="7.95" customHeight="1" x14ac:dyDescent="0.3"/>
    <row r="21" spans="1:10" ht="22.05" customHeight="1" x14ac:dyDescent="0.3">
      <c r="B21" s="199" t="s">
        <v>25</v>
      </c>
      <c r="C21" s="198"/>
      <c r="E21" s="199" t="s">
        <v>26</v>
      </c>
      <c r="F21" s="198"/>
      <c r="H21" s="228" t="s">
        <v>27</v>
      </c>
      <c r="I21" s="198"/>
    </row>
    <row r="22" spans="1:10" ht="34.049999999999997" customHeight="1" x14ac:dyDescent="0.3">
      <c r="B22" s="201">
        <f>'Cash Flow Model'!B26</f>
        <v>1057753503.7773436</v>
      </c>
      <c r="C22" s="198"/>
      <c r="E22" s="209">
        <f>'Cash Flow Model'!B27</f>
        <v>730.48517501885772</v>
      </c>
      <c r="F22" s="198"/>
      <c r="H22" s="231">
        <f>Inputs!C15+Inputs!C18</f>
        <v>1450000</v>
      </c>
      <c r="I22" s="198"/>
    </row>
    <row r="23" spans="1:10" ht="19.95" customHeight="1" x14ac:dyDescent="0.3">
      <c r="B23" s="202" t="s">
        <v>28</v>
      </c>
      <c r="C23" s="198"/>
      <c r="E23" s="202" t="s">
        <v>29</v>
      </c>
      <c r="F23" s="198"/>
      <c r="H23" s="210" t="s">
        <v>30</v>
      </c>
      <c r="I23" s="198"/>
    </row>
    <row r="24" spans="1:10" ht="10.050000000000001" customHeight="1" x14ac:dyDescent="0.3"/>
    <row r="25" spans="1:10" ht="22.05" customHeight="1" x14ac:dyDescent="0.3">
      <c r="A25" s="222" t="s">
        <v>31</v>
      </c>
      <c r="B25" s="198"/>
      <c r="C25" s="198"/>
      <c r="D25" s="198"/>
      <c r="E25" s="198"/>
      <c r="F25" s="198"/>
      <c r="G25" s="198"/>
      <c r="H25" s="198"/>
      <c r="I25" s="198"/>
      <c r="J25" s="198"/>
    </row>
    <row r="26" spans="1:10" ht="22.05" customHeight="1" x14ac:dyDescent="0.3">
      <c r="B26" s="199" t="s">
        <v>32</v>
      </c>
      <c r="C26" s="198"/>
      <c r="E26" s="218" t="s">
        <v>33</v>
      </c>
      <c r="F26" s="198"/>
      <c r="H26" s="199" t="s">
        <v>34</v>
      </c>
      <c r="I26" s="198"/>
    </row>
    <row r="27" spans="1:10" ht="34.049999999999997" customHeight="1" x14ac:dyDescent="0.3">
      <c r="B27" s="214">
        <f ca="1">'Monte Carlo'!B1028</f>
        <v>1</v>
      </c>
      <c r="C27" s="198"/>
      <c r="E27" s="208">
        <f ca="1">'Monte Carlo'!B1021</f>
        <v>278145308.20897961</v>
      </c>
      <c r="F27" s="198"/>
      <c r="H27" s="214">
        <f ca="1">'Monte Carlo'!C1029</f>
        <v>1</v>
      </c>
      <c r="I27" s="198"/>
    </row>
    <row r="28" spans="1:10" ht="19.95" customHeight="1" x14ac:dyDescent="0.3">
      <c r="B28" s="202" t="s">
        <v>35</v>
      </c>
      <c r="C28" s="198"/>
      <c r="E28" s="220" t="s">
        <v>36</v>
      </c>
      <c r="F28" s="198"/>
      <c r="H28" s="202" t="s">
        <v>37</v>
      </c>
      <c r="I28" s="198"/>
    </row>
    <row r="29" spans="1:10" ht="7.95" customHeight="1" x14ac:dyDescent="0.3"/>
    <row r="30" spans="1:10" ht="22.05" customHeight="1" x14ac:dyDescent="0.3">
      <c r="B30" s="232" t="s">
        <v>38</v>
      </c>
      <c r="C30" s="198"/>
      <c r="E30" s="199" t="s">
        <v>39</v>
      </c>
      <c r="F30" s="198"/>
      <c r="H30" s="234" t="s">
        <v>40</v>
      </c>
      <c r="I30" s="198"/>
    </row>
    <row r="31" spans="1:10" ht="34.049999999999997" customHeight="1" x14ac:dyDescent="0.3">
      <c r="B31" s="203">
        <f ca="1">'Monte Carlo'!B1023</f>
        <v>212803905.74639857</v>
      </c>
      <c r="C31" s="198"/>
      <c r="E31" s="201">
        <f ca="1">'Monte Carlo'!B1024</f>
        <v>349763282.19896591</v>
      </c>
      <c r="F31" s="198"/>
      <c r="H31" s="227">
        <f ca="1">'Monte Carlo'!B1027-'Monte Carlo'!B1026</f>
        <v>297925729.73990226</v>
      </c>
      <c r="I31" s="198"/>
    </row>
    <row r="32" spans="1:10" ht="19.95" customHeight="1" x14ac:dyDescent="0.3">
      <c r="B32" s="211" t="s">
        <v>41</v>
      </c>
      <c r="C32" s="198"/>
      <c r="E32" s="202" t="s">
        <v>42</v>
      </c>
      <c r="F32" s="198"/>
      <c r="H32" s="240" t="s">
        <v>43</v>
      </c>
      <c r="I32" s="198"/>
    </row>
    <row r="33" spans="1:10" ht="10.050000000000001" customHeight="1" x14ac:dyDescent="0.3"/>
    <row r="34" spans="1:10" ht="22.05" customHeight="1" x14ac:dyDescent="0.3">
      <c r="A34" s="205" t="s">
        <v>44</v>
      </c>
      <c r="B34" s="198"/>
      <c r="C34" s="198"/>
      <c r="D34" s="198"/>
      <c r="E34" s="198"/>
      <c r="F34" s="198"/>
      <c r="G34" s="198"/>
      <c r="H34" s="198"/>
      <c r="I34" s="198"/>
      <c r="J34" s="198"/>
    </row>
    <row r="35" spans="1:10" ht="22.05" customHeight="1" x14ac:dyDescent="0.3">
      <c r="B35" s="199" t="s">
        <v>45</v>
      </c>
      <c r="C35" s="198"/>
      <c r="E35" s="199" t="s">
        <v>46</v>
      </c>
      <c r="F35" s="198"/>
      <c r="H35" s="199" t="s">
        <v>47</v>
      </c>
      <c r="I35" s="198"/>
    </row>
    <row r="36" spans="1:10" ht="25.95" customHeight="1" x14ac:dyDescent="0.3">
      <c r="B36" s="179" t="s">
        <v>48</v>
      </c>
      <c r="C36" s="180" t="s">
        <v>49</v>
      </c>
      <c r="E36" s="179" t="s">
        <v>48</v>
      </c>
      <c r="F36" s="180" t="s">
        <v>50</v>
      </c>
      <c r="H36" s="179" t="s">
        <v>48</v>
      </c>
      <c r="I36" s="180" t="s">
        <v>51</v>
      </c>
    </row>
    <row r="37" spans="1:10" ht="28.05" customHeight="1" x14ac:dyDescent="0.3">
      <c r="B37" s="158" t="s">
        <v>52</v>
      </c>
      <c r="C37" s="159" t="s">
        <v>53</v>
      </c>
      <c r="E37" s="158" t="s">
        <v>52</v>
      </c>
      <c r="F37" s="159" t="s">
        <v>54</v>
      </c>
      <c r="H37" s="158" t="s">
        <v>52</v>
      </c>
      <c r="I37" s="159" t="s">
        <v>55</v>
      </c>
    </row>
    <row r="38" spans="1:10" ht="18" customHeight="1" x14ac:dyDescent="0.3">
      <c r="B38" s="207" t="s">
        <v>56</v>
      </c>
      <c r="C38" s="198"/>
      <c r="E38" s="207" t="s">
        <v>57</v>
      </c>
      <c r="F38" s="198"/>
      <c r="H38" s="207" t="s">
        <v>57</v>
      </c>
      <c r="I38" s="198"/>
    </row>
    <row r="39" spans="1:10" ht="7.95" customHeight="1" x14ac:dyDescent="0.3"/>
    <row r="40" spans="1:10" ht="22.05" customHeight="1" x14ac:dyDescent="0.3">
      <c r="B40" s="199" t="s">
        <v>58</v>
      </c>
      <c r="C40" s="198"/>
      <c r="E40" s="199" t="s">
        <v>59</v>
      </c>
      <c r="F40" s="198"/>
      <c r="H40" s="199" t="s">
        <v>60</v>
      </c>
      <c r="I40" s="198"/>
    </row>
    <row r="41" spans="1:10" ht="25.95" customHeight="1" x14ac:dyDescent="0.3">
      <c r="B41" s="179" t="s">
        <v>48</v>
      </c>
      <c r="C41" s="180" t="s">
        <v>61</v>
      </c>
      <c r="E41" s="179" t="s">
        <v>48</v>
      </c>
      <c r="F41" s="180" t="s">
        <v>62</v>
      </c>
      <c r="H41" s="179" t="s">
        <v>48</v>
      </c>
      <c r="I41" s="180" t="s">
        <v>63</v>
      </c>
    </row>
    <row r="42" spans="1:10" ht="28.05" customHeight="1" x14ac:dyDescent="0.3">
      <c r="B42" s="158" t="s">
        <v>52</v>
      </c>
      <c r="C42" s="159" t="s">
        <v>64</v>
      </c>
      <c r="E42" s="158" t="s">
        <v>52</v>
      </c>
      <c r="F42" s="159" t="s">
        <v>65</v>
      </c>
      <c r="H42" s="158" t="s">
        <v>52</v>
      </c>
      <c r="I42" s="159" t="s">
        <v>66</v>
      </c>
    </row>
    <row r="43" spans="1:10" ht="18" customHeight="1" x14ac:dyDescent="0.3">
      <c r="B43" s="207" t="s">
        <v>67</v>
      </c>
      <c r="C43" s="198"/>
      <c r="E43" s="207" t="s">
        <v>68</v>
      </c>
      <c r="F43" s="198"/>
      <c r="H43" s="207" t="s">
        <v>69</v>
      </c>
      <c r="I43" s="198"/>
    </row>
    <row r="44" spans="1:10" ht="10.050000000000001" customHeight="1" x14ac:dyDescent="0.3"/>
    <row r="45" spans="1:10" ht="22.05" customHeight="1" x14ac:dyDescent="0.3">
      <c r="A45" s="239" t="s">
        <v>70</v>
      </c>
      <c r="B45" s="198"/>
      <c r="C45" s="198"/>
      <c r="D45" s="198"/>
      <c r="E45" s="198"/>
      <c r="F45" s="198"/>
      <c r="G45" s="198"/>
      <c r="H45" s="198"/>
      <c r="I45" s="198"/>
      <c r="J45" s="198"/>
    </row>
    <row r="46" spans="1:10" ht="25.95" customHeight="1" x14ac:dyDescent="0.3">
      <c r="A46" s="223" t="s">
        <v>71</v>
      </c>
      <c r="B46" s="198"/>
      <c r="C46" s="198"/>
      <c r="D46" s="198"/>
      <c r="E46" s="215" t="s">
        <v>72</v>
      </c>
      <c r="F46" s="198"/>
      <c r="G46" s="198"/>
      <c r="H46" s="215" t="s">
        <v>73</v>
      </c>
      <c r="I46" s="198"/>
      <c r="J46" s="198"/>
    </row>
    <row r="47" spans="1:10" ht="25.95" customHeight="1" x14ac:dyDescent="0.3">
      <c r="A47" s="242" t="s">
        <v>74</v>
      </c>
      <c r="B47" s="198"/>
      <c r="C47" s="198"/>
      <c r="D47" s="198"/>
      <c r="E47" s="219" t="s">
        <v>75</v>
      </c>
      <c r="F47" s="198"/>
      <c r="G47" s="198"/>
      <c r="H47" s="219" t="s">
        <v>73</v>
      </c>
      <c r="I47" s="198"/>
      <c r="J47" s="198"/>
    </row>
    <row r="48" spans="1:10" ht="25.95" customHeight="1" x14ac:dyDescent="0.3">
      <c r="A48" s="216" t="s">
        <v>76</v>
      </c>
      <c r="B48" s="198"/>
      <c r="C48" s="198"/>
      <c r="D48" s="198"/>
      <c r="E48" s="236" t="s">
        <v>77</v>
      </c>
      <c r="F48" s="198"/>
      <c r="G48" s="198"/>
      <c r="H48" s="236" t="s">
        <v>78</v>
      </c>
      <c r="I48" s="198"/>
      <c r="J48" s="198"/>
    </row>
    <row r="49" spans="1:10" ht="30" customHeight="1" x14ac:dyDescent="0.3">
      <c r="A49" s="206" t="s">
        <v>79</v>
      </c>
      <c r="B49" s="198"/>
      <c r="C49" s="198"/>
      <c r="D49" s="198"/>
      <c r="E49" s="198"/>
      <c r="F49" s="198"/>
      <c r="G49" s="198"/>
      <c r="H49" s="198"/>
      <c r="I49" s="198"/>
      <c r="J49" s="198"/>
    </row>
    <row r="50" spans="1:10" ht="10.050000000000001" customHeight="1" x14ac:dyDescent="0.3"/>
    <row r="51" spans="1:10" ht="22.05" customHeight="1" x14ac:dyDescent="0.3">
      <c r="A51" s="205" t="s">
        <v>80</v>
      </c>
      <c r="B51" s="198"/>
      <c r="C51" s="198"/>
      <c r="D51" s="198"/>
      <c r="E51" s="198"/>
      <c r="F51" s="198"/>
      <c r="G51" s="198"/>
      <c r="H51" s="198"/>
      <c r="I51" s="198"/>
      <c r="J51" s="198"/>
    </row>
    <row r="52" spans="1:10" ht="24" customHeight="1" x14ac:dyDescent="0.3">
      <c r="B52" s="199" t="s">
        <v>81</v>
      </c>
      <c r="C52" s="198"/>
      <c r="E52" s="199" t="s">
        <v>82</v>
      </c>
      <c r="F52" s="198"/>
      <c r="H52" s="199" t="s">
        <v>83</v>
      </c>
      <c r="I52" s="198"/>
    </row>
    <row r="53" spans="1:10" ht="31.95" customHeight="1" x14ac:dyDescent="0.3">
      <c r="B53" s="197" t="s">
        <v>84</v>
      </c>
      <c r="C53" s="198"/>
      <c r="E53" s="197" t="s">
        <v>85</v>
      </c>
      <c r="F53" s="198"/>
      <c r="H53" s="197" t="s">
        <v>86</v>
      </c>
      <c r="I53" s="198"/>
    </row>
    <row r="54" spans="1:10" ht="18" customHeight="1" x14ac:dyDescent="0.3">
      <c r="B54" s="202" t="s">
        <v>87</v>
      </c>
      <c r="C54" s="198"/>
      <c r="E54" s="202" t="s">
        <v>88</v>
      </c>
      <c r="F54" s="198"/>
      <c r="H54" s="202" t="s">
        <v>89</v>
      </c>
      <c r="I54" s="198"/>
    </row>
    <row r="55" spans="1:10" ht="10.050000000000001" customHeight="1" x14ac:dyDescent="0.3"/>
    <row r="56" spans="1:10" ht="19.95" customHeight="1" x14ac:dyDescent="0.3">
      <c r="A56" s="233" t="s">
        <v>90</v>
      </c>
      <c r="B56" s="198"/>
      <c r="C56" s="198"/>
      <c r="D56" s="198"/>
      <c r="E56" s="198"/>
      <c r="F56" s="198"/>
      <c r="G56" s="198"/>
      <c r="H56" s="198"/>
      <c r="I56" s="198"/>
      <c r="J56" s="198"/>
    </row>
  </sheetData>
  <mergeCells count="86">
    <mergeCell ref="A1:J1"/>
    <mergeCell ref="A45:J45"/>
    <mergeCell ref="E30:F30"/>
    <mergeCell ref="H32:I32"/>
    <mergeCell ref="H27:I27"/>
    <mergeCell ref="H18:I18"/>
    <mergeCell ref="E21:F21"/>
    <mergeCell ref="H26:I26"/>
    <mergeCell ref="E54:F54"/>
    <mergeCell ref="E32:F32"/>
    <mergeCell ref="A56:J56"/>
    <mergeCell ref="H30:I30"/>
    <mergeCell ref="E43:F43"/>
    <mergeCell ref="E35:F35"/>
    <mergeCell ref="H48:J48"/>
    <mergeCell ref="E48:G48"/>
    <mergeCell ref="A47:D47"/>
    <mergeCell ref="B5:J5"/>
    <mergeCell ref="B19:C19"/>
    <mergeCell ref="B28:C28"/>
    <mergeCell ref="H22:I22"/>
    <mergeCell ref="B30:C30"/>
    <mergeCell ref="B8:J8"/>
    <mergeCell ref="E17:F17"/>
    <mergeCell ref="B10:J10"/>
    <mergeCell ref="E19:F19"/>
    <mergeCell ref="B23:C23"/>
    <mergeCell ref="E28:F28"/>
    <mergeCell ref="B12:J12"/>
    <mergeCell ref="B7:J7"/>
    <mergeCell ref="A2:J2"/>
    <mergeCell ref="E18:F18"/>
    <mergeCell ref="H46:J46"/>
    <mergeCell ref="B54:C54"/>
    <mergeCell ref="H38:I38"/>
    <mergeCell ref="H43:I43"/>
    <mergeCell ref="E52:F52"/>
    <mergeCell ref="H31:I31"/>
    <mergeCell ref="H40:I40"/>
    <mergeCell ref="B43:C43"/>
    <mergeCell ref="B52:C52"/>
    <mergeCell ref="H21:I21"/>
    <mergeCell ref="H47:J47"/>
    <mergeCell ref="B9:J9"/>
    <mergeCell ref="B17:C17"/>
    <mergeCell ref="B11:J11"/>
    <mergeCell ref="H54:I54"/>
    <mergeCell ref="A4:J4"/>
    <mergeCell ref="B18:C18"/>
    <mergeCell ref="B27:C27"/>
    <mergeCell ref="E46:G46"/>
    <mergeCell ref="E38:F38"/>
    <mergeCell ref="A48:D48"/>
    <mergeCell ref="E40:F40"/>
    <mergeCell ref="B6:J6"/>
    <mergeCell ref="B53:C53"/>
    <mergeCell ref="H17:I17"/>
    <mergeCell ref="E47:G47"/>
    <mergeCell ref="H19:I19"/>
    <mergeCell ref="A16:J16"/>
    <mergeCell ref="H28:I28"/>
    <mergeCell ref="B13:J13"/>
    <mergeCell ref="B21:C21"/>
    <mergeCell ref="A34:J34"/>
    <mergeCell ref="H52:I52"/>
    <mergeCell ref="A49:J49"/>
    <mergeCell ref="B38:C38"/>
    <mergeCell ref="E27:F27"/>
    <mergeCell ref="B40:C40"/>
    <mergeCell ref="E22:F22"/>
    <mergeCell ref="H23:I23"/>
    <mergeCell ref="B32:C32"/>
    <mergeCell ref="B26:C26"/>
    <mergeCell ref="B35:C35"/>
    <mergeCell ref="E26:F26"/>
    <mergeCell ref="A25:J25"/>
    <mergeCell ref="A46:D46"/>
    <mergeCell ref="H53:I53"/>
    <mergeCell ref="H35:I35"/>
    <mergeCell ref="B14:J14"/>
    <mergeCell ref="B22:C22"/>
    <mergeCell ref="E23:F23"/>
    <mergeCell ref="B31:C31"/>
    <mergeCell ref="E53:F53"/>
    <mergeCell ref="E31:F31"/>
    <mergeCell ref="A51:J5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4"/>
  <sheetViews>
    <sheetView workbookViewId="0"/>
  </sheetViews>
  <sheetFormatPr defaultRowHeight="14.4" x14ac:dyDescent="0.3"/>
  <cols>
    <col min="1" max="1" width="4" customWidth="1"/>
    <col min="2" max="2" width="110" customWidth="1"/>
    <col min="3" max="3" width="4" customWidth="1"/>
  </cols>
  <sheetData>
    <row r="1" spans="1:3" ht="40.049999999999997" customHeight="1" x14ac:dyDescent="0.3">
      <c r="A1" s="260" t="s">
        <v>91</v>
      </c>
      <c r="B1" s="198"/>
      <c r="C1" s="198"/>
    </row>
    <row r="2" spans="1:3" ht="19.95" customHeight="1" x14ac:dyDescent="0.3">
      <c r="A2" s="253" t="s">
        <v>92</v>
      </c>
      <c r="B2" s="198"/>
      <c r="C2" s="198"/>
    </row>
    <row r="3" spans="1:3" ht="19.95" customHeight="1" x14ac:dyDescent="0.3">
      <c r="A3" s="251" t="s">
        <v>93</v>
      </c>
      <c r="B3" s="198"/>
      <c r="C3" s="198"/>
    </row>
    <row r="4" spans="1:3" ht="19.95" customHeight="1" x14ac:dyDescent="0.3">
      <c r="A4" s="253" t="s">
        <v>94</v>
      </c>
      <c r="B4" s="198"/>
      <c r="C4" s="198"/>
    </row>
    <row r="5" spans="1:3" ht="19.95" customHeight="1" x14ac:dyDescent="0.3">
      <c r="A5" s="251" t="s">
        <v>95</v>
      </c>
      <c r="B5" s="198"/>
      <c r="C5" s="198"/>
    </row>
    <row r="6" spans="1:3" ht="19.95" customHeight="1" x14ac:dyDescent="0.3">
      <c r="A6" s="250" t="s">
        <v>96</v>
      </c>
      <c r="B6" s="198"/>
      <c r="C6" s="198"/>
    </row>
    <row r="7" spans="1:3" ht="4.05" customHeight="1" x14ac:dyDescent="0.3">
      <c r="A7" s="255"/>
      <c r="B7" s="198"/>
      <c r="C7" s="198"/>
    </row>
    <row r="8" spans="1:3" ht="25.95" customHeight="1" x14ac:dyDescent="0.3">
      <c r="A8" s="258" t="s">
        <v>97</v>
      </c>
      <c r="B8" s="198"/>
      <c r="C8" s="198"/>
    </row>
    <row r="9" spans="1:3" ht="79.95" customHeight="1" x14ac:dyDescent="0.3">
      <c r="A9" s="244" t="s">
        <v>98</v>
      </c>
      <c r="B9" s="198"/>
      <c r="C9" s="198"/>
    </row>
    <row r="10" spans="1:3" ht="7.95" customHeight="1" x14ac:dyDescent="0.3">
      <c r="A10" s="248"/>
      <c r="B10" s="198"/>
      <c r="C10" s="198"/>
    </row>
    <row r="11" spans="1:3" ht="25.95" customHeight="1" x14ac:dyDescent="0.3">
      <c r="A11" s="258" t="s">
        <v>99</v>
      </c>
      <c r="B11" s="198"/>
      <c r="C11" s="198"/>
    </row>
    <row r="12" spans="1:3" ht="70.05" customHeight="1" x14ac:dyDescent="0.3">
      <c r="A12" s="252" t="s">
        <v>100</v>
      </c>
      <c r="B12" s="198"/>
      <c r="C12" s="198"/>
    </row>
    <row r="13" spans="1:3" ht="19.95" customHeight="1" x14ac:dyDescent="0.3">
      <c r="A13" s="252"/>
      <c r="B13" s="198"/>
      <c r="C13" s="198"/>
    </row>
    <row r="14" spans="1:3" ht="79.95" customHeight="1" x14ac:dyDescent="0.3">
      <c r="A14" s="252" t="s">
        <v>101</v>
      </c>
      <c r="B14" s="198"/>
      <c r="C14" s="198"/>
    </row>
    <row r="15" spans="1:3" ht="19.95" customHeight="1" x14ac:dyDescent="0.3">
      <c r="A15" s="252"/>
      <c r="B15" s="198"/>
      <c r="C15" s="198"/>
    </row>
    <row r="16" spans="1:3" ht="79.95" customHeight="1" x14ac:dyDescent="0.3">
      <c r="A16" s="252" t="s">
        <v>102</v>
      </c>
      <c r="B16" s="198"/>
      <c r="C16" s="198"/>
    </row>
    <row r="17" spans="1:3" ht="7.95" customHeight="1" x14ac:dyDescent="0.3">
      <c r="A17" s="248"/>
      <c r="B17" s="198"/>
      <c r="C17" s="198"/>
    </row>
    <row r="18" spans="1:3" ht="25.95" customHeight="1" x14ac:dyDescent="0.3">
      <c r="A18" s="257" t="s">
        <v>103</v>
      </c>
      <c r="B18" s="198"/>
      <c r="C18" s="198"/>
    </row>
    <row r="19" spans="1:3" ht="79.95" customHeight="1" x14ac:dyDescent="0.3">
      <c r="A19" s="245" t="s">
        <v>104</v>
      </c>
      <c r="B19" s="198"/>
      <c r="C19" s="198"/>
    </row>
    <row r="20" spans="1:3" ht="19.95" customHeight="1" x14ac:dyDescent="0.3">
      <c r="A20" s="245"/>
      <c r="B20" s="198"/>
      <c r="C20" s="198"/>
    </row>
    <row r="21" spans="1:3" ht="37.950000000000003" customHeight="1" x14ac:dyDescent="0.3">
      <c r="A21" s="245" t="s">
        <v>105</v>
      </c>
      <c r="B21" s="198"/>
      <c r="C21" s="198"/>
    </row>
    <row r="22" spans="1:3" ht="34.950000000000003" customHeight="1" x14ac:dyDescent="0.3">
      <c r="A22" s="245" t="s">
        <v>106</v>
      </c>
      <c r="B22" s="198"/>
      <c r="C22" s="198"/>
    </row>
    <row r="23" spans="1:3" ht="28.95" customHeight="1" x14ac:dyDescent="0.3">
      <c r="A23" s="245" t="s">
        <v>107</v>
      </c>
      <c r="B23" s="198"/>
      <c r="C23" s="198"/>
    </row>
    <row r="24" spans="1:3" ht="40.049999999999997" customHeight="1" x14ac:dyDescent="0.3">
      <c r="A24" s="245" t="s">
        <v>108</v>
      </c>
      <c r="B24" s="198"/>
      <c r="C24" s="198"/>
    </row>
    <row r="25" spans="1:3" ht="19.95" customHeight="1" x14ac:dyDescent="0.3">
      <c r="A25" s="245"/>
      <c r="B25" s="198"/>
      <c r="C25" s="198"/>
    </row>
    <row r="26" spans="1:3" ht="79.95" customHeight="1" x14ac:dyDescent="0.3">
      <c r="A26" s="245" t="s">
        <v>109</v>
      </c>
      <c r="B26" s="198"/>
      <c r="C26" s="198"/>
    </row>
    <row r="27" spans="1:3" ht="7.95" customHeight="1" x14ac:dyDescent="0.3">
      <c r="A27" s="248"/>
      <c r="B27" s="198"/>
      <c r="C27" s="198"/>
    </row>
    <row r="28" spans="1:3" ht="25.95" customHeight="1" x14ac:dyDescent="0.3">
      <c r="A28" s="258" t="s">
        <v>110</v>
      </c>
      <c r="B28" s="198"/>
      <c r="C28" s="198"/>
    </row>
    <row r="29" spans="1:3" ht="76.05" customHeight="1" x14ac:dyDescent="0.3">
      <c r="A29" s="244" t="s">
        <v>111</v>
      </c>
      <c r="B29" s="198"/>
      <c r="C29" s="198"/>
    </row>
    <row r="30" spans="1:3" ht="19.95" customHeight="1" x14ac:dyDescent="0.3">
      <c r="A30" s="244"/>
      <c r="B30" s="198"/>
      <c r="C30" s="198"/>
    </row>
    <row r="31" spans="1:3" ht="36" customHeight="1" x14ac:dyDescent="0.3">
      <c r="A31" s="244" t="s">
        <v>112</v>
      </c>
      <c r="B31" s="198"/>
      <c r="C31" s="198"/>
    </row>
    <row r="32" spans="1:3" ht="36" customHeight="1" x14ac:dyDescent="0.3">
      <c r="A32" s="244" t="s">
        <v>113</v>
      </c>
      <c r="B32" s="198"/>
      <c r="C32" s="198"/>
    </row>
    <row r="33" spans="1:3" ht="37.950000000000003" customHeight="1" x14ac:dyDescent="0.3">
      <c r="A33" s="244" t="s">
        <v>114</v>
      </c>
      <c r="B33" s="198"/>
      <c r="C33" s="198"/>
    </row>
    <row r="34" spans="1:3" ht="37.049999999999997" customHeight="1" x14ac:dyDescent="0.3">
      <c r="A34" s="244" t="s">
        <v>115</v>
      </c>
      <c r="B34" s="198"/>
      <c r="C34" s="198"/>
    </row>
    <row r="35" spans="1:3" ht="34.950000000000003" customHeight="1" x14ac:dyDescent="0.3">
      <c r="A35" s="244" t="s">
        <v>116</v>
      </c>
      <c r="B35" s="198"/>
      <c r="C35" s="198"/>
    </row>
    <row r="36" spans="1:3" ht="34.950000000000003" customHeight="1" x14ac:dyDescent="0.3">
      <c r="A36" s="244" t="s">
        <v>117</v>
      </c>
      <c r="B36" s="198"/>
      <c r="C36" s="198"/>
    </row>
    <row r="37" spans="1:3" ht="43.05" customHeight="1" x14ac:dyDescent="0.3">
      <c r="A37" s="244" t="s">
        <v>118</v>
      </c>
      <c r="B37" s="198"/>
      <c r="C37" s="198"/>
    </row>
    <row r="38" spans="1:3" ht="7.95" customHeight="1" x14ac:dyDescent="0.3">
      <c r="A38" s="248"/>
      <c r="B38" s="198"/>
      <c r="C38" s="198"/>
    </row>
    <row r="39" spans="1:3" ht="25.95" customHeight="1" x14ac:dyDescent="0.3">
      <c r="A39" s="257" t="s">
        <v>119</v>
      </c>
      <c r="B39" s="198"/>
      <c r="C39" s="198"/>
    </row>
    <row r="40" spans="1:3" ht="48" customHeight="1" x14ac:dyDescent="0.3">
      <c r="A40" s="245" t="s">
        <v>120</v>
      </c>
      <c r="B40" s="198"/>
      <c r="C40" s="198"/>
    </row>
    <row r="41" spans="1:3" ht="19.95" customHeight="1" x14ac:dyDescent="0.3">
      <c r="A41" s="245"/>
      <c r="B41" s="198"/>
      <c r="C41" s="198"/>
    </row>
    <row r="42" spans="1:3" ht="48" customHeight="1" x14ac:dyDescent="0.3">
      <c r="A42" s="245" t="s">
        <v>121</v>
      </c>
      <c r="B42" s="198"/>
      <c r="C42" s="198"/>
    </row>
    <row r="43" spans="1:3" ht="43.05" customHeight="1" x14ac:dyDescent="0.3">
      <c r="A43" s="245" t="s">
        <v>122</v>
      </c>
      <c r="B43" s="198"/>
      <c r="C43" s="198"/>
    </row>
    <row r="44" spans="1:3" ht="45" customHeight="1" x14ac:dyDescent="0.3">
      <c r="A44" s="245" t="s">
        <v>123</v>
      </c>
      <c r="B44" s="198"/>
      <c r="C44" s="198"/>
    </row>
    <row r="45" spans="1:3" ht="37.049999999999997" customHeight="1" x14ac:dyDescent="0.3">
      <c r="A45" s="245" t="s">
        <v>124</v>
      </c>
      <c r="B45" s="198"/>
      <c r="C45" s="198"/>
    </row>
    <row r="46" spans="1:3" ht="46.95" customHeight="1" x14ac:dyDescent="0.3">
      <c r="A46" s="245" t="s">
        <v>125</v>
      </c>
      <c r="B46" s="198"/>
      <c r="C46" s="198"/>
    </row>
    <row r="47" spans="1:3" ht="49.95" customHeight="1" x14ac:dyDescent="0.3">
      <c r="A47" s="245" t="s">
        <v>126</v>
      </c>
      <c r="B47" s="198"/>
      <c r="C47" s="198"/>
    </row>
    <row r="48" spans="1:3" ht="7.95" customHeight="1" x14ac:dyDescent="0.3">
      <c r="A48" s="248"/>
      <c r="B48" s="198"/>
      <c r="C48" s="198"/>
    </row>
    <row r="49" spans="1:3" ht="25.95" customHeight="1" x14ac:dyDescent="0.3">
      <c r="A49" s="249" t="s">
        <v>127</v>
      </c>
      <c r="B49" s="198"/>
      <c r="C49" s="198"/>
    </row>
    <row r="50" spans="1:3" ht="79.95" customHeight="1" x14ac:dyDescent="0.3">
      <c r="A50" s="247" t="s">
        <v>128</v>
      </c>
      <c r="B50" s="198"/>
      <c r="C50" s="198"/>
    </row>
    <row r="51" spans="1:3" ht="19.95" customHeight="1" x14ac:dyDescent="0.3">
      <c r="A51" s="247"/>
      <c r="B51" s="198"/>
      <c r="C51" s="198"/>
    </row>
    <row r="52" spans="1:3" ht="79.95" customHeight="1" x14ac:dyDescent="0.3">
      <c r="A52" s="247" t="s">
        <v>129</v>
      </c>
      <c r="B52" s="198"/>
      <c r="C52" s="198"/>
    </row>
    <row r="53" spans="1:3" ht="19.95" customHeight="1" x14ac:dyDescent="0.3">
      <c r="A53" s="247"/>
      <c r="B53" s="198"/>
      <c r="C53" s="198"/>
    </row>
    <row r="54" spans="1:3" ht="79.95" customHeight="1" x14ac:dyDescent="0.3">
      <c r="A54" s="247" t="s">
        <v>130</v>
      </c>
      <c r="B54" s="198"/>
      <c r="C54" s="198"/>
    </row>
    <row r="55" spans="1:3" ht="7.95" customHeight="1" x14ac:dyDescent="0.3">
      <c r="A55" s="248"/>
      <c r="B55" s="198"/>
      <c r="C55" s="198"/>
    </row>
    <row r="56" spans="1:3" ht="25.95" customHeight="1" x14ac:dyDescent="0.3">
      <c r="A56" s="259" t="s">
        <v>131</v>
      </c>
      <c r="B56" s="198"/>
      <c r="C56" s="198"/>
    </row>
    <row r="57" spans="1:3" ht="54" customHeight="1" x14ac:dyDescent="0.3">
      <c r="A57" s="246" t="s">
        <v>132</v>
      </c>
      <c r="B57" s="198"/>
      <c r="C57" s="198"/>
    </row>
    <row r="58" spans="1:3" ht="19.95" customHeight="1" x14ac:dyDescent="0.3">
      <c r="A58" s="246"/>
      <c r="B58" s="198"/>
      <c r="C58" s="198"/>
    </row>
    <row r="59" spans="1:3" ht="19.95" customHeight="1" x14ac:dyDescent="0.3">
      <c r="A59" s="246" t="s">
        <v>133</v>
      </c>
      <c r="B59" s="198"/>
      <c r="C59" s="198"/>
    </row>
    <row r="60" spans="1:3" ht="28.05" customHeight="1" x14ac:dyDescent="0.3">
      <c r="A60" s="246" t="s">
        <v>134</v>
      </c>
      <c r="B60" s="198"/>
      <c r="C60" s="198"/>
    </row>
    <row r="61" spans="1:3" ht="39" customHeight="1" x14ac:dyDescent="0.3">
      <c r="A61" s="246" t="s">
        <v>135</v>
      </c>
      <c r="B61" s="198"/>
      <c r="C61" s="198"/>
    </row>
    <row r="62" spans="1:3" ht="28.05" customHeight="1" x14ac:dyDescent="0.3">
      <c r="A62" s="246" t="s">
        <v>136</v>
      </c>
      <c r="B62" s="198"/>
      <c r="C62" s="198"/>
    </row>
    <row r="63" spans="1:3" ht="40.950000000000003" customHeight="1" x14ac:dyDescent="0.3">
      <c r="A63" s="246" t="s">
        <v>137</v>
      </c>
      <c r="B63" s="198"/>
      <c r="C63" s="198"/>
    </row>
    <row r="64" spans="1:3" ht="19.95" customHeight="1" x14ac:dyDescent="0.3">
      <c r="A64" s="246"/>
      <c r="B64" s="198"/>
      <c r="C64" s="198"/>
    </row>
    <row r="65" spans="1:3" ht="19.95" customHeight="1" x14ac:dyDescent="0.3">
      <c r="A65" s="246" t="s">
        <v>138</v>
      </c>
      <c r="B65" s="198"/>
      <c r="C65" s="198"/>
    </row>
    <row r="66" spans="1:3" ht="40.950000000000003" customHeight="1" x14ac:dyDescent="0.3">
      <c r="A66" s="246" t="s">
        <v>139</v>
      </c>
      <c r="B66" s="198"/>
      <c r="C66" s="198"/>
    </row>
    <row r="67" spans="1:3" ht="45" customHeight="1" x14ac:dyDescent="0.3">
      <c r="A67" s="246" t="s">
        <v>140</v>
      </c>
      <c r="B67" s="198"/>
      <c r="C67" s="198"/>
    </row>
    <row r="68" spans="1:3" ht="43.05" customHeight="1" x14ac:dyDescent="0.3">
      <c r="A68" s="246" t="s">
        <v>141</v>
      </c>
      <c r="B68" s="198"/>
      <c r="C68" s="198"/>
    </row>
    <row r="69" spans="1:3" ht="19.95" customHeight="1" x14ac:dyDescent="0.3">
      <c r="A69" s="246"/>
      <c r="B69" s="198"/>
      <c r="C69" s="198"/>
    </row>
    <row r="70" spans="1:3" ht="22.95" customHeight="1" x14ac:dyDescent="0.3">
      <c r="A70" s="246" t="s">
        <v>142</v>
      </c>
      <c r="B70" s="198"/>
      <c r="C70" s="198"/>
    </row>
    <row r="71" spans="1:3" ht="79.95" customHeight="1" x14ac:dyDescent="0.3">
      <c r="A71" s="246" t="s">
        <v>143</v>
      </c>
      <c r="B71" s="198"/>
      <c r="C71" s="198"/>
    </row>
    <row r="72" spans="1:3" ht="7.95" customHeight="1" x14ac:dyDescent="0.3">
      <c r="A72" s="248"/>
      <c r="B72" s="198"/>
      <c r="C72" s="198"/>
    </row>
    <row r="73" spans="1:3" ht="25.95" customHeight="1" x14ac:dyDescent="0.3">
      <c r="A73" s="254" t="s">
        <v>144</v>
      </c>
      <c r="B73" s="198"/>
      <c r="C73" s="198"/>
    </row>
    <row r="74" spans="1:3" ht="25.95" customHeight="1" x14ac:dyDescent="0.3">
      <c r="A74" s="243" t="s">
        <v>145</v>
      </c>
      <c r="B74" s="198"/>
      <c r="C74" s="198"/>
    </row>
    <row r="75" spans="1:3" ht="19.95" customHeight="1" x14ac:dyDescent="0.3">
      <c r="A75" s="243"/>
      <c r="B75" s="198"/>
      <c r="C75" s="198"/>
    </row>
    <row r="76" spans="1:3" ht="34.950000000000003" customHeight="1" x14ac:dyDescent="0.3">
      <c r="A76" s="243" t="s">
        <v>146</v>
      </c>
      <c r="B76" s="198"/>
      <c r="C76" s="198"/>
    </row>
    <row r="77" spans="1:3" ht="30" customHeight="1" x14ac:dyDescent="0.3">
      <c r="A77" s="243" t="s">
        <v>147</v>
      </c>
      <c r="B77" s="198"/>
      <c r="C77" s="198"/>
    </row>
    <row r="78" spans="1:3" ht="37.049999999999997" customHeight="1" x14ac:dyDescent="0.3">
      <c r="A78" s="243" t="s">
        <v>148</v>
      </c>
      <c r="B78" s="198"/>
      <c r="C78" s="198"/>
    </row>
    <row r="79" spans="1:3" ht="36" customHeight="1" x14ac:dyDescent="0.3">
      <c r="A79" s="243" t="s">
        <v>149</v>
      </c>
      <c r="B79" s="198"/>
      <c r="C79" s="198"/>
    </row>
    <row r="80" spans="1:3" ht="34.950000000000003" customHeight="1" x14ac:dyDescent="0.3">
      <c r="A80" s="243" t="s">
        <v>150</v>
      </c>
      <c r="B80" s="198"/>
      <c r="C80" s="198"/>
    </row>
    <row r="81" spans="1:3" ht="19.95" customHeight="1" x14ac:dyDescent="0.3">
      <c r="A81" s="243"/>
      <c r="B81" s="198"/>
      <c r="C81" s="198"/>
    </row>
    <row r="82" spans="1:3" ht="27" customHeight="1" x14ac:dyDescent="0.3">
      <c r="A82" s="243" t="s">
        <v>151</v>
      </c>
      <c r="B82" s="198"/>
      <c r="C82" s="198"/>
    </row>
    <row r="83" spans="1:3" ht="7.95" customHeight="1" x14ac:dyDescent="0.3">
      <c r="A83" s="248"/>
      <c r="B83" s="198"/>
      <c r="C83" s="198"/>
    </row>
    <row r="84" spans="1:3" ht="28.05" customHeight="1" x14ac:dyDescent="0.3">
      <c r="A84" s="256" t="s">
        <v>152</v>
      </c>
      <c r="B84" s="198"/>
      <c r="C84" s="198"/>
    </row>
  </sheetData>
  <mergeCells count="84">
    <mergeCell ref="A1:C1"/>
    <mergeCell ref="A45:C45"/>
    <mergeCell ref="A78:C78"/>
    <mergeCell ref="A65:C65"/>
    <mergeCell ref="A56:C56"/>
    <mergeCell ref="A27:C27"/>
    <mergeCell ref="A76:C76"/>
    <mergeCell ref="A33:C33"/>
    <mergeCell ref="A8:C8"/>
    <mergeCell ref="A17:C17"/>
    <mergeCell ref="A53:C53"/>
    <mergeCell ref="A35:C35"/>
    <mergeCell ref="A10:C10"/>
    <mergeCell ref="A19:C19"/>
    <mergeCell ref="A68:C68"/>
    <mergeCell ref="A9:C9"/>
    <mergeCell ref="A39:C39"/>
    <mergeCell ref="A48:C48"/>
    <mergeCell ref="A36:C36"/>
    <mergeCell ref="A11:C11"/>
    <mergeCell ref="A84:C84"/>
    <mergeCell ref="A18:C18"/>
    <mergeCell ref="A50:C50"/>
    <mergeCell ref="A2:C2"/>
    <mergeCell ref="A42:C42"/>
    <mergeCell ref="A47:C47"/>
    <mergeCell ref="A22:C22"/>
    <mergeCell ref="A62:C62"/>
    <mergeCell ref="A20:C20"/>
    <mergeCell ref="A72:C72"/>
    <mergeCell ref="A28:C28"/>
    <mergeCell ref="A30:C30"/>
    <mergeCell ref="A59:C59"/>
    <mergeCell ref="A64:C64"/>
    <mergeCell ref="A79:C79"/>
    <mergeCell ref="A61:C61"/>
    <mergeCell ref="A3:C3"/>
    <mergeCell ref="A55:C55"/>
    <mergeCell ref="A12:C12"/>
    <mergeCell ref="A5:C5"/>
    <mergeCell ref="A32:C32"/>
    <mergeCell ref="A14:C14"/>
    <mergeCell ref="A29:C29"/>
    <mergeCell ref="A4:C4"/>
    <mergeCell ref="A38:C38"/>
    <mergeCell ref="A13:C13"/>
    <mergeCell ref="A44:C44"/>
    <mergeCell ref="A31:C31"/>
    <mergeCell ref="A40:C40"/>
    <mergeCell ref="A15:C15"/>
    <mergeCell ref="A24:C24"/>
    <mergeCell ref="A51:C51"/>
    <mergeCell ref="A83:C83"/>
    <mergeCell ref="A49:C49"/>
    <mergeCell ref="A6:C6"/>
    <mergeCell ref="A69:C69"/>
    <mergeCell ref="A66:C66"/>
    <mergeCell ref="A75:C75"/>
    <mergeCell ref="A81:C81"/>
    <mergeCell ref="A58:C58"/>
    <mergeCell ref="A67:C67"/>
    <mergeCell ref="A73:C73"/>
    <mergeCell ref="A82:C82"/>
    <mergeCell ref="A60:C60"/>
    <mergeCell ref="A7:C7"/>
    <mergeCell ref="A16:C16"/>
    <mergeCell ref="A25:C25"/>
    <mergeCell ref="A70:C70"/>
    <mergeCell ref="A80:C80"/>
    <mergeCell ref="A37:C37"/>
    <mergeCell ref="A46:C46"/>
    <mergeCell ref="A21:C21"/>
    <mergeCell ref="A26:C26"/>
    <mergeCell ref="A57:C57"/>
    <mergeCell ref="A71:C71"/>
    <mergeCell ref="A23:C23"/>
    <mergeCell ref="A43:C43"/>
    <mergeCell ref="A52:C52"/>
    <mergeCell ref="A63:C63"/>
    <mergeCell ref="A77:C77"/>
    <mergeCell ref="A34:C34"/>
    <mergeCell ref="A54:C54"/>
    <mergeCell ref="A41:C41"/>
    <mergeCell ref="A74:C7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tabSelected="1" workbookViewId="0">
      <selection sqref="A1:H1"/>
    </sheetView>
  </sheetViews>
  <sheetFormatPr defaultRowHeight="14.4" x14ac:dyDescent="0.3"/>
  <cols>
    <col min="1" max="1" width="28" customWidth="1"/>
    <col min="2" max="7" width="16" customWidth="1"/>
    <col min="8" max="8" width="28" customWidth="1"/>
  </cols>
  <sheetData>
    <row r="1" spans="1:8" ht="34.049999999999997" customHeight="1" x14ac:dyDescent="0.3">
      <c r="A1" s="262" t="s">
        <v>153</v>
      </c>
      <c r="B1" s="198"/>
      <c r="C1" s="198"/>
      <c r="D1" s="198"/>
      <c r="E1" s="198"/>
      <c r="F1" s="198"/>
      <c r="G1" s="198"/>
      <c r="H1" s="198"/>
    </row>
    <row r="2" spans="1:8" ht="19.95" customHeight="1" x14ac:dyDescent="0.3">
      <c r="A2" s="225" t="s">
        <v>154</v>
      </c>
      <c r="B2" s="198"/>
      <c r="C2" s="198"/>
      <c r="D2" s="198"/>
      <c r="E2" s="198"/>
      <c r="F2" s="198"/>
      <c r="G2" s="198"/>
      <c r="H2" s="198"/>
    </row>
    <row r="3" spans="1:8" ht="7.95" customHeight="1" x14ac:dyDescent="0.3"/>
    <row r="4" spans="1:8" ht="28.05" customHeight="1" x14ac:dyDescent="0.3">
      <c r="A4" s="58" t="s">
        <v>155</v>
      </c>
      <c r="B4" s="58" t="s">
        <v>156</v>
      </c>
      <c r="C4" s="58" t="s">
        <v>157</v>
      </c>
      <c r="D4" s="58" t="s">
        <v>158</v>
      </c>
      <c r="E4" s="58" t="s">
        <v>159</v>
      </c>
      <c r="F4" s="58" t="s">
        <v>160</v>
      </c>
      <c r="G4" s="58" t="s">
        <v>161</v>
      </c>
      <c r="H4" s="58" t="s">
        <v>162</v>
      </c>
    </row>
    <row r="5" spans="1:8" ht="36" customHeight="1" x14ac:dyDescent="0.3">
      <c r="A5" s="184" t="s">
        <v>163</v>
      </c>
      <c r="B5" s="185" t="s">
        <v>163</v>
      </c>
      <c r="C5" s="186">
        <v>40</v>
      </c>
      <c r="D5" s="186">
        <v>0</v>
      </c>
      <c r="E5" s="187">
        <v>40</v>
      </c>
      <c r="F5" s="188">
        <v>0</v>
      </c>
      <c r="G5" s="186">
        <v>40</v>
      </c>
      <c r="H5" s="189" t="s">
        <v>164</v>
      </c>
    </row>
    <row r="6" spans="1:8" ht="36" customHeight="1" x14ac:dyDescent="0.3">
      <c r="A6" s="190" t="s">
        <v>165</v>
      </c>
      <c r="B6" s="185" t="s">
        <v>165</v>
      </c>
      <c r="C6" s="186">
        <f>'Value Driver Analysis'!B6/1000000</f>
        <v>37.285499999999999</v>
      </c>
      <c r="D6" s="186">
        <v>40</v>
      </c>
      <c r="E6" s="187">
        <f>'Value Driver Analysis'!B6/1000000</f>
        <v>37.285499999999999</v>
      </c>
      <c r="F6" s="188">
        <v>0</v>
      </c>
      <c r="G6" s="186">
        <v>49.9</v>
      </c>
      <c r="H6" s="189" t="s">
        <v>166</v>
      </c>
    </row>
    <row r="7" spans="1:8" ht="36" customHeight="1" x14ac:dyDescent="0.3">
      <c r="A7" s="190" t="s">
        <v>167</v>
      </c>
      <c r="B7" s="185" t="s">
        <v>167</v>
      </c>
      <c r="C7" s="186">
        <f>'Value Driver Analysis'!B7/1000000</f>
        <v>3.2955220000000001</v>
      </c>
      <c r="D7" s="186">
        <v>49.9</v>
      </c>
      <c r="E7" s="187">
        <f>'Value Driver Analysis'!B7/1000000</f>
        <v>3.2955220000000001</v>
      </c>
      <c r="F7" s="188">
        <v>0</v>
      </c>
      <c r="G7" s="186">
        <v>53.2</v>
      </c>
      <c r="H7" s="189" t="s">
        <v>168</v>
      </c>
    </row>
    <row r="8" spans="1:8" ht="36" customHeight="1" x14ac:dyDescent="0.3">
      <c r="A8" s="190" t="s">
        <v>169</v>
      </c>
      <c r="B8" s="185" t="s">
        <v>169</v>
      </c>
      <c r="C8" s="186">
        <f>'Value Driver Analysis'!B8/1000000</f>
        <v>15.75</v>
      </c>
      <c r="D8" s="186">
        <v>53.2</v>
      </c>
      <c r="E8" s="187">
        <f>'Value Driver Analysis'!B8/1000000</f>
        <v>15.75</v>
      </c>
      <c r="F8" s="188">
        <v>0</v>
      </c>
      <c r="G8" s="186">
        <v>63.7</v>
      </c>
      <c r="H8" s="189" t="s">
        <v>170</v>
      </c>
    </row>
    <row r="9" spans="1:8" ht="36" customHeight="1" x14ac:dyDescent="0.3">
      <c r="A9" s="191" t="s">
        <v>171</v>
      </c>
      <c r="B9" s="185" t="s">
        <v>171</v>
      </c>
      <c r="C9" s="186">
        <f>'Value Driver Analysis'!B9/1000000</f>
        <v>3.4649999999999999</v>
      </c>
      <c r="D9" s="186">
        <v>63.7</v>
      </c>
      <c r="E9" s="187">
        <f>'Value Driver Analysis'!B9/1000000</f>
        <v>3.4649999999999999</v>
      </c>
      <c r="F9" s="188">
        <v>0</v>
      </c>
      <c r="G9" s="186">
        <v>64.900000000000006</v>
      </c>
      <c r="H9" s="189" t="s">
        <v>172</v>
      </c>
    </row>
    <row r="10" spans="1:8" ht="36" customHeight="1" x14ac:dyDescent="0.3">
      <c r="A10" s="192" t="s">
        <v>173</v>
      </c>
      <c r="B10" s="185" t="s">
        <v>173</v>
      </c>
      <c r="C10" s="186">
        <f>'Value Driver Analysis'!B10/1000000</f>
        <v>14.1</v>
      </c>
      <c r="D10" s="186">
        <v>79</v>
      </c>
      <c r="E10" s="187">
        <v>0</v>
      </c>
      <c r="F10" s="188">
        <f>'Value Driver Analysis'!B10/1000000</f>
        <v>14.1</v>
      </c>
      <c r="G10" s="186">
        <v>79</v>
      </c>
      <c r="H10" s="189" t="s">
        <v>174</v>
      </c>
    </row>
    <row r="11" spans="1:8" ht="36" customHeight="1" x14ac:dyDescent="0.3">
      <c r="A11" s="193" t="s">
        <v>175</v>
      </c>
      <c r="B11" s="185" t="s">
        <v>175</v>
      </c>
      <c r="C11" s="186">
        <v>3.5</v>
      </c>
      <c r="D11" s="186">
        <v>82.5</v>
      </c>
      <c r="E11" s="187">
        <v>0</v>
      </c>
      <c r="F11" s="188">
        <v>3.5</v>
      </c>
      <c r="G11" s="186">
        <v>82.5</v>
      </c>
      <c r="H11" s="189" t="s">
        <v>176</v>
      </c>
    </row>
    <row r="12" spans="1:8" ht="43.95" customHeight="1" x14ac:dyDescent="0.3">
      <c r="A12" s="123" t="s">
        <v>177</v>
      </c>
      <c r="B12" s="194" t="s">
        <v>178</v>
      </c>
      <c r="C12" s="170">
        <v>0</v>
      </c>
      <c r="D12" s="170">
        <v>0</v>
      </c>
      <c r="E12" s="195">
        <v>82.5</v>
      </c>
      <c r="F12" s="170">
        <v>0</v>
      </c>
      <c r="G12" s="196">
        <v>82.5</v>
      </c>
      <c r="H12" s="160" t="s">
        <v>179</v>
      </c>
    </row>
    <row r="15" spans="1:8" ht="19.95" customHeight="1" x14ac:dyDescent="0.3"/>
    <row r="37" spans="1:8" ht="48" customHeight="1" x14ac:dyDescent="0.3">
      <c r="A37" s="261" t="s">
        <v>180</v>
      </c>
      <c r="B37" s="198"/>
      <c r="C37" s="198"/>
      <c r="D37" s="198"/>
      <c r="E37" s="198"/>
      <c r="F37" s="198"/>
      <c r="G37" s="198"/>
      <c r="H37" s="198"/>
    </row>
  </sheetData>
  <mergeCells count="3">
    <mergeCell ref="A37:H37"/>
    <mergeCell ref="A2:H2"/>
    <mergeCell ref="A1:H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5"/>
  <sheetViews>
    <sheetView workbookViewId="0"/>
  </sheetViews>
  <sheetFormatPr defaultRowHeight="14.4" x14ac:dyDescent="0.3"/>
  <cols>
    <col min="1" max="1" width="38" customWidth="1"/>
    <col min="2" max="6" width="20" customWidth="1"/>
    <col min="7" max="7" width="38" customWidth="1"/>
  </cols>
  <sheetData>
    <row r="1" spans="1:7" ht="36" customHeight="1" x14ac:dyDescent="0.3">
      <c r="A1" s="279" t="s">
        <v>181</v>
      </c>
      <c r="B1" s="198"/>
      <c r="C1" s="198"/>
      <c r="D1" s="198"/>
      <c r="E1" s="198"/>
      <c r="F1" s="198"/>
      <c r="G1" s="198"/>
    </row>
    <row r="2" spans="1:7" ht="19.95" customHeight="1" x14ac:dyDescent="0.3">
      <c r="A2" s="283" t="s">
        <v>182</v>
      </c>
      <c r="B2" s="198"/>
      <c r="C2" s="198"/>
      <c r="D2" s="198"/>
      <c r="E2" s="198"/>
      <c r="F2" s="198"/>
      <c r="G2" s="198"/>
    </row>
    <row r="3" spans="1:7" ht="7.95" customHeight="1" x14ac:dyDescent="0.3"/>
    <row r="4" spans="1:7" ht="24" customHeight="1" x14ac:dyDescent="0.3">
      <c r="A4" s="264" t="s">
        <v>183</v>
      </c>
      <c r="B4" s="198"/>
      <c r="C4" s="198"/>
      <c r="D4" s="198"/>
      <c r="E4" s="198"/>
      <c r="F4" s="198"/>
      <c r="G4" s="198"/>
    </row>
    <row r="5" spans="1:7" ht="31.95" customHeight="1" x14ac:dyDescent="0.3">
      <c r="A5" s="58" t="s">
        <v>184</v>
      </c>
      <c r="B5" s="58" t="s">
        <v>185</v>
      </c>
      <c r="C5" s="58" t="s">
        <v>186</v>
      </c>
      <c r="D5" s="58" t="s">
        <v>187</v>
      </c>
      <c r="E5" s="58" t="s">
        <v>188</v>
      </c>
      <c r="F5" s="58" t="s">
        <v>189</v>
      </c>
      <c r="G5" s="58" t="s">
        <v>190</v>
      </c>
    </row>
    <row r="6" spans="1:7" ht="52.05" customHeight="1" x14ac:dyDescent="0.3">
      <c r="A6" s="12" t="s">
        <v>191</v>
      </c>
      <c r="B6" s="114">
        <f>ROUND(Inputs!C7*Inputs!C10*Inputs!C21*0.53,0)</f>
        <v>37285500</v>
      </c>
      <c r="C6" s="115">
        <f>B6/B11</f>
        <v>0.50456707940246093</v>
      </c>
      <c r="D6" s="116" t="s">
        <v>192</v>
      </c>
      <c r="E6" s="116" t="s">
        <v>193</v>
      </c>
      <c r="F6" s="116" t="s">
        <v>194</v>
      </c>
      <c r="G6" s="116" t="s">
        <v>195</v>
      </c>
    </row>
    <row r="7" spans="1:7" ht="52.05" customHeight="1" x14ac:dyDescent="0.3">
      <c r="A7" s="16" t="s">
        <v>196</v>
      </c>
      <c r="B7" s="117">
        <f>ROUND((2300000/0.67)*12*Inputs!C23*Inputs!C12,0)</f>
        <v>3295522</v>
      </c>
      <c r="C7" s="118">
        <f>B7/B11</f>
        <v>4.4596744328131765E-2</v>
      </c>
      <c r="D7" s="119" t="s">
        <v>197</v>
      </c>
      <c r="E7" s="119" t="s">
        <v>198</v>
      </c>
      <c r="F7" s="119" t="s">
        <v>199</v>
      </c>
      <c r="G7" s="119" t="s">
        <v>200</v>
      </c>
    </row>
    <row r="8" spans="1:7" ht="64.05" customHeight="1" x14ac:dyDescent="0.3">
      <c r="A8" s="12" t="s">
        <v>201</v>
      </c>
      <c r="B8" s="114">
        <f>ROUND(Inputs!C7*Inputs!C41*Inputs!C10,0)</f>
        <v>15750000</v>
      </c>
      <c r="C8" s="115">
        <f>B8/B11</f>
        <v>0.21313731881264189</v>
      </c>
      <c r="D8" s="116" t="s">
        <v>202</v>
      </c>
      <c r="E8" s="116" t="s">
        <v>203</v>
      </c>
      <c r="F8" s="116" t="s">
        <v>204</v>
      </c>
      <c r="G8" s="116" t="s">
        <v>205</v>
      </c>
    </row>
    <row r="9" spans="1:7" ht="64.05" customHeight="1" x14ac:dyDescent="0.3">
      <c r="A9" s="16" t="s">
        <v>206</v>
      </c>
      <c r="B9" s="117">
        <f>ROUND(Inputs!C7*(1-Inputs!C21)*Inputs!C10*0.1,0)</f>
        <v>3465000</v>
      </c>
      <c r="C9" s="118">
        <f>B9/B11</f>
        <v>4.6890210138781217E-2</v>
      </c>
      <c r="D9" s="119" t="s">
        <v>207</v>
      </c>
      <c r="E9" s="119" t="s">
        <v>208</v>
      </c>
      <c r="F9" s="119" t="s">
        <v>209</v>
      </c>
      <c r="G9" s="119" t="s">
        <v>210</v>
      </c>
    </row>
    <row r="10" spans="1:7" ht="64.05" customHeight="1" x14ac:dyDescent="0.3">
      <c r="A10" s="36" t="s">
        <v>211</v>
      </c>
      <c r="B10" s="120">
        <f>ROUND(Inputs!C47*0.3,0)</f>
        <v>14100000</v>
      </c>
      <c r="C10" s="121">
        <f>B10/B11</f>
        <v>0.19080864731798419</v>
      </c>
      <c r="D10" s="122" t="s">
        <v>212</v>
      </c>
      <c r="E10" s="122" t="s">
        <v>213</v>
      </c>
      <c r="F10" s="122" t="s">
        <v>214</v>
      </c>
      <c r="G10" s="122" t="s">
        <v>215</v>
      </c>
    </row>
    <row r="11" spans="1:7" ht="36" customHeight="1" x14ac:dyDescent="0.3">
      <c r="A11" s="123" t="s">
        <v>216</v>
      </c>
      <c r="B11" s="124">
        <f>SUM(B6:B10)</f>
        <v>73896022</v>
      </c>
      <c r="C11" s="125" t="s">
        <v>217</v>
      </c>
      <c r="D11" s="126" t="s">
        <v>218</v>
      </c>
      <c r="E11" s="126"/>
      <c r="F11" s="126" t="s">
        <v>219</v>
      </c>
      <c r="G11" s="126" t="s">
        <v>220</v>
      </c>
    </row>
    <row r="12" spans="1:7" ht="7.95" customHeight="1" x14ac:dyDescent="0.3"/>
    <row r="13" spans="1:7" ht="24" customHeight="1" x14ac:dyDescent="0.3">
      <c r="A13" s="271" t="s">
        <v>221</v>
      </c>
      <c r="B13" s="198"/>
      <c r="C13" s="198"/>
      <c r="D13" s="198"/>
      <c r="E13" s="198"/>
      <c r="F13" s="198"/>
      <c r="G13" s="198"/>
    </row>
    <row r="14" spans="1:7" ht="25.95" customHeight="1" x14ac:dyDescent="0.3">
      <c r="A14" s="58" t="s">
        <v>222</v>
      </c>
      <c r="B14" s="58" t="s">
        <v>163</v>
      </c>
      <c r="C14" s="58" t="s">
        <v>223</v>
      </c>
      <c r="D14" s="58" t="s">
        <v>224</v>
      </c>
      <c r="E14" s="58" t="s">
        <v>225</v>
      </c>
    </row>
    <row r="15" spans="1:7" ht="43.95" customHeight="1" x14ac:dyDescent="0.3">
      <c r="A15" s="16" t="s">
        <v>226</v>
      </c>
      <c r="B15" s="117">
        <f>Inputs!C44</f>
        <v>84000000</v>
      </c>
      <c r="C15" s="117">
        <f>B11</f>
        <v>73896022</v>
      </c>
      <c r="D15" s="127">
        <f>C15-B15</f>
        <v>-10103978</v>
      </c>
      <c r="E15" s="119" t="s">
        <v>227</v>
      </c>
    </row>
    <row r="16" spans="1:7" ht="43.95" customHeight="1" x14ac:dyDescent="0.3">
      <c r="A16" s="16" t="s">
        <v>228</v>
      </c>
      <c r="B16" s="117">
        <f>Inputs!C45</f>
        <v>40000000</v>
      </c>
      <c r="C16" s="117">
        <f>B6+B7+B9</f>
        <v>44046022</v>
      </c>
      <c r="D16" s="127">
        <f>C15-B15</f>
        <v>-10103978</v>
      </c>
      <c r="E16" s="119" t="s">
        <v>229</v>
      </c>
    </row>
    <row r="17" spans="1:7" ht="43.95" customHeight="1" x14ac:dyDescent="0.3">
      <c r="A17" s="14" t="s">
        <v>230</v>
      </c>
      <c r="B17" s="128" t="s">
        <v>231</v>
      </c>
      <c r="C17" s="128">
        <f>B6+B7+B8+B9-B10</f>
        <v>45696022</v>
      </c>
      <c r="D17" s="129" t="s">
        <v>232</v>
      </c>
      <c r="E17" s="130" t="s">
        <v>233</v>
      </c>
    </row>
    <row r="18" spans="1:7" ht="7.95" customHeight="1" x14ac:dyDescent="0.3"/>
    <row r="19" spans="1:7" ht="24" customHeight="1" x14ac:dyDescent="0.3">
      <c r="A19" s="270" t="s">
        <v>234</v>
      </c>
      <c r="B19" s="198"/>
      <c r="C19" s="198"/>
      <c r="D19" s="198"/>
      <c r="E19" s="198"/>
      <c r="F19" s="198"/>
      <c r="G19" s="198"/>
    </row>
    <row r="20" spans="1:7" ht="43.95" customHeight="1" x14ac:dyDescent="0.3">
      <c r="A20" s="265" t="s">
        <v>235</v>
      </c>
      <c r="B20" s="198"/>
      <c r="C20" s="198"/>
      <c r="D20" s="198"/>
      <c r="E20" s="198"/>
      <c r="F20" s="198"/>
      <c r="G20" s="198"/>
    </row>
    <row r="21" spans="1:7" ht="25.95" customHeight="1" x14ac:dyDescent="0.3">
      <c r="A21" s="58" t="s">
        <v>236</v>
      </c>
      <c r="B21" s="58" t="s">
        <v>237</v>
      </c>
      <c r="C21" s="58" t="s">
        <v>225</v>
      </c>
      <c r="D21" s="58" t="s">
        <v>238</v>
      </c>
    </row>
    <row r="22" spans="1:7" ht="55.95" customHeight="1" x14ac:dyDescent="0.3">
      <c r="A22" s="12" t="s">
        <v>239</v>
      </c>
      <c r="B22" s="114">
        <f>ROUND(70350000*0.25,0)</f>
        <v>17587500</v>
      </c>
      <c r="C22" s="116" t="s">
        <v>240</v>
      </c>
      <c r="D22" s="116" t="s">
        <v>241</v>
      </c>
    </row>
    <row r="23" spans="1:7" ht="55.95" customHeight="1" x14ac:dyDescent="0.3">
      <c r="A23" s="14" t="s">
        <v>242</v>
      </c>
      <c r="B23" s="128">
        <f>ROUND(70350000*0.2,0)</f>
        <v>14070000</v>
      </c>
      <c r="C23" s="130" t="s">
        <v>243</v>
      </c>
      <c r="D23" s="130" t="s">
        <v>244</v>
      </c>
    </row>
    <row r="24" spans="1:7" ht="55.95" customHeight="1" x14ac:dyDescent="0.3">
      <c r="A24" s="36" t="s">
        <v>245</v>
      </c>
      <c r="B24" s="120">
        <f>ROUND(Inputs!C47*0.3,0)</f>
        <v>14100000</v>
      </c>
      <c r="C24" s="122" t="s">
        <v>246</v>
      </c>
      <c r="D24" s="122" t="s">
        <v>247</v>
      </c>
    </row>
    <row r="25" spans="1:7" ht="55.95" customHeight="1" x14ac:dyDescent="0.3">
      <c r="A25" s="42" t="s">
        <v>248</v>
      </c>
      <c r="B25" s="131">
        <f>ROUND((Inputs!C16+Inputs!C17)*1,0)</f>
        <v>3500000</v>
      </c>
      <c r="C25" s="132" t="s">
        <v>249</v>
      </c>
      <c r="D25" s="132" t="s">
        <v>250</v>
      </c>
    </row>
    <row r="26" spans="1:7" ht="7.95" customHeight="1" x14ac:dyDescent="0.3"/>
    <row r="27" spans="1:7" ht="24" customHeight="1" x14ac:dyDescent="0.3">
      <c r="A27" s="271" t="s">
        <v>251</v>
      </c>
      <c r="B27" s="198"/>
      <c r="C27" s="198"/>
      <c r="D27" s="198"/>
      <c r="E27" s="198"/>
      <c r="F27" s="198"/>
      <c r="G27" s="198"/>
    </row>
    <row r="28" spans="1:7" ht="28.05" customHeight="1" x14ac:dyDescent="0.3">
      <c r="A28" s="269" t="s">
        <v>252</v>
      </c>
      <c r="B28" s="267"/>
      <c r="C28" s="267"/>
      <c r="D28" s="268"/>
      <c r="E28" s="133">
        <f>Inputs!C44</f>
        <v>84000000</v>
      </c>
      <c r="F28" s="281"/>
      <c r="G28" s="198"/>
    </row>
    <row r="29" spans="1:7" ht="28.05" customHeight="1" x14ac:dyDescent="0.3">
      <c r="A29" s="266" t="s">
        <v>253</v>
      </c>
      <c r="B29" s="267"/>
      <c r="C29" s="267"/>
      <c r="D29" s="268"/>
      <c r="E29" s="134">
        <f>-B10</f>
        <v>-14100000</v>
      </c>
      <c r="F29" s="263"/>
      <c r="G29" s="198"/>
    </row>
    <row r="30" spans="1:7" ht="28.05" customHeight="1" x14ac:dyDescent="0.3">
      <c r="A30" s="276" t="s">
        <v>254</v>
      </c>
      <c r="B30" s="267"/>
      <c r="C30" s="267"/>
      <c r="D30" s="268"/>
      <c r="E30" s="135">
        <f>-(Inputs!C16+Inputs!C17)</f>
        <v>-3500000</v>
      </c>
      <c r="F30" s="273"/>
      <c r="G30" s="198"/>
    </row>
    <row r="31" spans="1:7" ht="28.05" customHeight="1" x14ac:dyDescent="0.3">
      <c r="A31" s="274" t="e">
        <f>AI-isolated net contribution (conservative estimate)</f>
        <v>#NAME?</v>
      </c>
      <c r="B31" s="267"/>
      <c r="C31" s="267"/>
      <c r="D31" s="268"/>
      <c r="E31" s="136">
        <f>Inputs!C44-B10-(Inputs!C16+Inputs!C17)</f>
        <v>66400000</v>
      </c>
      <c r="F31" s="280"/>
      <c r="G31" s="198"/>
    </row>
    <row r="32" spans="1:7" ht="28.05" customHeight="1" x14ac:dyDescent="0.3">
      <c r="A32" s="285" t="s">
        <v>255</v>
      </c>
      <c r="B32" s="267"/>
      <c r="C32" s="267"/>
      <c r="D32" s="268"/>
      <c r="E32" s="137">
        <f>Inputs!C45</f>
        <v>40000000</v>
      </c>
      <c r="F32" s="277"/>
      <c r="G32" s="198"/>
    </row>
    <row r="33" spans="1:7" ht="28.05" customHeight="1" x14ac:dyDescent="0.3">
      <c r="A33" s="284" t="s">
        <v>256</v>
      </c>
      <c r="B33" s="267"/>
      <c r="C33" s="267"/>
      <c r="D33" s="268"/>
      <c r="E33" s="138">
        <f>Inputs!C45-(Inputs!C44-B10-(Inputs!C16+Inputs!C17))</f>
        <v>-26400000</v>
      </c>
      <c r="F33" s="273"/>
      <c r="G33" s="198"/>
    </row>
    <row r="34" spans="1:7" ht="64.05" customHeight="1" x14ac:dyDescent="0.3">
      <c r="A34" s="275" t="s">
        <v>257</v>
      </c>
      <c r="B34" s="198"/>
      <c r="C34" s="198"/>
      <c r="D34" s="198"/>
      <c r="E34" s="198"/>
      <c r="F34" s="198"/>
      <c r="G34" s="198"/>
    </row>
    <row r="36" spans="1:7" ht="24" customHeight="1" x14ac:dyDescent="0.3">
      <c r="A36" s="278" t="s">
        <v>258</v>
      </c>
      <c r="B36" s="198"/>
      <c r="C36" s="198"/>
      <c r="D36" s="198"/>
      <c r="E36" s="198"/>
      <c r="F36" s="198"/>
      <c r="G36" s="198"/>
    </row>
    <row r="37" spans="1:7" ht="60" customHeight="1" x14ac:dyDescent="0.3">
      <c r="A37" s="282" t="s">
        <v>259</v>
      </c>
      <c r="B37" s="198"/>
      <c r="C37" s="198"/>
      <c r="D37" s="198"/>
      <c r="E37" s="198"/>
      <c r="F37" s="198"/>
      <c r="G37" s="198"/>
    </row>
    <row r="38" spans="1:7" ht="22.05" customHeight="1" x14ac:dyDescent="0.3">
      <c r="A38" s="58" t="s">
        <v>260</v>
      </c>
      <c r="B38" s="58" t="s">
        <v>261</v>
      </c>
      <c r="C38" s="58" t="s">
        <v>262</v>
      </c>
      <c r="D38" s="58" t="s">
        <v>263</v>
      </c>
      <c r="E38" s="58" t="s">
        <v>264</v>
      </c>
    </row>
    <row r="39" spans="1:7" ht="52.05" customHeight="1" x14ac:dyDescent="0.3">
      <c r="A39" s="168" t="s">
        <v>265</v>
      </c>
      <c r="B39" s="38" t="s">
        <v>266</v>
      </c>
      <c r="C39" s="38" t="s">
        <v>267</v>
      </c>
      <c r="D39" s="38" t="s">
        <v>268</v>
      </c>
      <c r="E39" s="38" t="s">
        <v>269</v>
      </c>
    </row>
    <row r="40" spans="1:7" ht="52.05" customHeight="1" x14ac:dyDescent="0.3">
      <c r="A40" s="168" t="s">
        <v>270</v>
      </c>
      <c r="B40" s="38" t="s">
        <v>271</v>
      </c>
      <c r="C40" s="38" t="s">
        <v>272</v>
      </c>
      <c r="D40" s="38" t="s">
        <v>273</v>
      </c>
      <c r="E40" s="38" t="s">
        <v>274</v>
      </c>
    </row>
    <row r="41" spans="1:7" ht="52.05" customHeight="1" x14ac:dyDescent="0.3">
      <c r="A41" s="168" t="s">
        <v>275</v>
      </c>
      <c r="B41" s="38" t="s">
        <v>276</v>
      </c>
      <c r="C41" s="38" t="s">
        <v>277</v>
      </c>
      <c r="D41" s="38" t="s">
        <v>278</v>
      </c>
      <c r="E41" s="38" t="s">
        <v>279</v>
      </c>
    </row>
    <row r="42" spans="1:7" ht="52.05" customHeight="1" x14ac:dyDescent="0.3">
      <c r="A42" s="161" t="s">
        <v>280</v>
      </c>
      <c r="B42" s="162" t="s">
        <v>281</v>
      </c>
      <c r="C42" s="162" t="s">
        <v>282</v>
      </c>
      <c r="D42" s="162" t="s">
        <v>283</v>
      </c>
      <c r="E42" s="162" t="s">
        <v>284</v>
      </c>
    </row>
    <row r="43" spans="1:7" ht="52.05" customHeight="1" x14ac:dyDescent="0.3">
      <c r="A43" s="161" t="s">
        <v>285</v>
      </c>
      <c r="B43" s="162" t="s">
        <v>286</v>
      </c>
      <c r="C43" s="162" t="s">
        <v>287</v>
      </c>
      <c r="D43" s="162" t="s">
        <v>288</v>
      </c>
      <c r="E43" s="162" t="s">
        <v>289</v>
      </c>
    </row>
    <row r="44" spans="1:7" ht="79.95" customHeight="1" x14ac:dyDescent="0.3">
      <c r="A44" s="272" t="s">
        <v>290</v>
      </c>
      <c r="B44" s="198"/>
      <c r="C44" s="198"/>
      <c r="D44" s="198"/>
      <c r="E44" s="198"/>
      <c r="F44" s="198"/>
      <c r="G44" s="198"/>
    </row>
    <row r="45" spans="1:7" ht="60" customHeight="1" x14ac:dyDescent="0.3">
      <c r="A45" s="198"/>
      <c r="B45" s="198"/>
      <c r="C45" s="198"/>
      <c r="D45" s="198"/>
      <c r="E45" s="198"/>
      <c r="F45" s="198"/>
      <c r="G45" s="198"/>
    </row>
  </sheetData>
  <mergeCells count="24">
    <mergeCell ref="A45:G45"/>
    <mergeCell ref="A36:G36"/>
    <mergeCell ref="A1:G1"/>
    <mergeCell ref="F31:G31"/>
    <mergeCell ref="F28:G28"/>
    <mergeCell ref="A37:G37"/>
    <mergeCell ref="A27:G27"/>
    <mergeCell ref="A2:G2"/>
    <mergeCell ref="A33:D33"/>
    <mergeCell ref="A32:D32"/>
    <mergeCell ref="A44:G44"/>
    <mergeCell ref="F30:G30"/>
    <mergeCell ref="A31:D31"/>
    <mergeCell ref="A34:G34"/>
    <mergeCell ref="A30:D30"/>
    <mergeCell ref="F33:G33"/>
    <mergeCell ref="F32:G32"/>
    <mergeCell ref="F29:G29"/>
    <mergeCell ref="A4:G4"/>
    <mergeCell ref="A20:G20"/>
    <mergeCell ref="A29:D29"/>
    <mergeCell ref="A28:D28"/>
    <mergeCell ref="A19:G19"/>
    <mergeCell ref="A13:G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workbookViewId="0"/>
  </sheetViews>
  <sheetFormatPr defaultRowHeight="14.4" x14ac:dyDescent="0.3"/>
  <cols>
    <col min="1" max="1" width="36" customWidth="1"/>
    <col min="2" max="7" width="18" customWidth="1"/>
    <col min="8" max="8" width="30" customWidth="1"/>
  </cols>
  <sheetData>
    <row r="1" spans="1:8" ht="36" customHeight="1" x14ac:dyDescent="0.3">
      <c r="A1" s="279" t="s">
        <v>291</v>
      </c>
      <c r="B1" s="198"/>
      <c r="C1" s="198"/>
      <c r="D1" s="198"/>
      <c r="E1" s="198"/>
      <c r="F1" s="198"/>
      <c r="G1" s="198"/>
      <c r="H1" s="198"/>
    </row>
    <row r="2" spans="1:8" ht="19.95" customHeight="1" x14ac:dyDescent="0.3">
      <c r="A2" s="283" t="s">
        <v>292</v>
      </c>
      <c r="B2" s="198"/>
      <c r="C2" s="198"/>
      <c r="D2" s="198"/>
      <c r="E2" s="198"/>
      <c r="F2" s="198"/>
      <c r="G2" s="198"/>
      <c r="H2" s="198"/>
    </row>
    <row r="3" spans="1:8" ht="7.95" customHeight="1" x14ac:dyDescent="0.3"/>
    <row r="4" spans="1:8" ht="24" customHeight="1" x14ac:dyDescent="0.3">
      <c r="A4" s="264" t="s">
        <v>293</v>
      </c>
      <c r="B4" s="198"/>
      <c r="C4" s="198"/>
      <c r="D4" s="198"/>
      <c r="E4" s="198"/>
      <c r="F4" s="198"/>
      <c r="G4" s="198"/>
      <c r="H4" s="198"/>
    </row>
    <row r="5" spans="1:8" ht="40.049999999999997" customHeight="1" x14ac:dyDescent="0.3">
      <c r="A5" s="58"/>
      <c r="B5" s="58" t="s">
        <v>294</v>
      </c>
      <c r="C5" s="58" t="s">
        <v>295</v>
      </c>
      <c r="D5" s="58" t="s">
        <v>296</v>
      </c>
      <c r="E5" s="58" t="s">
        <v>297</v>
      </c>
      <c r="F5" s="58" t="s">
        <v>298</v>
      </c>
      <c r="G5" s="58" t="s">
        <v>299</v>
      </c>
      <c r="H5" s="58" t="s">
        <v>300</v>
      </c>
    </row>
    <row r="6" spans="1:8" ht="28.05" customHeight="1" x14ac:dyDescent="0.3">
      <c r="A6" s="12" t="s">
        <v>301</v>
      </c>
      <c r="B6" s="114">
        <v>287</v>
      </c>
      <c r="C6" s="114">
        <v>240</v>
      </c>
      <c r="D6" s="114">
        <v>203</v>
      </c>
      <c r="E6" s="114" t="e">
        <f>E5-47</f>
        <v>#VALUE!</v>
      </c>
      <c r="F6" s="114">
        <v>240</v>
      </c>
      <c r="G6" s="114">
        <v>203</v>
      </c>
      <c r="H6" s="139">
        <f>F6-G6</f>
        <v>37</v>
      </c>
    </row>
    <row r="7" spans="1:8" ht="28.05" customHeight="1" x14ac:dyDescent="0.3">
      <c r="A7" s="16" t="s">
        <v>302</v>
      </c>
      <c r="B7" s="117"/>
      <c r="C7" s="117">
        <v>-47</v>
      </c>
      <c r="D7" s="117">
        <v>-37</v>
      </c>
      <c r="E7" s="117">
        <v>-47</v>
      </c>
      <c r="F7" s="117">
        <v>0</v>
      </c>
      <c r="G7" s="117">
        <v>-37</v>
      </c>
      <c r="H7" s="140"/>
    </row>
    <row r="8" spans="1:8" ht="28.05" customHeight="1" x14ac:dyDescent="0.3">
      <c r="A8" s="14" t="s">
        <v>303</v>
      </c>
      <c r="B8" s="128">
        <v>0</v>
      </c>
      <c r="C8" s="128">
        <v>-47</v>
      </c>
      <c r="D8" s="128">
        <v>-84</v>
      </c>
      <c r="E8" s="128">
        <f>(4*2)*-1</f>
        <v>-8</v>
      </c>
      <c r="F8" s="128">
        <f>-47</f>
        <v>-47</v>
      </c>
      <c r="G8" s="128">
        <v>-84</v>
      </c>
      <c r="H8" s="141">
        <f>G6-F6</f>
        <v>-37</v>
      </c>
    </row>
    <row r="9" spans="1:8" ht="7.95" customHeight="1" x14ac:dyDescent="0.3"/>
    <row r="10" spans="1:8" ht="24" customHeight="1" x14ac:dyDescent="0.3">
      <c r="A10" s="291" t="s">
        <v>304</v>
      </c>
      <c r="B10" s="198"/>
      <c r="C10" s="198"/>
      <c r="D10" s="198"/>
      <c r="E10" s="198"/>
      <c r="F10" s="198"/>
      <c r="G10" s="198"/>
      <c r="H10" s="198"/>
    </row>
    <row r="11" spans="1:8" ht="25.95" customHeight="1" x14ac:dyDescent="0.3">
      <c r="A11" s="58"/>
      <c r="B11" s="58" t="s">
        <v>305</v>
      </c>
      <c r="C11" s="58" t="s">
        <v>306</v>
      </c>
      <c r="D11" s="58"/>
    </row>
    <row r="12" spans="1:8" ht="52.05" customHeight="1" x14ac:dyDescent="0.3">
      <c r="A12" s="59" t="s">
        <v>307</v>
      </c>
      <c r="B12" s="286" t="s">
        <v>308</v>
      </c>
      <c r="C12" s="267"/>
      <c r="D12" s="268"/>
      <c r="E12" s="287" t="s">
        <v>309</v>
      </c>
      <c r="F12" s="267"/>
      <c r="G12" s="267"/>
      <c r="H12" s="268"/>
    </row>
    <row r="13" spans="1:8" ht="52.05" customHeight="1" x14ac:dyDescent="0.3">
      <c r="A13" s="59" t="s">
        <v>310</v>
      </c>
      <c r="B13" s="286" t="s">
        <v>311</v>
      </c>
      <c r="C13" s="267"/>
      <c r="D13" s="268"/>
      <c r="E13" s="287" t="s">
        <v>312</v>
      </c>
      <c r="F13" s="267"/>
      <c r="G13" s="267"/>
      <c r="H13" s="268"/>
    </row>
    <row r="14" spans="1:8" ht="52.05" customHeight="1" x14ac:dyDescent="0.3">
      <c r="A14" s="59" t="s">
        <v>313</v>
      </c>
      <c r="B14" s="286" t="s">
        <v>314</v>
      </c>
      <c r="C14" s="267"/>
      <c r="D14" s="268"/>
      <c r="E14" s="287" t="s">
        <v>315</v>
      </c>
      <c r="F14" s="267"/>
      <c r="G14" s="267"/>
      <c r="H14" s="268"/>
    </row>
    <row r="15" spans="1:8" ht="52.05" customHeight="1" x14ac:dyDescent="0.3">
      <c r="A15" s="59" t="s">
        <v>316</v>
      </c>
      <c r="B15" s="289" t="s">
        <v>317</v>
      </c>
      <c r="C15" s="267"/>
      <c r="D15" s="268"/>
      <c r="E15" s="289" t="s">
        <v>318</v>
      </c>
      <c r="F15" s="267"/>
      <c r="G15" s="267"/>
      <c r="H15" s="268"/>
    </row>
    <row r="16" spans="1:8" ht="52.05" customHeight="1" x14ac:dyDescent="0.3">
      <c r="A16" s="59" t="s">
        <v>319</v>
      </c>
      <c r="B16" s="286" t="s">
        <v>320</v>
      </c>
      <c r="C16" s="267"/>
      <c r="D16" s="268"/>
      <c r="E16" s="287" t="s">
        <v>321</v>
      </c>
      <c r="F16" s="267"/>
      <c r="G16" s="267"/>
      <c r="H16" s="268"/>
    </row>
    <row r="17" spans="1:8" ht="7.95" customHeight="1" x14ac:dyDescent="0.3"/>
    <row r="18" spans="1:8" ht="24" customHeight="1" x14ac:dyDescent="0.3">
      <c r="A18" s="270" t="s">
        <v>322</v>
      </c>
      <c r="B18" s="198"/>
      <c r="C18" s="198"/>
      <c r="D18" s="198"/>
      <c r="E18" s="198"/>
      <c r="F18" s="198"/>
      <c r="G18" s="198"/>
      <c r="H18" s="198"/>
    </row>
    <row r="19" spans="1:8" ht="36" customHeight="1" x14ac:dyDescent="0.3">
      <c r="A19" s="58" t="s">
        <v>323</v>
      </c>
      <c r="B19" s="58" t="s">
        <v>324</v>
      </c>
      <c r="C19" s="58" t="s">
        <v>325</v>
      </c>
      <c r="D19" s="58" t="s">
        <v>326</v>
      </c>
      <c r="E19" s="58" t="s">
        <v>327</v>
      </c>
      <c r="F19" s="58" t="s">
        <v>328</v>
      </c>
      <c r="G19" s="58" t="s">
        <v>329</v>
      </c>
      <c r="H19" s="58" t="s">
        <v>330</v>
      </c>
    </row>
    <row r="20" spans="1:8" ht="31.95" customHeight="1" x14ac:dyDescent="0.3">
      <c r="A20" s="12" t="s">
        <v>331</v>
      </c>
      <c r="B20" s="114">
        <v>287</v>
      </c>
      <c r="C20" s="114">
        <v>240</v>
      </c>
      <c r="D20" s="114">
        <v>203</v>
      </c>
      <c r="E20" s="114">
        <f>D20*(1-Inputs!C22*Inputs!C21)*1.05</f>
        <v>177.44737500000002</v>
      </c>
      <c r="F20" s="114">
        <f>E20*(1-Inputs!C22*Inputs!C21*0.85)*1.05</f>
        <v>159.79247023359378</v>
      </c>
      <c r="G20" s="114">
        <f>F20*(1-Inputs!C22*Inputs!C21*0.7)*1.05</f>
        <v>148.10964325364014</v>
      </c>
      <c r="H20" s="139"/>
    </row>
    <row r="21" spans="1:8" ht="31.95" customHeight="1" x14ac:dyDescent="0.3">
      <c r="A21" s="16" t="s">
        <v>332</v>
      </c>
      <c r="B21" s="117">
        <v>287</v>
      </c>
      <c r="C21" s="117">
        <v>240</v>
      </c>
      <c r="D21" s="117">
        <v>240</v>
      </c>
      <c r="E21" s="117">
        <v>240</v>
      </c>
      <c r="F21" s="117">
        <v>240</v>
      </c>
      <c r="G21" s="117">
        <v>240</v>
      </c>
      <c r="H21" s="140"/>
    </row>
    <row r="22" spans="1:8" ht="31.95" customHeight="1" x14ac:dyDescent="0.3">
      <c r="A22" s="36" t="s">
        <v>333</v>
      </c>
      <c r="B22" s="120">
        <v>287</v>
      </c>
      <c r="C22" s="120">
        <v>240</v>
      </c>
      <c r="D22" s="120">
        <v>193</v>
      </c>
      <c r="E22" s="120">
        <v>146</v>
      </c>
      <c r="F22" s="120">
        <v>99</v>
      </c>
      <c r="G22" s="120">
        <v>52</v>
      </c>
      <c r="H22" s="142"/>
    </row>
    <row r="23" spans="1:8" ht="31.95" customHeight="1" x14ac:dyDescent="0.3">
      <c r="A23" s="14" t="s">
        <v>334</v>
      </c>
      <c r="B23" s="128"/>
      <c r="C23" s="128"/>
      <c r="D23" s="128" t="e">
        <f>D18-D19</f>
        <v>#VALUE!</v>
      </c>
      <c r="E23" s="128" t="e">
        <f>E18-E19</f>
        <v>#VALUE!</v>
      </c>
      <c r="F23" s="128" t="e">
        <f>F18-F19</f>
        <v>#VALUE!</v>
      </c>
      <c r="G23" s="128" t="e">
        <f>G18-G19</f>
        <v>#VALUE!</v>
      </c>
      <c r="H23" s="141">
        <f>SUM(D20:G20)</f>
        <v>688.34948848723388</v>
      </c>
    </row>
    <row r="24" spans="1:8" ht="31.95" customHeight="1" x14ac:dyDescent="0.3">
      <c r="A24" s="42" t="s">
        <v>335</v>
      </c>
      <c r="B24" s="131"/>
      <c r="C24" s="131"/>
      <c r="D24" s="131">
        <f>D17-D18</f>
        <v>0</v>
      </c>
      <c r="E24" s="131">
        <f>E17-E18</f>
        <v>0</v>
      </c>
      <c r="F24" s="131">
        <f>F17-F18</f>
        <v>0</v>
      </c>
      <c r="G24" s="131">
        <f>G17-G18</f>
        <v>0</v>
      </c>
      <c r="H24" s="143">
        <f>SUM(D19:G19)</f>
        <v>0</v>
      </c>
    </row>
    <row r="25" spans="1:8" ht="7.95" customHeight="1" x14ac:dyDescent="0.3"/>
    <row r="26" spans="1:8" ht="64.05" customHeight="1" x14ac:dyDescent="0.3">
      <c r="A26" s="275" t="s">
        <v>336</v>
      </c>
      <c r="B26" s="198"/>
      <c r="C26" s="198"/>
      <c r="D26" s="198"/>
      <c r="E26" s="198"/>
      <c r="F26" s="198"/>
      <c r="G26" s="198"/>
      <c r="H26" s="198"/>
    </row>
    <row r="28" spans="1:8" ht="24" customHeight="1" x14ac:dyDescent="0.3">
      <c r="A28" s="239" t="s">
        <v>337</v>
      </c>
      <c r="B28" s="198"/>
      <c r="C28" s="198"/>
      <c r="D28" s="198"/>
      <c r="E28" s="198"/>
      <c r="F28" s="198"/>
      <c r="G28" s="198"/>
      <c r="H28" s="198"/>
    </row>
    <row r="29" spans="1:8" ht="52.05" customHeight="1" x14ac:dyDescent="0.3">
      <c r="A29" s="290" t="s">
        <v>338</v>
      </c>
      <c r="B29" s="198"/>
      <c r="C29" s="198"/>
      <c r="D29" s="198"/>
      <c r="E29" s="198"/>
      <c r="F29" s="198"/>
      <c r="G29" s="198"/>
      <c r="H29" s="198"/>
    </row>
    <row r="30" spans="1:8" ht="36" customHeight="1" x14ac:dyDescent="0.3">
      <c r="A30" s="163"/>
      <c r="B30" s="58" t="s">
        <v>339</v>
      </c>
      <c r="C30" s="58" t="s">
        <v>340</v>
      </c>
      <c r="D30" s="58" t="s">
        <v>341</v>
      </c>
      <c r="E30" s="58" t="s">
        <v>342</v>
      </c>
    </row>
    <row r="31" spans="1:8" ht="31.95" customHeight="1" x14ac:dyDescent="0.3">
      <c r="A31" s="15" t="s">
        <v>343</v>
      </c>
      <c r="B31" s="164" t="s">
        <v>344</v>
      </c>
      <c r="C31" s="165" t="s">
        <v>345</v>
      </c>
      <c r="D31" s="166" t="s">
        <v>346</v>
      </c>
      <c r="E31" s="286" t="s">
        <v>347</v>
      </c>
      <c r="F31" s="267"/>
      <c r="G31" s="267"/>
      <c r="H31" s="268"/>
    </row>
    <row r="32" spans="1:8" ht="31.95" customHeight="1" x14ac:dyDescent="0.3">
      <c r="A32" s="15" t="s">
        <v>348</v>
      </c>
      <c r="B32" s="164" t="s">
        <v>349</v>
      </c>
      <c r="C32" s="165" t="s">
        <v>350</v>
      </c>
      <c r="D32" s="166" t="s">
        <v>351</v>
      </c>
      <c r="E32" s="286" t="s">
        <v>352</v>
      </c>
      <c r="F32" s="267"/>
      <c r="G32" s="267"/>
      <c r="H32" s="268"/>
    </row>
    <row r="33" spans="1:8" ht="31.95" customHeight="1" x14ac:dyDescent="0.3">
      <c r="A33" s="11" t="s">
        <v>353</v>
      </c>
      <c r="B33" s="164" t="s">
        <v>354</v>
      </c>
      <c r="C33" s="165" t="s">
        <v>355</v>
      </c>
      <c r="D33" s="166" t="s">
        <v>356</v>
      </c>
      <c r="E33" s="287" t="s">
        <v>357</v>
      </c>
      <c r="F33" s="267"/>
      <c r="G33" s="267"/>
      <c r="H33" s="268"/>
    </row>
    <row r="34" spans="1:8" ht="31.95" customHeight="1" x14ac:dyDescent="0.3">
      <c r="A34" s="11" t="s">
        <v>358</v>
      </c>
      <c r="B34" s="164" t="s">
        <v>359</v>
      </c>
      <c r="C34" s="165" t="s">
        <v>359</v>
      </c>
      <c r="D34" s="166" t="s">
        <v>360</v>
      </c>
      <c r="E34" s="287" t="s">
        <v>361</v>
      </c>
      <c r="F34" s="267"/>
      <c r="G34" s="267"/>
      <c r="H34" s="268"/>
    </row>
    <row r="35" spans="1:8" ht="31.95" customHeight="1" x14ac:dyDescent="0.3">
      <c r="A35" s="11" t="s">
        <v>362</v>
      </c>
      <c r="B35" s="164" t="s">
        <v>363</v>
      </c>
      <c r="C35" s="165" t="s">
        <v>364</v>
      </c>
      <c r="D35" s="166" t="s">
        <v>365</v>
      </c>
      <c r="E35" s="287" t="s">
        <v>366</v>
      </c>
      <c r="F35" s="267"/>
      <c r="G35" s="267"/>
      <c r="H35" s="268"/>
    </row>
    <row r="36" spans="1:8" ht="48" customHeight="1" x14ac:dyDescent="0.3">
      <c r="A36" s="123" t="s">
        <v>367</v>
      </c>
      <c r="B36" s="164" t="s">
        <v>368</v>
      </c>
      <c r="C36" s="165" t="s">
        <v>369</v>
      </c>
      <c r="D36" s="166" t="s">
        <v>370</v>
      </c>
      <c r="E36" s="292" t="s">
        <v>371</v>
      </c>
      <c r="F36" s="267"/>
      <c r="G36" s="267"/>
      <c r="H36" s="268"/>
    </row>
    <row r="37" spans="1:8" ht="48" customHeight="1" x14ac:dyDescent="0.3">
      <c r="A37" s="167" t="s">
        <v>372</v>
      </c>
      <c r="B37" s="164" t="s">
        <v>373</v>
      </c>
      <c r="C37" s="165" t="s">
        <v>374</v>
      </c>
      <c r="D37" s="166" t="s">
        <v>375</v>
      </c>
      <c r="E37" s="288" t="s">
        <v>376</v>
      </c>
      <c r="F37" s="267"/>
      <c r="G37" s="267"/>
      <c r="H37" s="268"/>
    </row>
    <row r="38" spans="1:8" ht="72" customHeight="1" x14ac:dyDescent="0.3">
      <c r="A38" s="206" t="s">
        <v>377</v>
      </c>
      <c r="B38" s="198"/>
      <c r="C38" s="198"/>
      <c r="D38" s="198"/>
      <c r="E38" s="198"/>
      <c r="F38" s="198"/>
      <c r="G38" s="198"/>
      <c r="H38" s="198"/>
    </row>
  </sheetData>
  <mergeCells count="26">
    <mergeCell ref="A38:H38"/>
    <mergeCell ref="A10:H10"/>
    <mergeCell ref="A28:H28"/>
    <mergeCell ref="E15:H15"/>
    <mergeCell ref="B12:D12"/>
    <mergeCell ref="E36:H36"/>
    <mergeCell ref="E37:H37"/>
    <mergeCell ref="E12:H12"/>
    <mergeCell ref="B15:D15"/>
    <mergeCell ref="E33:H33"/>
    <mergeCell ref="E14:H14"/>
    <mergeCell ref="A18:H18"/>
    <mergeCell ref="A26:H26"/>
    <mergeCell ref="E35:H35"/>
    <mergeCell ref="B16:D16"/>
    <mergeCell ref="E13:H13"/>
    <mergeCell ref="A29:H29"/>
    <mergeCell ref="E31:H31"/>
    <mergeCell ref="E34:H34"/>
    <mergeCell ref="B14:D14"/>
    <mergeCell ref="E16:H16"/>
    <mergeCell ref="B13:D13"/>
    <mergeCell ref="A1:H1"/>
    <mergeCell ref="E32:H32"/>
    <mergeCell ref="A2:H2"/>
    <mergeCell ref="A4:H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sheetViews>
  <sheetFormatPr defaultRowHeight="14.4" x14ac:dyDescent="0.3"/>
  <cols>
    <col min="1" max="1" width="32" customWidth="1"/>
    <col min="2" max="4" width="20" customWidth="1"/>
    <col min="5" max="6" width="22" customWidth="1"/>
    <col min="7" max="7" width="30" customWidth="1"/>
  </cols>
  <sheetData>
    <row r="1" spans="1:7" ht="36" customHeight="1" x14ac:dyDescent="0.3">
      <c r="A1" s="279" t="s">
        <v>378</v>
      </c>
      <c r="B1" s="198"/>
      <c r="C1" s="198"/>
      <c r="D1" s="198"/>
      <c r="E1" s="198"/>
      <c r="F1" s="198"/>
      <c r="G1" s="198"/>
    </row>
    <row r="2" spans="1:7" ht="19.95" customHeight="1" x14ac:dyDescent="0.3">
      <c r="A2" s="283" t="s">
        <v>379</v>
      </c>
      <c r="B2" s="198"/>
      <c r="C2" s="198"/>
      <c r="D2" s="198"/>
      <c r="E2" s="198"/>
      <c r="F2" s="198"/>
      <c r="G2" s="198"/>
    </row>
    <row r="3" spans="1:7" ht="7.95" customHeight="1" x14ac:dyDescent="0.3"/>
    <row r="4" spans="1:7" ht="24" customHeight="1" x14ac:dyDescent="0.3">
      <c r="A4" s="264" t="s">
        <v>380</v>
      </c>
      <c r="B4" s="198"/>
      <c r="C4" s="198"/>
      <c r="D4" s="198"/>
      <c r="E4" s="198"/>
      <c r="F4" s="198"/>
      <c r="G4" s="198"/>
    </row>
    <row r="5" spans="1:7" ht="36" customHeight="1" x14ac:dyDescent="0.3">
      <c r="A5" s="58" t="s">
        <v>381</v>
      </c>
      <c r="B5" s="58" t="s">
        <v>382</v>
      </c>
      <c r="C5" s="58" t="s">
        <v>383</v>
      </c>
      <c r="D5" s="58" t="s">
        <v>384</v>
      </c>
      <c r="E5" s="58" t="s">
        <v>385</v>
      </c>
      <c r="F5" s="58" t="s">
        <v>386</v>
      </c>
      <c r="G5" s="58" t="s">
        <v>387</v>
      </c>
    </row>
    <row r="6" spans="1:7" ht="52.05" customHeight="1" x14ac:dyDescent="0.3">
      <c r="A6" s="16" t="s">
        <v>388</v>
      </c>
      <c r="B6" s="144">
        <f>ROUND(Inputs!C9/((2300000/0.67)*12),2)</f>
        <v>6.97</v>
      </c>
      <c r="C6" s="144">
        <f>ROUND(Inputs!C9*0.87/((2300000/0.67)*12),2)</f>
        <v>6.06</v>
      </c>
      <c r="D6" s="144">
        <f>ROUND(203000000/((2300000/0.67)*12*1.2),2)</f>
        <v>4.1100000000000003</v>
      </c>
      <c r="E6" s="145">
        <f>C6-B6</f>
        <v>-0.91000000000000014</v>
      </c>
      <c r="F6" s="146">
        <f>(C6-B6)/B6</f>
        <v>-0.13055954088952657</v>
      </c>
      <c r="G6" s="119" t="s">
        <v>389</v>
      </c>
    </row>
    <row r="7" spans="1:7" ht="52.05" customHeight="1" x14ac:dyDescent="0.3">
      <c r="A7" s="12" t="s">
        <v>390</v>
      </c>
      <c r="B7" s="147" t="s">
        <v>50</v>
      </c>
      <c r="C7" s="147">
        <f>Inputs!C21</f>
        <v>0.67</v>
      </c>
      <c r="D7" s="147" t="s">
        <v>391</v>
      </c>
      <c r="E7" s="148">
        <f>C6-B6</f>
        <v>-0.91000000000000014</v>
      </c>
      <c r="F7" s="148">
        <f>(C6-B6)/1</f>
        <v>-0.91000000000000014</v>
      </c>
      <c r="G7" s="116" t="s">
        <v>392</v>
      </c>
    </row>
    <row r="8" spans="1:7" ht="52.05" customHeight="1" x14ac:dyDescent="0.3">
      <c r="A8" s="12" t="s">
        <v>393</v>
      </c>
      <c r="B8" s="149">
        <f>Inputs!C11</f>
        <v>11</v>
      </c>
      <c r="C8" s="149">
        <f>Inputs!C24</f>
        <v>2</v>
      </c>
      <c r="D8" s="149" t="s">
        <v>6</v>
      </c>
      <c r="E8" s="150">
        <f>C6-B6</f>
        <v>-0.91000000000000014</v>
      </c>
      <c r="F8" s="148">
        <f>(C6-B6)/B6</f>
        <v>-0.13055954088952657</v>
      </c>
      <c r="G8" s="116" t="s">
        <v>394</v>
      </c>
    </row>
    <row r="9" spans="1:7" ht="52.05" customHeight="1" x14ac:dyDescent="0.3">
      <c r="A9" s="14" t="s">
        <v>395</v>
      </c>
      <c r="B9" s="151">
        <f>0.68</f>
        <v>0.68</v>
      </c>
      <c r="C9" s="151">
        <f>0.76</f>
        <v>0.76</v>
      </c>
      <c r="D9" s="151">
        <f>0.78</f>
        <v>0.78</v>
      </c>
      <c r="E9" s="152">
        <f>C6-B6</f>
        <v>-0.91000000000000014</v>
      </c>
      <c r="F9" s="152">
        <f>(C6-B6)/B6</f>
        <v>-0.13055954088952657</v>
      </c>
      <c r="G9" s="130" t="s">
        <v>396</v>
      </c>
    </row>
    <row r="10" spans="1:7" ht="52.05" customHeight="1" x14ac:dyDescent="0.3">
      <c r="A10" s="12" t="s">
        <v>397</v>
      </c>
      <c r="B10" s="147">
        <f>0.32</f>
        <v>0.32</v>
      </c>
      <c r="C10" s="147">
        <f>0.24</f>
        <v>0.24</v>
      </c>
      <c r="D10" s="147">
        <f>0.22</f>
        <v>0.22</v>
      </c>
      <c r="E10" s="148">
        <f>C6-B6</f>
        <v>-0.91000000000000014</v>
      </c>
      <c r="F10" s="148">
        <f>(C6-B6)/B6</f>
        <v>-0.13055954088952657</v>
      </c>
      <c r="G10" s="116" t="s">
        <v>398</v>
      </c>
    </row>
    <row r="11" spans="1:7" ht="52.05" customHeight="1" x14ac:dyDescent="0.3">
      <c r="A11" s="12" t="s">
        <v>399</v>
      </c>
      <c r="B11" s="153">
        <f>Inputs!C12</f>
        <v>0.32</v>
      </c>
      <c r="C11" s="153">
        <f>0.28</f>
        <v>0.28000000000000003</v>
      </c>
      <c r="D11" s="153">
        <f>0.19</f>
        <v>0.19</v>
      </c>
      <c r="E11" s="154">
        <f>C6-B6</f>
        <v>-0.91000000000000014</v>
      </c>
      <c r="F11" s="148">
        <f>(C6-B6)/B6</f>
        <v>-0.13055954088952657</v>
      </c>
      <c r="G11" s="116" t="s">
        <v>400</v>
      </c>
    </row>
    <row r="12" spans="1:7" ht="52.05" customHeight="1" x14ac:dyDescent="0.3">
      <c r="A12" s="14" t="s">
        <v>401</v>
      </c>
      <c r="B12" s="151">
        <f>0.95</f>
        <v>0.95</v>
      </c>
      <c r="C12" s="151">
        <f>0.65</f>
        <v>0.65</v>
      </c>
      <c r="D12" s="151">
        <f>0.75</f>
        <v>0.75</v>
      </c>
      <c r="E12" s="152">
        <f>C6-B6</f>
        <v>-0.91000000000000014</v>
      </c>
      <c r="F12" s="152">
        <f>(C6-B6)/B6</f>
        <v>-0.13055954088952657</v>
      </c>
      <c r="G12" s="130" t="s">
        <v>402</v>
      </c>
    </row>
    <row r="13" spans="1:7" ht="52.05" customHeight="1" x14ac:dyDescent="0.3">
      <c r="A13" s="16" t="s">
        <v>403</v>
      </c>
      <c r="B13" s="117">
        <f>Inputs!C49</f>
        <v>369000</v>
      </c>
      <c r="C13" s="117">
        <f>450000</f>
        <v>450000</v>
      </c>
      <c r="D13" s="117">
        <f>Inputs!C50</f>
        <v>1000000</v>
      </c>
      <c r="E13" s="145">
        <f>C6-B6</f>
        <v>-0.91000000000000014</v>
      </c>
      <c r="F13" s="146">
        <f>(C6-B6)/B6</f>
        <v>-0.13055954088952657</v>
      </c>
      <c r="G13" s="119" t="s">
        <v>404</v>
      </c>
    </row>
    <row r="14" spans="1:7" ht="7.95" customHeight="1" x14ac:dyDescent="0.3"/>
    <row r="15" spans="1:7" ht="24" customHeight="1" x14ac:dyDescent="0.3">
      <c r="A15" s="270" t="s">
        <v>405</v>
      </c>
      <c r="B15" s="198"/>
      <c r="C15" s="198"/>
      <c r="D15" s="198"/>
      <c r="E15" s="198"/>
      <c r="F15" s="198"/>
      <c r="G15" s="198"/>
    </row>
    <row r="16" spans="1:7" ht="25.95" customHeight="1" x14ac:dyDescent="0.3">
      <c r="A16" s="58" t="s">
        <v>406</v>
      </c>
      <c r="B16" s="58" t="s">
        <v>407</v>
      </c>
      <c r="C16" s="58" t="s">
        <v>408</v>
      </c>
    </row>
    <row r="17" spans="1:7" ht="60" customHeight="1" x14ac:dyDescent="0.3">
      <c r="A17" s="11" t="s">
        <v>409</v>
      </c>
      <c r="B17" s="12" t="s">
        <v>410</v>
      </c>
      <c r="C17" s="12" t="s">
        <v>411</v>
      </c>
    </row>
    <row r="18" spans="1:7" ht="60" customHeight="1" x14ac:dyDescent="0.3">
      <c r="A18" s="13" t="s">
        <v>412</v>
      </c>
      <c r="B18" s="14" t="s">
        <v>413</v>
      </c>
      <c r="C18" s="14" t="s">
        <v>414</v>
      </c>
    </row>
    <row r="19" spans="1:7" ht="60" customHeight="1" x14ac:dyDescent="0.3">
      <c r="A19" s="15" t="s">
        <v>415</v>
      </c>
      <c r="B19" s="16" t="s">
        <v>416</v>
      </c>
      <c r="C19" s="16" t="s">
        <v>417</v>
      </c>
    </row>
    <row r="20" spans="1:7" ht="60" customHeight="1" x14ac:dyDescent="0.3">
      <c r="A20" s="155" t="s">
        <v>418</v>
      </c>
      <c r="B20" s="156" t="s">
        <v>419</v>
      </c>
      <c r="C20" s="156" t="s">
        <v>420</v>
      </c>
    </row>
    <row r="21" spans="1:7" ht="7.95" customHeight="1" x14ac:dyDescent="0.3"/>
    <row r="22" spans="1:7" ht="24" customHeight="1" x14ac:dyDescent="0.3">
      <c r="A22" s="271" t="s">
        <v>421</v>
      </c>
      <c r="B22" s="198"/>
      <c r="C22" s="198"/>
      <c r="D22" s="198"/>
      <c r="E22" s="198"/>
      <c r="F22" s="198"/>
      <c r="G22" s="198"/>
    </row>
    <row r="23" spans="1:7" ht="25.95" customHeight="1" x14ac:dyDescent="0.3">
      <c r="A23" s="58" t="s">
        <v>422</v>
      </c>
      <c r="B23" s="58" t="s">
        <v>423</v>
      </c>
      <c r="C23" s="58" t="s">
        <v>424</v>
      </c>
    </row>
    <row r="24" spans="1:7" ht="55.95" customHeight="1" x14ac:dyDescent="0.3">
      <c r="A24" s="12" t="s">
        <v>425</v>
      </c>
      <c r="B24" s="116" t="s">
        <v>426</v>
      </c>
      <c r="C24" s="116" t="s">
        <v>427</v>
      </c>
    </row>
    <row r="25" spans="1:7" ht="55.95" customHeight="1" x14ac:dyDescent="0.3">
      <c r="A25" s="12" t="s">
        <v>428</v>
      </c>
      <c r="B25" s="116" t="s">
        <v>429</v>
      </c>
      <c r="C25" s="116" t="s">
        <v>427</v>
      </c>
    </row>
    <row r="26" spans="1:7" ht="55.95" customHeight="1" x14ac:dyDescent="0.3">
      <c r="A26" s="12" t="s">
        <v>430</v>
      </c>
      <c r="B26" s="116" t="s">
        <v>431</v>
      </c>
      <c r="C26" s="116" t="s">
        <v>427</v>
      </c>
    </row>
    <row r="27" spans="1:7" ht="55.95" customHeight="1" x14ac:dyDescent="0.3">
      <c r="A27" s="16" t="s">
        <v>432</v>
      </c>
      <c r="B27" s="119" t="s">
        <v>433</v>
      </c>
      <c r="C27" s="119" t="s">
        <v>434</v>
      </c>
    </row>
    <row r="28" spans="1:7" ht="55.95" customHeight="1" x14ac:dyDescent="0.3">
      <c r="A28" s="12" t="s">
        <v>435</v>
      </c>
      <c r="B28" s="116" t="s">
        <v>436</v>
      </c>
      <c r="C28" s="116" t="s">
        <v>427</v>
      </c>
    </row>
  </sheetData>
  <mergeCells count="5">
    <mergeCell ref="A1:G1"/>
    <mergeCell ref="A22:G22"/>
    <mergeCell ref="A4:G4"/>
    <mergeCell ref="A2:G2"/>
    <mergeCell ref="A15:G1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7"/>
  <sheetViews>
    <sheetView workbookViewId="0">
      <pane xSplit="1" ySplit="5" topLeftCell="B6" activePane="bottomRight" state="frozen"/>
      <selection pane="topRight"/>
      <selection pane="bottomLeft"/>
      <selection pane="bottomRight"/>
    </sheetView>
  </sheetViews>
  <sheetFormatPr defaultRowHeight="14.4" x14ac:dyDescent="0.3"/>
  <cols>
    <col min="1" max="1" width="5" customWidth="1"/>
    <col min="2" max="2" width="36" customWidth="1"/>
    <col min="3" max="3" width="18" customWidth="1"/>
    <col min="4" max="4" width="14" customWidth="1"/>
    <col min="5" max="5" width="42" customWidth="1"/>
  </cols>
  <sheetData>
    <row r="1" spans="1:5" ht="34.049999999999997" customHeight="1" x14ac:dyDescent="0.3">
      <c r="A1" s="279" t="s">
        <v>437</v>
      </c>
      <c r="B1" s="198"/>
      <c r="C1" s="198"/>
      <c r="D1" s="198"/>
      <c r="E1" s="198"/>
    </row>
    <row r="2" spans="1:5" ht="18" customHeight="1" x14ac:dyDescent="0.3">
      <c r="A2" s="283" t="s">
        <v>438</v>
      </c>
      <c r="B2" s="198"/>
      <c r="C2" s="198"/>
      <c r="D2" s="198"/>
      <c r="E2" s="198"/>
    </row>
    <row r="3" spans="1:5" ht="16.05" customHeight="1" x14ac:dyDescent="0.3">
      <c r="A3" s="294" t="s">
        <v>439</v>
      </c>
      <c r="B3" s="198"/>
      <c r="C3" s="198"/>
      <c r="D3" s="198"/>
      <c r="E3" s="198"/>
    </row>
    <row r="4" spans="1:5" ht="7.95" customHeight="1" x14ac:dyDescent="0.3"/>
    <row r="5" spans="1:5" ht="22.05" customHeight="1" x14ac:dyDescent="0.3">
      <c r="A5" s="222" t="s">
        <v>440</v>
      </c>
      <c r="B5" s="198"/>
      <c r="C5" s="198"/>
      <c r="D5" s="198"/>
      <c r="E5" s="198"/>
    </row>
    <row r="6" spans="1:5" ht="28.05" customHeight="1" x14ac:dyDescent="0.3">
      <c r="A6" s="20"/>
      <c r="B6" s="21" t="s">
        <v>441</v>
      </c>
      <c r="C6" s="22">
        <v>5441</v>
      </c>
      <c r="D6" s="23" t="s">
        <v>442</v>
      </c>
      <c r="E6" s="24" t="s">
        <v>443</v>
      </c>
    </row>
    <row r="7" spans="1:5" ht="28.05" customHeight="1" x14ac:dyDescent="0.3">
      <c r="A7" s="20"/>
      <c r="B7" s="21" t="s">
        <v>444</v>
      </c>
      <c r="C7" s="22">
        <v>3000</v>
      </c>
      <c r="D7" s="23" t="s">
        <v>442</v>
      </c>
      <c r="E7" s="24" t="s">
        <v>445</v>
      </c>
    </row>
    <row r="8" spans="1:5" ht="28.05" customHeight="1" x14ac:dyDescent="0.3">
      <c r="A8" s="20"/>
      <c r="B8" s="21" t="s">
        <v>446</v>
      </c>
      <c r="C8" s="22">
        <v>1904000000</v>
      </c>
      <c r="D8" s="23" t="s">
        <v>447</v>
      </c>
      <c r="E8" s="24" t="s">
        <v>448</v>
      </c>
    </row>
    <row r="9" spans="1:5" ht="28.05" customHeight="1" x14ac:dyDescent="0.3">
      <c r="A9" s="20"/>
      <c r="B9" s="21" t="s">
        <v>449</v>
      </c>
      <c r="C9" s="22">
        <v>287000000</v>
      </c>
      <c r="D9" s="23" t="s">
        <v>447</v>
      </c>
      <c r="E9" s="24" t="s">
        <v>450</v>
      </c>
    </row>
    <row r="10" spans="1:5" ht="28.05" customHeight="1" x14ac:dyDescent="0.3">
      <c r="A10" s="25"/>
      <c r="B10" s="14" t="s">
        <v>451</v>
      </c>
      <c r="C10" s="22">
        <v>35000</v>
      </c>
      <c r="D10" s="26" t="s">
        <v>452</v>
      </c>
      <c r="E10" s="7" t="s">
        <v>453</v>
      </c>
    </row>
    <row r="11" spans="1:5" ht="28.05" customHeight="1" x14ac:dyDescent="0.3">
      <c r="A11" s="20"/>
      <c r="B11" s="21" t="s">
        <v>454</v>
      </c>
      <c r="C11" s="22">
        <v>11</v>
      </c>
      <c r="D11" s="23" t="s">
        <v>455</v>
      </c>
      <c r="E11" s="24" t="s">
        <v>456</v>
      </c>
    </row>
    <row r="12" spans="1:5" ht="28.05" customHeight="1" x14ac:dyDescent="0.3">
      <c r="A12" s="20"/>
      <c r="B12" s="21" t="s">
        <v>457</v>
      </c>
      <c r="C12" s="22">
        <v>0.32</v>
      </c>
      <c r="D12" s="23" t="s">
        <v>458</v>
      </c>
      <c r="E12" s="24" t="s">
        <v>459</v>
      </c>
    </row>
    <row r="13" spans="1:5" ht="6" customHeight="1" x14ac:dyDescent="0.3">
      <c r="A13" s="27"/>
      <c r="B13" s="27"/>
      <c r="C13" s="27"/>
      <c r="D13" s="27"/>
      <c r="E13" s="27"/>
    </row>
    <row r="14" spans="1:5" ht="22.05" customHeight="1" x14ac:dyDescent="0.3">
      <c r="A14" s="239" t="s">
        <v>460</v>
      </c>
      <c r="B14" s="198"/>
      <c r="C14" s="198"/>
      <c r="D14" s="198"/>
      <c r="E14" s="198"/>
    </row>
    <row r="15" spans="1:5" ht="28.05" customHeight="1" x14ac:dyDescent="0.3">
      <c r="A15" s="25"/>
      <c r="B15" s="14" t="s">
        <v>461</v>
      </c>
      <c r="C15" s="22">
        <v>1250000</v>
      </c>
      <c r="D15" s="26" t="s">
        <v>447</v>
      </c>
      <c r="E15" s="7" t="s">
        <v>462</v>
      </c>
    </row>
    <row r="16" spans="1:5" ht="28.05" customHeight="1" x14ac:dyDescent="0.3">
      <c r="A16" s="25"/>
      <c r="B16" s="14" t="s">
        <v>463</v>
      </c>
      <c r="C16" s="22">
        <v>3000000</v>
      </c>
      <c r="D16" s="26" t="s">
        <v>464</v>
      </c>
      <c r="E16" s="7" t="s">
        <v>465</v>
      </c>
    </row>
    <row r="17" spans="1:5" ht="28.05" customHeight="1" x14ac:dyDescent="0.3">
      <c r="A17" s="25"/>
      <c r="B17" s="14" t="s">
        <v>466</v>
      </c>
      <c r="C17" s="22">
        <v>500000</v>
      </c>
      <c r="D17" s="26" t="s">
        <v>464</v>
      </c>
      <c r="E17" s="7" t="s">
        <v>467</v>
      </c>
    </row>
    <row r="18" spans="1:5" ht="28.05" customHeight="1" x14ac:dyDescent="0.3">
      <c r="A18" s="25"/>
      <c r="B18" s="14" t="s">
        <v>468</v>
      </c>
      <c r="C18" s="22">
        <v>200000</v>
      </c>
      <c r="D18" s="26" t="s">
        <v>447</v>
      </c>
      <c r="E18" s="7" t="s">
        <v>469</v>
      </c>
    </row>
    <row r="19" spans="1:5" ht="6" customHeight="1" x14ac:dyDescent="0.3">
      <c r="A19" s="27"/>
      <c r="B19" s="27"/>
      <c r="C19" s="27"/>
      <c r="D19" s="27"/>
      <c r="E19" s="27"/>
    </row>
    <row r="20" spans="1:5" ht="22.05" customHeight="1" x14ac:dyDescent="0.3">
      <c r="A20" s="221" t="s">
        <v>470</v>
      </c>
      <c r="B20" s="198"/>
      <c r="C20" s="198"/>
      <c r="D20" s="198"/>
      <c r="E20" s="198"/>
    </row>
    <row r="21" spans="1:5" ht="28.05" customHeight="1" x14ac:dyDescent="0.3">
      <c r="A21" s="20"/>
      <c r="B21" s="21" t="s">
        <v>471</v>
      </c>
      <c r="C21" s="22">
        <v>0.67</v>
      </c>
      <c r="D21" s="23" t="s">
        <v>472</v>
      </c>
      <c r="E21" s="24" t="s">
        <v>473</v>
      </c>
    </row>
    <row r="22" spans="1:5" ht="28.05" customHeight="1" x14ac:dyDescent="0.3">
      <c r="A22" s="20"/>
      <c r="B22" s="21" t="s">
        <v>474</v>
      </c>
      <c r="C22" s="22">
        <v>0.25</v>
      </c>
      <c r="D22" s="23" t="s">
        <v>475</v>
      </c>
      <c r="E22" s="24" t="s">
        <v>476</v>
      </c>
    </row>
    <row r="23" spans="1:5" ht="28.05" customHeight="1" x14ac:dyDescent="0.3">
      <c r="A23" s="20"/>
      <c r="B23" s="21" t="s">
        <v>167</v>
      </c>
      <c r="C23" s="22">
        <v>0.25</v>
      </c>
      <c r="D23" s="23" t="s">
        <v>477</v>
      </c>
      <c r="E23" s="24" t="s">
        <v>478</v>
      </c>
    </row>
    <row r="24" spans="1:5" ht="28.05" customHeight="1" x14ac:dyDescent="0.3">
      <c r="A24" s="20"/>
      <c r="B24" s="21" t="s">
        <v>479</v>
      </c>
      <c r="C24" s="22">
        <v>2</v>
      </c>
      <c r="D24" s="23" t="s">
        <v>455</v>
      </c>
      <c r="E24" s="24" t="s">
        <v>480</v>
      </c>
    </row>
    <row r="25" spans="1:5" ht="28.05" customHeight="1" x14ac:dyDescent="0.3">
      <c r="A25" s="20"/>
      <c r="B25" s="21" t="s">
        <v>481</v>
      </c>
      <c r="C25" s="22">
        <v>0</v>
      </c>
      <c r="D25" s="23" t="s">
        <v>482</v>
      </c>
      <c r="E25" s="24" t="s">
        <v>483</v>
      </c>
    </row>
    <row r="26" spans="1:5" ht="28.05" customHeight="1" x14ac:dyDescent="0.3">
      <c r="A26" s="20"/>
      <c r="B26" s="21" t="s">
        <v>484</v>
      </c>
      <c r="C26" s="22">
        <v>3</v>
      </c>
      <c r="D26" s="23" t="s">
        <v>485</v>
      </c>
      <c r="E26" s="24" t="s">
        <v>486</v>
      </c>
    </row>
    <row r="27" spans="1:5" ht="6" customHeight="1" x14ac:dyDescent="0.3">
      <c r="A27" s="27"/>
      <c r="B27" s="27"/>
      <c r="C27" s="27"/>
      <c r="D27" s="27"/>
      <c r="E27" s="27"/>
    </row>
    <row r="28" spans="1:5" ht="22.05" customHeight="1" x14ac:dyDescent="0.3">
      <c r="A28" s="293" t="s">
        <v>487</v>
      </c>
      <c r="B28" s="198"/>
      <c r="C28" s="198"/>
      <c r="D28" s="198"/>
      <c r="E28" s="198"/>
    </row>
    <row r="29" spans="1:5" ht="19.95" customHeight="1" x14ac:dyDescent="0.3">
      <c r="A29" s="28"/>
      <c r="B29" s="28" t="s">
        <v>488</v>
      </c>
      <c r="C29" s="28" t="s">
        <v>489</v>
      </c>
      <c r="D29" s="28" t="s">
        <v>490</v>
      </c>
      <c r="E29" s="28" t="s">
        <v>491</v>
      </c>
    </row>
    <row r="30" spans="1:5" ht="30" customHeight="1" x14ac:dyDescent="0.3">
      <c r="A30" s="29"/>
      <c r="B30" s="30" t="s">
        <v>492</v>
      </c>
      <c r="C30" s="31" t="s">
        <v>493</v>
      </c>
      <c r="D30" s="31" t="s">
        <v>494</v>
      </c>
      <c r="E30" s="32" t="s">
        <v>495</v>
      </c>
    </row>
    <row r="31" spans="1:5" ht="30" customHeight="1" x14ac:dyDescent="0.3">
      <c r="A31" s="29"/>
      <c r="B31" s="30" t="s">
        <v>496</v>
      </c>
      <c r="C31" s="31" t="s">
        <v>497</v>
      </c>
      <c r="D31" s="31" t="s">
        <v>54</v>
      </c>
      <c r="E31" s="32" t="s">
        <v>498</v>
      </c>
    </row>
    <row r="32" spans="1:5" ht="30" customHeight="1" x14ac:dyDescent="0.3">
      <c r="A32" s="29"/>
      <c r="B32" s="30" t="s">
        <v>499</v>
      </c>
      <c r="C32" s="31" t="s">
        <v>500</v>
      </c>
      <c r="D32" s="31" t="s">
        <v>501</v>
      </c>
      <c r="E32" s="32" t="s">
        <v>502</v>
      </c>
    </row>
    <row r="33" spans="1:5" ht="30" customHeight="1" x14ac:dyDescent="0.3">
      <c r="A33" s="29"/>
      <c r="B33" s="30" t="s">
        <v>503</v>
      </c>
      <c r="C33" s="31" t="s">
        <v>504</v>
      </c>
      <c r="D33" s="31" t="s">
        <v>505</v>
      </c>
      <c r="E33" s="32" t="s">
        <v>506</v>
      </c>
    </row>
    <row r="34" spans="1:5" ht="30" customHeight="1" x14ac:dyDescent="0.3">
      <c r="A34" s="29"/>
      <c r="B34" s="30" t="s">
        <v>507</v>
      </c>
      <c r="C34" s="31" t="s">
        <v>50</v>
      </c>
      <c r="D34" s="31" t="s">
        <v>508</v>
      </c>
      <c r="E34" s="32" t="s">
        <v>509</v>
      </c>
    </row>
    <row r="35" spans="1:5" ht="30" customHeight="1" x14ac:dyDescent="0.3">
      <c r="A35" s="29"/>
      <c r="B35" s="30" t="s">
        <v>510</v>
      </c>
      <c r="C35" s="31" t="s">
        <v>511</v>
      </c>
      <c r="D35" s="31" t="s">
        <v>512</v>
      </c>
      <c r="E35" s="32" t="s">
        <v>513</v>
      </c>
    </row>
    <row r="36" spans="1:5" ht="6" customHeight="1" x14ac:dyDescent="0.3">
      <c r="A36" s="27"/>
      <c r="B36" s="27"/>
      <c r="C36" s="27"/>
      <c r="D36" s="27"/>
      <c r="E36" s="27"/>
    </row>
    <row r="37" spans="1:5" ht="22.05" customHeight="1" x14ac:dyDescent="0.3">
      <c r="A37" s="205" t="s">
        <v>514</v>
      </c>
      <c r="B37" s="198"/>
      <c r="C37" s="198"/>
      <c r="D37" s="198"/>
      <c r="E37" s="198"/>
    </row>
    <row r="38" spans="1:5" ht="28.05" customHeight="1" x14ac:dyDescent="0.3">
      <c r="A38" s="33"/>
      <c r="B38" s="12" t="s">
        <v>515</v>
      </c>
      <c r="C38" s="22">
        <v>0.1</v>
      </c>
      <c r="D38" s="34" t="s">
        <v>516</v>
      </c>
      <c r="E38" s="4" t="s">
        <v>517</v>
      </c>
    </row>
    <row r="39" spans="1:5" ht="28.05" customHeight="1" x14ac:dyDescent="0.3">
      <c r="A39" s="33"/>
      <c r="B39" s="12" t="s">
        <v>518</v>
      </c>
      <c r="C39" s="22">
        <v>5</v>
      </c>
      <c r="D39" s="34" t="s">
        <v>519</v>
      </c>
      <c r="E39" s="4" t="s">
        <v>520</v>
      </c>
    </row>
    <row r="40" spans="1:5" ht="28.05" customHeight="1" x14ac:dyDescent="0.3">
      <c r="A40" s="33"/>
      <c r="B40" s="12" t="s">
        <v>521</v>
      </c>
      <c r="C40" s="22">
        <v>2023</v>
      </c>
      <c r="D40" s="34" t="s">
        <v>522</v>
      </c>
      <c r="E40" s="4" t="s">
        <v>523</v>
      </c>
    </row>
    <row r="41" spans="1:5" ht="28.05" customHeight="1" x14ac:dyDescent="0.3">
      <c r="A41" s="33"/>
      <c r="B41" s="12" t="s">
        <v>524</v>
      </c>
      <c r="C41" s="22">
        <v>0.15</v>
      </c>
      <c r="D41" s="34" t="s">
        <v>525</v>
      </c>
      <c r="E41" s="4" t="s">
        <v>526</v>
      </c>
    </row>
    <row r="42" spans="1:5" ht="6" customHeight="1" x14ac:dyDescent="0.3">
      <c r="A42" s="27"/>
      <c r="B42" s="27"/>
      <c r="C42" s="27"/>
      <c r="D42" s="27"/>
      <c r="E42" s="27"/>
    </row>
    <row r="43" spans="1:5" ht="22.05" customHeight="1" x14ac:dyDescent="0.3">
      <c r="A43" s="278" t="s">
        <v>527</v>
      </c>
      <c r="B43" s="198"/>
      <c r="C43" s="198"/>
      <c r="D43" s="198"/>
      <c r="E43" s="198"/>
    </row>
    <row r="44" spans="1:5" ht="28.05" customHeight="1" x14ac:dyDescent="0.3">
      <c r="A44" s="35"/>
      <c r="B44" s="36" t="s">
        <v>528</v>
      </c>
      <c r="C44" s="22">
        <v>84000000</v>
      </c>
      <c r="D44" s="37" t="s">
        <v>447</v>
      </c>
      <c r="E44" s="38" t="s">
        <v>529</v>
      </c>
    </row>
    <row r="45" spans="1:5" ht="28.05" customHeight="1" x14ac:dyDescent="0.3">
      <c r="A45" s="35"/>
      <c r="B45" s="36" t="s">
        <v>530</v>
      </c>
      <c r="C45" s="22">
        <v>40000000</v>
      </c>
      <c r="D45" s="37" t="s">
        <v>464</v>
      </c>
      <c r="E45" s="38" t="s">
        <v>531</v>
      </c>
    </row>
    <row r="46" spans="1:5" ht="28.05" customHeight="1" x14ac:dyDescent="0.3">
      <c r="A46" s="35"/>
      <c r="B46" s="36" t="s">
        <v>532</v>
      </c>
      <c r="C46" s="22">
        <v>0.4</v>
      </c>
      <c r="D46" s="37" t="s">
        <v>533</v>
      </c>
      <c r="E46" s="38" t="s">
        <v>534</v>
      </c>
    </row>
    <row r="47" spans="1:5" ht="28.05" customHeight="1" x14ac:dyDescent="0.3">
      <c r="A47" s="35"/>
      <c r="B47" s="36" t="s">
        <v>535</v>
      </c>
      <c r="C47" s="22">
        <v>47000000</v>
      </c>
      <c r="D47" s="37" t="s">
        <v>447</v>
      </c>
      <c r="E47" s="38" t="s">
        <v>536</v>
      </c>
    </row>
    <row r="48" spans="1:5" ht="28.05" customHeight="1" x14ac:dyDescent="0.3">
      <c r="A48" s="35"/>
      <c r="B48" s="36" t="s">
        <v>537</v>
      </c>
      <c r="C48" s="22">
        <v>37000000</v>
      </c>
      <c r="D48" s="37" t="s">
        <v>447</v>
      </c>
      <c r="E48" s="38" t="s">
        <v>538</v>
      </c>
    </row>
    <row r="49" spans="1:5" ht="28.05" customHeight="1" x14ac:dyDescent="0.3">
      <c r="A49" s="35"/>
      <c r="B49" s="36" t="s">
        <v>539</v>
      </c>
      <c r="C49" s="22">
        <v>369000</v>
      </c>
      <c r="D49" s="37" t="s">
        <v>540</v>
      </c>
      <c r="E49" s="38" t="s">
        <v>541</v>
      </c>
    </row>
    <row r="50" spans="1:5" ht="28.05" customHeight="1" x14ac:dyDescent="0.3">
      <c r="A50" s="35"/>
      <c r="B50" s="36" t="s">
        <v>542</v>
      </c>
      <c r="C50" s="22">
        <v>1000000</v>
      </c>
      <c r="D50" s="37" t="s">
        <v>540</v>
      </c>
      <c r="E50" s="38" t="s">
        <v>543</v>
      </c>
    </row>
    <row r="51" spans="1:5" ht="6" customHeight="1" x14ac:dyDescent="0.3">
      <c r="A51" s="27"/>
      <c r="B51" s="27"/>
      <c r="C51" s="27"/>
      <c r="D51" s="27"/>
      <c r="E51" s="27"/>
    </row>
    <row r="52" spans="1:5" ht="22.05" customHeight="1" x14ac:dyDescent="0.3">
      <c r="A52" s="222" t="s">
        <v>544</v>
      </c>
      <c r="B52" s="198"/>
      <c r="C52" s="198"/>
      <c r="D52" s="198"/>
      <c r="E52" s="198"/>
    </row>
    <row r="53" spans="1:5" ht="28.05" customHeight="1" x14ac:dyDescent="0.3">
      <c r="A53" s="39"/>
      <c r="B53" s="15" t="s">
        <v>545</v>
      </c>
      <c r="C53" s="40">
        <f>C7*C10</f>
        <v>105000000</v>
      </c>
      <c r="D53" s="41" t="s">
        <v>447</v>
      </c>
      <c r="E53" s="10" t="s">
        <v>546</v>
      </c>
    </row>
    <row r="54" spans="1:5" ht="28.05" customHeight="1" x14ac:dyDescent="0.3">
      <c r="A54" s="39"/>
      <c r="B54" s="15" t="s">
        <v>547</v>
      </c>
      <c r="C54" s="40">
        <f>C9*C22</f>
        <v>71750000</v>
      </c>
      <c r="D54" s="41" t="s">
        <v>447</v>
      </c>
      <c r="E54" s="10" t="s">
        <v>548</v>
      </c>
    </row>
    <row r="55" spans="1:5" ht="28.05" customHeight="1" x14ac:dyDescent="0.3">
      <c r="A55" s="39"/>
      <c r="B55" s="15" t="s">
        <v>549</v>
      </c>
      <c r="C55" s="40">
        <f>C15+C18</f>
        <v>1450000</v>
      </c>
      <c r="D55" s="41" t="s">
        <v>447</v>
      </c>
      <c r="E55" s="10" t="s">
        <v>550</v>
      </c>
    </row>
    <row r="56" spans="1:5" ht="28.05" customHeight="1" x14ac:dyDescent="0.3">
      <c r="A56" s="39"/>
      <c r="B56" s="15" t="s">
        <v>551</v>
      </c>
      <c r="C56" s="40">
        <f>C9*C22-C16-C17</f>
        <v>68250000</v>
      </c>
      <c r="D56" s="41" t="s">
        <v>447</v>
      </c>
      <c r="E56" s="10" t="s">
        <v>552</v>
      </c>
    </row>
    <row r="57" spans="1:5" ht="28.05" customHeight="1" x14ac:dyDescent="0.3">
      <c r="A57" s="39"/>
      <c r="B57" s="15" t="s">
        <v>553</v>
      </c>
      <c r="C57" s="40">
        <f>C15/(C9*C22-C16-C17)</f>
        <v>1.8315018315018316E-2</v>
      </c>
      <c r="D57" s="41" t="s">
        <v>519</v>
      </c>
      <c r="E57" s="10" t="s">
        <v>554</v>
      </c>
    </row>
  </sheetData>
  <mergeCells count="10">
    <mergeCell ref="A1:E1"/>
    <mergeCell ref="A5:E5"/>
    <mergeCell ref="A37:E37"/>
    <mergeCell ref="A14:E14"/>
    <mergeCell ref="A3:E3"/>
    <mergeCell ref="A20:E20"/>
    <mergeCell ref="A43:E43"/>
    <mergeCell ref="A2:E2"/>
    <mergeCell ref="A52:E52"/>
    <mergeCell ref="A28:E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workbookViewId="0">
      <pane xSplit="1" ySplit="6" topLeftCell="B7" activePane="bottomRight" state="frozen"/>
      <selection pane="topRight"/>
      <selection pane="bottomLeft"/>
      <selection pane="bottomRight"/>
    </sheetView>
  </sheetViews>
  <sheetFormatPr defaultRowHeight="14.4" x14ac:dyDescent="0.3"/>
  <cols>
    <col min="1" max="1" width="38" customWidth="1"/>
    <col min="2" max="7" width="16" customWidth="1"/>
    <col min="8" max="8" width="28" customWidth="1"/>
  </cols>
  <sheetData>
    <row r="1" spans="1:8" ht="34.049999999999997" customHeight="1" x14ac:dyDescent="0.3">
      <c r="A1" s="279" t="s">
        <v>555</v>
      </c>
      <c r="B1" s="198"/>
      <c r="C1" s="198"/>
      <c r="D1" s="198"/>
      <c r="E1" s="198"/>
      <c r="F1" s="198"/>
      <c r="G1" s="198"/>
      <c r="H1" s="198"/>
    </row>
    <row r="2" spans="1:8" ht="18" customHeight="1" x14ac:dyDescent="0.3">
      <c r="A2" s="225" t="s">
        <v>556</v>
      </c>
      <c r="B2" s="198"/>
      <c r="C2" s="198"/>
      <c r="D2" s="198"/>
      <c r="E2" s="198"/>
      <c r="F2" s="198"/>
      <c r="G2" s="198"/>
      <c r="H2" s="198"/>
    </row>
    <row r="3" spans="1:8" ht="30" customHeight="1" x14ac:dyDescent="0.3">
      <c r="A3" s="296" t="s">
        <v>557</v>
      </c>
      <c r="B3" s="296" t="s">
        <v>558</v>
      </c>
      <c r="C3" s="296" t="s">
        <v>559</v>
      </c>
      <c r="D3" s="296" t="s">
        <v>560</v>
      </c>
      <c r="E3" s="296" t="s">
        <v>561</v>
      </c>
      <c r="F3" s="296" t="s">
        <v>562</v>
      </c>
      <c r="G3" s="296" t="s">
        <v>563</v>
      </c>
      <c r="H3" s="301" t="s">
        <v>162</v>
      </c>
    </row>
    <row r="4" spans="1:8" ht="6" customHeight="1" x14ac:dyDescent="0.3">
      <c r="A4" s="297"/>
      <c r="B4" s="297"/>
      <c r="C4" s="297"/>
      <c r="D4" s="297"/>
      <c r="E4" s="297"/>
      <c r="F4" s="297"/>
      <c r="G4" s="297"/>
      <c r="H4" s="297"/>
    </row>
    <row r="5" spans="1:8" ht="19.95" customHeight="1" x14ac:dyDescent="0.3">
      <c r="A5" s="239" t="s">
        <v>564</v>
      </c>
      <c r="B5" s="198"/>
      <c r="C5" s="198"/>
      <c r="D5" s="198"/>
      <c r="E5" s="198"/>
      <c r="F5" s="198"/>
      <c r="G5" s="198"/>
      <c r="H5" s="198"/>
    </row>
    <row r="6" spans="1:8" ht="25.95" customHeight="1" x14ac:dyDescent="0.3">
      <c r="A6" s="42" t="s">
        <v>565</v>
      </c>
      <c r="B6" s="43">
        <f>-Inputs!C15</f>
        <v>-1250000</v>
      </c>
      <c r="C6" s="43">
        <f>0</f>
        <v>0</v>
      </c>
      <c r="D6" s="43">
        <f>0</f>
        <v>0</v>
      </c>
      <c r="E6" s="43">
        <f>0</f>
        <v>0</v>
      </c>
      <c r="F6" s="43">
        <f>0</f>
        <v>0</v>
      </c>
      <c r="G6" s="43">
        <f>0</f>
        <v>0</v>
      </c>
      <c r="H6" s="44" t="s">
        <v>566</v>
      </c>
    </row>
    <row r="7" spans="1:8" ht="25.95" customHeight="1" x14ac:dyDescent="0.3">
      <c r="A7" s="42" t="s">
        <v>567</v>
      </c>
      <c r="B7" s="43">
        <f>-Inputs!C18</f>
        <v>-200000</v>
      </c>
      <c r="C7" s="43">
        <f>0</f>
        <v>0</v>
      </c>
      <c r="D7" s="43">
        <f>0</f>
        <v>0</v>
      </c>
      <c r="E7" s="43">
        <f>0</f>
        <v>0</v>
      </c>
      <c r="F7" s="43">
        <f>0</f>
        <v>0</v>
      </c>
      <c r="G7" s="43">
        <f>0</f>
        <v>0</v>
      </c>
      <c r="H7" s="44" t="s">
        <v>568</v>
      </c>
    </row>
    <row r="8" spans="1:8" ht="25.95" customHeight="1" x14ac:dyDescent="0.3">
      <c r="A8" s="42" t="s">
        <v>463</v>
      </c>
      <c r="B8" s="43">
        <f>0</f>
        <v>0</v>
      </c>
      <c r="C8" s="43">
        <f>-Inputs!C16</f>
        <v>-3000000</v>
      </c>
      <c r="D8" s="43">
        <f>-Inputs!C16</f>
        <v>-3000000</v>
      </c>
      <c r="E8" s="43">
        <f>-Inputs!C16</f>
        <v>-3000000</v>
      </c>
      <c r="F8" s="43">
        <f>-Inputs!C16</f>
        <v>-3000000</v>
      </c>
      <c r="G8" s="43">
        <f>-Inputs!C16</f>
        <v>-3000000</v>
      </c>
      <c r="H8" s="44" t="s">
        <v>569</v>
      </c>
    </row>
    <row r="9" spans="1:8" ht="25.95" customHeight="1" x14ac:dyDescent="0.3">
      <c r="A9" s="42" t="s">
        <v>570</v>
      </c>
      <c r="B9" s="43">
        <f>0</f>
        <v>0</v>
      </c>
      <c r="C9" s="43">
        <f>-Inputs!C17</f>
        <v>-500000</v>
      </c>
      <c r="D9" s="43">
        <f>-Inputs!C17</f>
        <v>-500000</v>
      </c>
      <c r="E9" s="43">
        <f>-Inputs!C17</f>
        <v>-500000</v>
      </c>
      <c r="F9" s="43">
        <f>-Inputs!C17</f>
        <v>-500000</v>
      </c>
      <c r="G9" s="43">
        <f>-Inputs!C17</f>
        <v>-500000</v>
      </c>
      <c r="H9" s="44" t="s">
        <v>571</v>
      </c>
    </row>
    <row r="10" spans="1:8" ht="25.95" customHeight="1" x14ac:dyDescent="0.3">
      <c r="A10" s="45" t="s">
        <v>572</v>
      </c>
      <c r="B10" s="46">
        <f t="shared" ref="B10:G10" si="0">SUM(B6:B9)</f>
        <v>-1450000</v>
      </c>
      <c r="C10" s="46">
        <f t="shared" si="0"/>
        <v>-3500000</v>
      </c>
      <c r="D10" s="46">
        <f t="shared" si="0"/>
        <v>-3500000</v>
      </c>
      <c r="E10" s="46">
        <f t="shared" si="0"/>
        <v>-3500000</v>
      </c>
      <c r="F10" s="46">
        <f t="shared" si="0"/>
        <v>-3500000</v>
      </c>
      <c r="G10" s="46">
        <f t="shared" si="0"/>
        <v>-3500000</v>
      </c>
      <c r="H10" s="44" t="s">
        <v>573</v>
      </c>
    </row>
    <row r="11" spans="1:8" ht="6" customHeight="1" x14ac:dyDescent="0.3"/>
    <row r="12" spans="1:8" ht="19.95" customHeight="1" x14ac:dyDescent="0.3">
      <c r="A12" s="205" t="s">
        <v>574</v>
      </c>
      <c r="B12" s="198"/>
      <c r="C12" s="198"/>
      <c r="D12" s="198"/>
      <c r="E12" s="198"/>
      <c r="F12" s="198"/>
      <c r="G12" s="198"/>
      <c r="H12" s="198"/>
    </row>
    <row r="13" spans="1:8" ht="25.95" customHeight="1" x14ac:dyDescent="0.3">
      <c r="A13" s="12" t="s">
        <v>575</v>
      </c>
      <c r="B13" s="47">
        <f>0</f>
        <v>0</v>
      </c>
      <c r="C13" s="47">
        <f>Inputs!C9*Inputs!C22*Inputs!C21*(1+Inputs!C41)^1</f>
        <v>55283374.999999993</v>
      </c>
      <c r="D13" s="47">
        <f>Inputs!C9*Inputs!C22*Inputs!C21*(1+Inputs!C41)^2</f>
        <v>63575881.249999993</v>
      </c>
      <c r="E13" s="47">
        <f>Inputs!C9*Inputs!C22*Inputs!C21*(1+Inputs!C41)^3</f>
        <v>73112263.43749997</v>
      </c>
      <c r="F13" s="47">
        <f>Inputs!C9*Inputs!C22*Inputs!C21*(1+Inputs!C41)^4</f>
        <v>84079102.95312497</v>
      </c>
      <c r="G13" s="47">
        <f>Inputs!C9*Inputs!C22*Inputs!C21*(1+Inputs!C41)^5</f>
        <v>96690968.396093726</v>
      </c>
      <c r="H13" s="48" t="s">
        <v>576</v>
      </c>
    </row>
    <row r="14" spans="1:8" ht="25.95" customHeight="1" x14ac:dyDescent="0.3">
      <c r="A14" s="12" t="s">
        <v>577</v>
      </c>
      <c r="B14" s="47">
        <f>0</f>
        <v>0</v>
      </c>
      <c r="C14" s="47">
        <f>Inputs!C9*Inputs!C23*(1+Inputs!C41)^1</f>
        <v>82512500</v>
      </c>
      <c r="D14" s="47">
        <f>Inputs!C9*Inputs!C23*(1+Inputs!C41)^2</f>
        <v>94889374.999999985</v>
      </c>
      <c r="E14" s="47">
        <f>Inputs!C9*Inputs!C23*(1+Inputs!C41)^3</f>
        <v>109122781.24999997</v>
      </c>
      <c r="F14" s="47">
        <f>Inputs!C9*Inputs!C23*(1+Inputs!C41)^4</f>
        <v>125491198.43749996</v>
      </c>
      <c r="G14" s="47">
        <f>Inputs!C9*Inputs!C23*(1+Inputs!C41)^5</f>
        <v>144314878.20312494</v>
      </c>
      <c r="H14" s="48" t="s">
        <v>578</v>
      </c>
    </row>
    <row r="15" spans="1:8" ht="25.95" customHeight="1" x14ac:dyDescent="0.3">
      <c r="A15" s="14" t="s">
        <v>579</v>
      </c>
      <c r="B15" s="49">
        <f>0</f>
        <v>0</v>
      </c>
      <c r="C15" s="49">
        <f>Inputs!C8*0.01*(1+Inputs!C41)^1</f>
        <v>21896000</v>
      </c>
      <c r="D15" s="49">
        <f>Inputs!C8*0.01*(1+Inputs!C41)^2</f>
        <v>25180399.999999996</v>
      </c>
      <c r="E15" s="49">
        <f>Inputs!C8*0.01*(1+Inputs!C41)^3</f>
        <v>28957459.999999993</v>
      </c>
      <c r="F15" s="49">
        <f>Inputs!C8*0.01*(1+Inputs!C41)^4</f>
        <v>33301078.999999989</v>
      </c>
      <c r="G15" s="49">
        <f>Inputs!C8*0.01*(1+Inputs!C41)^5</f>
        <v>38296240.849999987</v>
      </c>
      <c r="H15" s="50" t="s">
        <v>580</v>
      </c>
    </row>
    <row r="16" spans="1:8" ht="25.95" customHeight="1" x14ac:dyDescent="0.3">
      <c r="A16" s="11" t="s">
        <v>581</v>
      </c>
      <c r="B16" s="51">
        <f t="shared" ref="B16:G16" si="1">SUM(B13:B15)</f>
        <v>0</v>
      </c>
      <c r="C16" s="51">
        <f t="shared" si="1"/>
        <v>159691875</v>
      </c>
      <c r="D16" s="51">
        <f t="shared" si="1"/>
        <v>183645656.24999997</v>
      </c>
      <c r="E16" s="51">
        <f t="shared" si="1"/>
        <v>211192504.68749994</v>
      </c>
      <c r="F16" s="51">
        <f t="shared" si="1"/>
        <v>242871380.39062494</v>
      </c>
      <c r="G16" s="51">
        <f t="shared" si="1"/>
        <v>279302087.44921863</v>
      </c>
      <c r="H16" s="48" t="s">
        <v>582</v>
      </c>
    </row>
    <row r="17" spans="1:8" ht="6" customHeight="1" x14ac:dyDescent="0.3"/>
    <row r="18" spans="1:8" ht="19.95" customHeight="1" x14ac:dyDescent="0.3">
      <c r="A18" s="222" t="s">
        <v>583</v>
      </c>
      <c r="B18" s="198"/>
      <c r="C18" s="198"/>
      <c r="D18" s="198"/>
      <c r="E18" s="198"/>
      <c r="F18" s="198"/>
      <c r="G18" s="198"/>
      <c r="H18" s="198"/>
    </row>
    <row r="19" spans="1:8" ht="25.95" customHeight="1" x14ac:dyDescent="0.3">
      <c r="A19" s="15" t="s">
        <v>584</v>
      </c>
      <c r="B19" s="52">
        <f t="shared" ref="B19:G19" si="2">B10+B16</f>
        <v>-1450000</v>
      </c>
      <c r="C19" s="52">
        <f t="shared" si="2"/>
        <v>156191875</v>
      </c>
      <c r="D19" s="52">
        <f t="shared" si="2"/>
        <v>180145656.24999997</v>
      </c>
      <c r="E19" s="52">
        <f t="shared" si="2"/>
        <v>207692504.68749994</v>
      </c>
      <c r="F19" s="52">
        <f t="shared" si="2"/>
        <v>239371380.39062494</v>
      </c>
      <c r="G19" s="52">
        <f t="shared" si="2"/>
        <v>275802087.44921863</v>
      </c>
      <c r="H19" s="53" t="s">
        <v>585</v>
      </c>
    </row>
    <row r="20" spans="1:8" ht="25.95" customHeight="1" x14ac:dyDescent="0.3">
      <c r="A20" s="16" t="s">
        <v>586</v>
      </c>
      <c r="B20" s="54">
        <f>B19</f>
        <v>-1450000</v>
      </c>
      <c r="C20" s="54">
        <f>B20+C19</f>
        <v>154741875</v>
      </c>
      <c r="D20" s="54">
        <f>C20+D19</f>
        <v>334887531.25</v>
      </c>
      <c r="E20" s="54">
        <f>D20+E19</f>
        <v>542580035.9375</v>
      </c>
      <c r="F20" s="54">
        <f>E20+F19</f>
        <v>781951416.328125</v>
      </c>
      <c r="G20" s="54">
        <f>F20+G19</f>
        <v>1057753503.7773436</v>
      </c>
      <c r="H20" s="53" t="s">
        <v>587</v>
      </c>
    </row>
    <row r="21" spans="1:8" ht="6" customHeight="1" x14ac:dyDescent="0.3"/>
    <row r="22" spans="1:8" ht="19.95" customHeight="1" x14ac:dyDescent="0.3">
      <c r="A22" s="293" t="s">
        <v>588</v>
      </c>
      <c r="B22" s="198"/>
      <c r="C22" s="198"/>
      <c r="D22" s="198"/>
      <c r="E22" s="198"/>
      <c r="F22" s="198"/>
      <c r="G22" s="198"/>
      <c r="H22" s="198"/>
    </row>
    <row r="23" spans="1:8" ht="30" customHeight="1" x14ac:dyDescent="0.3">
      <c r="A23" s="55" t="s">
        <v>589</v>
      </c>
      <c r="B23" s="295">
        <f>NPV(Inputs!C38,C19:G19)+B19</f>
        <v>780211044.76658356</v>
      </c>
      <c r="C23" s="267"/>
      <c r="D23" s="268"/>
      <c r="E23" s="56" t="s">
        <v>447</v>
      </c>
      <c r="F23" s="298" t="s">
        <v>590</v>
      </c>
      <c r="G23" s="267"/>
      <c r="H23" s="268"/>
    </row>
    <row r="24" spans="1:8" ht="30" customHeight="1" x14ac:dyDescent="0.3">
      <c r="A24" s="55" t="s">
        <v>591</v>
      </c>
      <c r="B24" s="300">
        <f>IRR(B19:G19)</f>
        <v>107.87189094028626</v>
      </c>
      <c r="C24" s="267"/>
      <c r="D24" s="268"/>
      <c r="E24" s="56" t="s">
        <v>516</v>
      </c>
      <c r="F24" s="298" t="s">
        <v>592</v>
      </c>
      <c r="G24" s="267"/>
      <c r="H24" s="268"/>
    </row>
    <row r="25" spans="1:8" ht="30" customHeight="1" x14ac:dyDescent="0.3">
      <c r="A25" s="55" t="s">
        <v>593</v>
      </c>
      <c r="B25" s="302">
        <f>-B19/C19</f>
        <v>9.2834534446814207E-3</v>
      </c>
      <c r="C25" s="267"/>
      <c r="D25" s="268"/>
      <c r="E25" s="56" t="s">
        <v>594</v>
      </c>
      <c r="F25" s="298" t="s">
        <v>595</v>
      </c>
      <c r="G25" s="267"/>
      <c r="H25" s="268"/>
    </row>
    <row r="26" spans="1:8" ht="30" customHeight="1" x14ac:dyDescent="0.3">
      <c r="A26" s="55" t="s">
        <v>596</v>
      </c>
      <c r="B26" s="295">
        <f>SUM(B19:G19)</f>
        <v>1057753503.7773436</v>
      </c>
      <c r="C26" s="267"/>
      <c r="D26" s="268"/>
      <c r="E26" s="56" t="s">
        <v>447</v>
      </c>
      <c r="F26" s="298" t="s">
        <v>597</v>
      </c>
      <c r="G26" s="267"/>
      <c r="H26" s="268"/>
    </row>
    <row r="27" spans="1:8" ht="30" customHeight="1" x14ac:dyDescent="0.3">
      <c r="A27" s="55" t="s">
        <v>598</v>
      </c>
      <c r="B27" s="302">
        <f>SUM(C19:G19)/(-B19)</f>
        <v>730.48517501885772</v>
      </c>
      <c r="C27" s="267"/>
      <c r="D27" s="268"/>
      <c r="E27" s="56" t="s">
        <v>599</v>
      </c>
      <c r="F27" s="298" t="s">
        <v>600</v>
      </c>
      <c r="G27" s="267"/>
      <c r="H27" s="268"/>
    </row>
    <row r="29" spans="1:8" ht="22.05" customHeight="1" x14ac:dyDescent="0.3">
      <c r="A29" s="264" t="s">
        <v>601</v>
      </c>
      <c r="B29" s="198"/>
      <c r="C29" s="198"/>
      <c r="D29" s="198"/>
      <c r="E29" s="198"/>
      <c r="F29" s="198"/>
      <c r="G29" s="198"/>
      <c r="H29" s="198"/>
    </row>
    <row r="30" spans="1:8" ht="22.05" customHeight="1" x14ac:dyDescent="0.3">
      <c r="A30" s="57" t="s">
        <v>602</v>
      </c>
      <c r="B30" s="299" t="s">
        <v>603</v>
      </c>
      <c r="C30" s="267"/>
      <c r="D30" s="267"/>
      <c r="E30" s="267"/>
      <c r="F30" s="267"/>
      <c r="G30" s="267"/>
      <c r="H30" s="268"/>
    </row>
    <row r="31" spans="1:8" ht="22.05" customHeight="1" x14ac:dyDescent="0.3">
      <c r="A31" s="57" t="s">
        <v>604</v>
      </c>
      <c r="B31" s="299" t="s">
        <v>605</v>
      </c>
      <c r="C31" s="267"/>
      <c r="D31" s="267"/>
      <c r="E31" s="267"/>
      <c r="F31" s="267"/>
      <c r="G31" s="267"/>
      <c r="H31" s="268"/>
    </row>
    <row r="32" spans="1:8" ht="22.05" customHeight="1" x14ac:dyDescent="0.3">
      <c r="A32" s="57" t="s">
        <v>606</v>
      </c>
      <c r="B32" s="299" t="s">
        <v>607</v>
      </c>
      <c r="C32" s="267"/>
      <c r="D32" s="267"/>
      <c r="E32" s="267"/>
      <c r="F32" s="267"/>
      <c r="G32" s="267"/>
      <c r="H32" s="268"/>
    </row>
    <row r="33" spans="1:8" ht="22.05" customHeight="1" x14ac:dyDescent="0.3">
      <c r="A33" s="57" t="s">
        <v>608</v>
      </c>
      <c r="B33" s="299" t="s">
        <v>609</v>
      </c>
      <c r="C33" s="267"/>
      <c r="D33" s="267"/>
      <c r="E33" s="267"/>
      <c r="F33" s="267"/>
      <c r="G33" s="267"/>
      <c r="H33" s="268"/>
    </row>
    <row r="34" spans="1:8" ht="22.05" customHeight="1" x14ac:dyDescent="0.3">
      <c r="A34" s="57" t="s">
        <v>610</v>
      </c>
      <c r="B34" s="299" t="s">
        <v>611</v>
      </c>
      <c r="C34" s="267"/>
      <c r="D34" s="267"/>
      <c r="E34" s="267"/>
      <c r="F34" s="267"/>
      <c r="G34" s="267"/>
      <c r="H34" s="268"/>
    </row>
    <row r="35" spans="1:8" ht="22.05" customHeight="1" x14ac:dyDescent="0.3">
      <c r="A35" s="57" t="s">
        <v>612</v>
      </c>
      <c r="B35" s="299" t="s">
        <v>613</v>
      </c>
      <c r="C35" s="267"/>
      <c r="D35" s="267"/>
      <c r="E35" s="267"/>
      <c r="F35" s="267"/>
      <c r="G35" s="267"/>
      <c r="H35" s="268"/>
    </row>
  </sheetData>
  <mergeCells count="31">
    <mergeCell ref="B34:H34"/>
    <mergeCell ref="F24:H24"/>
    <mergeCell ref="B33:H33"/>
    <mergeCell ref="A1:H1"/>
    <mergeCell ref="F23:H23"/>
    <mergeCell ref="B32:H32"/>
    <mergeCell ref="B35:H35"/>
    <mergeCell ref="A3:A4"/>
    <mergeCell ref="G3:G4"/>
    <mergeCell ref="F27:H27"/>
    <mergeCell ref="D3:D4"/>
    <mergeCell ref="B24:D24"/>
    <mergeCell ref="B31:H31"/>
    <mergeCell ref="A12:H12"/>
    <mergeCell ref="A18:H18"/>
    <mergeCell ref="A2:H2"/>
    <mergeCell ref="H3:H4"/>
    <mergeCell ref="B26:D26"/>
    <mergeCell ref="B23:D23"/>
    <mergeCell ref="B3:B4"/>
    <mergeCell ref="F3:F4"/>
    <mergeCell ref="F26:H26"/>
    <mergeCell ref="B30:H30"/>
    <mergeCell ref="A5:H5"/>
    <mergeCell ref="B25:D25"/>
    <mergeCell ref="A22:H22"/>
    <mergeCell ref="F25:H25"/>
    <mergeCell ref="A29:H29"/>
    <mergeCell ref="C3:C4"/>
    <mergeCell ref="E3:E4"/>
    <mergeCell ref="B27:D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55"/>
  <sheetViews>
    <sheetView workbookViewId="0"/>
  </sheetViews>
  <sheetFormatPr defaultRowHeight="14.4" x14ac:dyDescent="0.3"/>
  <cols>
    <col min="1" max="1" width="5" customWidth="1"/>
    <col min="2" max="5" width="18" customWidth="1"/>
    <col min="6" max="6" width="5" customWidth="1"/>
    <col min="7" max="7" width="28" customWidth="1"/>
    <col min="8" max="8" width="18" customWidth="1"/>
    <col min="9" max="9" width="28" customWidth="1"/>
  </cols>
  <sheetData>
    <row r="1" spans="1:14" ht="34.049999999999997" customHeight="1" x14ac:dyDescent="0.3">
      <c r="A1" s="279" t="s">
        <v>614</v>
      </c>
      <c r="B1" s="198"/>
      <c r="C1" s="198"/>
      <c r="D1" s="198"/>
      <c r="E1" s="198"/>
      <c r="F1" s="198"/>
      <c r="G1" s="198"/>
      <c r="H1" s="198"/>
      <c r="I1" s="198"/>
      <c r="K1" s="157" t="s">
        <v>615</v>
      </c>
      <c r="L1">
        <f>Inputs!C9</f>
        <v>287000000</v>
      </c>
      <c r="M1">
        <f>Inputs!C8</f>
        <v>1904000000</v>
      </c>
      <c r="N1">
        <f>Inputs!C38</f>
        <v>0.1</v>
      </c>
    </row>
    <row r="2" spans="1:14" ht="18" customHeight="1" x14ac:dyDescent="0.3">
      <c r="A2" s="306" t="s">
        <v>616</v>
      </c>
      <c r="B2" s="198"/>
      <c r="C2" s="198"/>
      <c r="D2" s="198"/>
      <c r="E2" s="198"/>
      <c r="F2" s="198"/>
      <c r="G2" s="198"/>
      <c r="H2" s="198"/>
      <c r="I2" s="198"/>
    </row>
    <row r="3" spans="1:14" ht="28.05" customHeight="1" x14ac:dyDescent="0.3">
      <c r="A3" s="305" t="s">
        <v>617</v>
      </c>
      <c r="B3" s="198"/>
      <c r="C3" s="198"/>
      <c r="D3" s="198"/>
      <c r="E3" s="198"/>
      <c r="F3" s="198"/>
      <c r="G3" s="198"/>
      <c r="H3" s="198"/>
      <c r="I3" s="198"/>
    </row>
    <row r="4" spans="1:14" ht="7.95" customHeight="1" x14ac:dyDescent="0.3"/>
    <row r="5" spans="1:14" ht="22.05" customHeight="1" x14ac:dyDescent="0.3">
      <c r="A5" s="291" t="s">
        <v>618</v>
      </c>
      <c r="B5" s="198"/>
      <c r="C5" s="198"/>
      <c r="D5" s="198"/>
      <c r="E5" s="198"/>
      <c r="F5" s="198"/>
      <c r="G5" s="198"/>
      <c r="H5" s="198"/>
      <c r="I5" s="198"/>
    </row>
    <row r="6" spans="1:14" ht="22.05" customHeight="1" x14ac:dyDescent="0.3">
      <c r="A6" s="58"/>
      <c r="B6" s="58" t="s">
        <v>488</v>
      </c>
      <c r="C6" s="58" t="s">
        <v>489</v>
      </c>
      <c r="D6" s="58" t="s">
        <v>619</v>
      </c>
      <c r="E6" s="58" t="s">
        <v>491</v>
      </c>
      <c r="F6" s="58"/>
      <c r="G6" s="58" t="s">
        <v>620</v>
      </c>
      <c r="H6" s="58" t="s">
        <v>621</v>
      </c>
      <c r="I6" s="58" t="s">
        <v>622</v>
      </c>
    </row>
    <row r="7" spans="1:14" ht="52.05" customHeight="1" x14ac:dyDescent="0.3">
      <c r="A7" s="39"/>
      <c r="B7" s="59" t="s">
        <v>492</v>
      </c>
      <c r="C7" s="60">
        <f>0.15</f>
        <v>0.15</v>
      </c>
      <c r="D7" s="60">
        <f>Inputs!C22</f>
        <v>0.25</v>
      </c>
      <c r="E7" s="60">
        <f>0.4</f>
        <v>0.4</v>
      </c>
      <c r="F7" s="39"/>
      <c r="G7" s="10" t="s">
        <v>623</v>
      </c>
      <c r="H7" s="41" t="s">
        <v>516</v>
      </c>
      <c r="I7" s="181" t="s">
        <v>624</v>
      </c>
    </row>
    <row r="8" spans="1:14" ht="52.05" customHeight="1" x14ac:dyDescent="0.3">
      <c r="A8" s="61"/>
      <c r="B8" s="62" t="s">
        <v>496</v>
      </c>
      <c r="C8" s="60">
        <f>0.5</f>
        <v>0.5</v>
      </c>
      <c r="D8" s="60">
        <f>Inputs!C21</f>
        <v>0.67</v>
      </c>
      <c r="E8" s="60">
        <f>0.9</f>
        <v>0.9</v>
      </c>
      <c r="F8" s="61"/>
      <c r="G8" s="63" t="s">
        <v>625</v>
      </c>
      <c r="H8" s="64" t="s">
        <v>516</v>
      </c>
      <c r="I8" s="181" t="s">
        <v>626</v>
      </c>
    </row>
    <row r="9" spans="1:14" ht="52.05" customHeight="1" x14ac:dyDescent="0.3">
      <c r="A9" s="39"/>
      <c r="B9" s="59" t="s">
        <v>499</v>
      </c>
      <c r="C9" s="65">
        <f>1000000</f>
        <v>1000000</v>
      </c>
      <c r="D9" s="65">
        <f>Inputs!C15</f>
        <v>1250000</v>
      </c>
      <c r="E9" s="65">
        <f>1500000</f>
        <v>1500000</v>
      </c>
      <c r="F9" s="39"/>
      <c r="G9" s="10" t="s">
        <v>627</v>
      </c>
      <c r="H9" s="41" t="s">
        <v>447</v>
      </c>
      <c r="I9" s="181" t="s">
        <v>628</v>
      </c>
    </row>
    <row r="10" spans="1:14" ht="52.05" customHeight="1" x14ac:dyDescent="0.3">
      <c r="A10" s="61"/>
      <c r="B10" s="62" t="s">
        <v>503</v>
      </c>
      <c r="C10" s="65">
        <f>2000000</f>
        <v>2000000</v>
      </c>
      <c r="D10" s="65">
        <f>Inputs!C16+Inputs!C17</f>
        <v>3500000</v>
      </c>
      <c r="E10" s="65">
        <f>5500000</f>
        <v>5500000</v>
      </c>
      <c r="F10" s="61"/>
      <c r="G10" s="63" t="s">
        <v>629</v>
      </c>
      <c r="H10" s="64" t="s">
        <v>630</v>
      </c>
      <c r="I10" s="181" t="s">
        <v>631</v>
      </c>
    </row>
    <row r="11" spans="1:14" ht="52.05" customHeight="1" x14ac:dyDescent="0.3">
      <c r="A11" s="39"/>
      <c r="B11" s="59" t="s">
        <v>632</v>
      </c>
      <c r="C11" s="60">
        <f>0</f>
        <v>0</v>
      </c>
      <c r="D11" s="60">
        <f>0.01</f>
        <v>0.01</v>
      </c>
      <c r="E11" s="60">
        <f>0.03</f>
        <v>0.03</v>
      </c>
      <c r="F11" s="39"/>
      <c r="G11" s="10" t="s">
        <v>633</v>
      </c>
      <c r="H11" s="41" t="s">
        <v>516</v>
      </c>
      <c r="I11" s="181" t="s">
        <v>634</v>
      </c>
    </row>
    <row r="12" spans="1:14" ht="52.05" customHeight="1" x14ac:dyDescent="0.3">
      <c r="A12" s="61"/>
      <c r="B12" s="62" t="s">
        <v>635</v>
      </c>
      <c r="C12" s="60">
        <f>0.1</f>
        <v>0.1</v>
      </c>
      <c r="D12" s="60">
        <f>Inputs!C41</f>
        <v>0.15</v>
      </c>
      <c r="E12" s="60">
        <f>0.22</f>
        <v>0.22</v>
      </c>
      <c r="F12" s="61"/>
      <c r="G12" s="63" t="s">
        <v>636</v>
      </c>
      <c r="H12" s="64" t="s">
        <v>516</v>
      </c>
      <c r="I12" s="181" t="s">
        <v>637</v>
      </c>
    </row>
    <row r="13" spans="1:14" ht="10.050000000000001" customHeight="1" x14ac:dyDescent="0.3"/>
    <row r="15" spans="1:14" ht="22.05" customHeight="1" x14ac:dyDescent="0.3">
      <c r="A15" s="264" t="s">
        <v>638</v>
      </c>
      <c r="B15" s="198"/>
      <c r="C15" s="198"/>
      <c r="D15" s="198"/>
      <c r="E15" s="198"/>
      <c r="F15" s="198"/>
      <c r="G15" s="198"/>
      <c r="H15" s="198"/>
      <c r="I15" s="198"/>
    </row>
    <row r="16" spans="1:14" ht="30" customHeight="1" x14ac:dyDescent="0.3">
      <c r="A16" s="58" t="s">
        <v>639</v>
      </c>
      <c r="B16" s="58" t="s">
        <v>640</v>
      </c>
      <c r="C16" s="58" t="s">
        <v>641</v>
      </c>
      <c r="D16" s="58" t="s">
        <v>642</v>
      </c>
      <c r="E16" s="58" t="s">
        <v>643</v>
      </c>
      <c r="F16" s="58" t="s">
        <v>644</v>
      </c>
      <c r="G16" s="58" t="s">
        <v>645</v>
      </c>
      <c r="H16" s="58" t="s">
        <v>646</v>
      </c>
      <c r="I16" s="58" t="s">
        <v>647</v>
      </c>
    </row>
    <row r="17" spans="1:9" ht="16.05" customHeight="1" x14ac:dyDescent="0.3">
      <c r="A17" s="66">
        <v>1</v>
      </c>
      <c r="B17" s="67">
        <f ca="1">(C7)+(E7-C7)*IF(RAND()&lt;((D7)-(C7))/((E7)-(C7)),SQRT(RAND()*((D7)-(C7))/((E7)-(C7))),1-SQRT(RAND()*((E7)-(D7))/((E7)-(C7))))</f>
        <v>0.30245253633791325</v>
      </c>
      <c r="C17" s="67">
        <f ca="1">(C8)+(E8-C8)*IF(RAND()&lt;((D8)-(C8))/((E8)-(C8)),SQRT(RAND()*((D8)-(C8))/((E8)-(C8))),1-SQRT(RAND()*((E8)-(D8))/((E8)-(C8))))</f>
        <v>0.57187407954161285</v>
      </c>
      <c r="D17" s="68">
        <f ca="1">(C9)+(E9-C9)*IF(RAND()&lt;((D9)-(C9))/((E9)-(C9)),SQRT(RAND()*((D9)-(C9))/((E9)-(C9))),1-SQRT(RAND()*((E9)-(D9))/((E9)-(C9))))</f>
        <v>1321630.9932116042</v>
      </c>
      <c r="E17" s="68">
        <f ca="1">(C10)+(E10-C10)*IF(RAND()&lt;((D10)-(C10))/((E10)-(C10)),SQRT(RAND()*((D10)-(C10))/((E10)-(C10))),1-SQRT(RAND()*((E10)-(D10))/((E10)-(C10))))</f>
        <v>3911903.5504349419</v>
      </c>
      <c r="F17" s="67">
        <f ca="1">(C11)+(E11-C11)*IF(RAND()&lt;((D11)-(C11))/((E11)-(C11)),SQRT(RAND()*((D11)-(C11))/((E11)-(C11))),1-SQRT(RAND()*((E11)-(D11))/((E11)-(C11))))</f>
        <v>6.7790344946663458E-3</v>
      </c>
      <c r="G17" s="67">
        <f ca="1">(C12)+(E12-C12)*IF(RAND()&lt;((D12)-(C12))/((E12)-(C12)),SQRT(RAND()*((D12)-(C12))/((E12)-(C12))),1-SQRT(RAND()*((E12)-(D12))/((E12)-(C12))))</f>
        <v>0.16143958124125279</v>
      </c>
      <c r="H17" s="68">
        <f t="shared" ref="H17:H80" ca="1" si="0">-D17+($L$1*B17*C17+$M$1*F17-E17)*(1-(1+$N$1)^-5)/$N$1</f>
        <v>220955950.0588679</v>
      </c>
      <c r="I17" s="69">
        <f t="shared" ref="I17:I80" ca="1" si="1">($L$1*B17*C17+$M$1*F17-E17)*5/D17</f>
        <v>221.83297085141908</v>
      </c>
    </row>
    <row r="18" spans="1:9" ht="16.05" customHeight="1" x14ac:dyDescent="0.3">
      <c r="A18" s="70">
        <v>2</v>
      </c>
      <c r="B18" s="71">
        <f ca="1">(C7)+(E7-C7)*IF(RAND()&lt;((D7)-(C7))/((E7)-(C7)),SQRT(RAND()*((D7)-(C7))/((E7)-(C7))),1-SQRT(RAND()*((E7)-(D7))/((E7)-(C7))))</f>
        <v>0.32361400823329345</v>
      </c>
      <c r="C18" s="71">
        <f ca="1">(C8)+(E8-C8)*IF(RAND()&lt;((D8)-(C8))/((E8)-(C8)),SQRT(RAND()*((D8)-(C8))/((E8)-(C8))),1-SQRT(RAND()*((E8)-(D8))/((E8)-(C8))))</f>
        <v>0.69889968670535652</v>
      </c>
      <c r="D18" s="72">
        <f ca="1">(C9)+(E9-C9)*IF(RAND()&lt;((D9)-(C9))/((E9)-(C9)),SQRT(RAND()*((D9)-(C9))/((E9)-(C9))),1-SQRT(RAND()*((E9)-(D9))/((E9)-(C9))))</f>
        <v>1032857.1721599781</v>
      </c>
      <c r="E18" s="72">
        <f ca="1">(C10)+(E10-C10)*IF(RAND()&lt;((D10)-(C10))/((E10)-(C10)),SQRT(RAND()*((D10)-(C10))/((E10)-(C10))),1-SQRT(RAND()*((E10)-(D10))/((E10)-(C10))))</f>
        <v>2867974.8825135711</v>
      </c>
      <c r="F18" s="71">
        <f ca="1">(C11)+(E11-C11)*IF(RAND()&lt;((D11)-(C11))/((E11)-(C11)),SQRT(RAND()*((D11)-(C11))/((E11)-(C11))),1-SQRT(RAND()*((E11)-(D11))/((E11)-(C11))))</f>
        <v>2.19984493638039E-2</v>
      </c>
      <c r="G18" s="71">
        <f ca="1">(C12)+(E12-C12)*IF(RAND()&lt;((D12)-(C12))/((E12)-(C12)),SQRT(RAND()*((D12)-(C12))/((E12)-(C12))),1-SQRT(RAND()*((E12)-(D12))/((E12)-(C12))))</f>
        <v>0.13073388368198766</v>
      </c>
      <c r="H18" s="72">
        <f t="shared" ca="1" si="0"/>
        <v>392939566.69934601</v>
      </c>
      <c r="I18" s="73">
        <f t="shared" ca="1" si="1"/>
        <v>503.1137688793886</v>
      </c>
    </row>
    <row r="19" spans="1:9" ht="16.05" customHeight="1" x14ac:dyDescent="0.3">
      <c r="A19" s="66">
        <v>3</v>
      </c>
      <c r="B19" s="67">
        <f ca="1">(C7)+(E7-C7)*IF(RAND()&lt;((D7)-(C7))/((E7)-(C7)),SQRT(RAND()*((D7)-(C7))/((E7)-(C7))),1-SQRT(RAND()*((E7)-(D7))/((E7)-(C7))))</f>
        <v>0.2199432580281715</v>
      </c>
      <c r="C19" s="67">
        <f ca="1">(C8)+(E8-C8)*IF(RAND()&lt;((D8)-(C8))/((E8)-(C8)),SQRT(RAND()*((D8)-(C8))/((E8)-(C8))),1-SQRT(RAND()*((E8)-(D8))/((E8)-(C8))))</f>
        <v>0.60064364245127821</v>
      </c>
      <c r="D19" s="68">
        <f ca="1">(C9)+(E9-C9)*IF(RAND()&lt;((D9)-(C9))/((E9)-(C9)),SQRT(RAND()*((D9)-(C9))/((E9)-(C9))),1-SQRT(RAND()*((E9)-(D9))/((E9)-(C9))))</f>
        <v>1280418.36732794</v>
      </c>
      <c r="E19" s="68">
        <f ca="1">(C10)+(E10-C10)*IF(RAND()&lt;((D10)-(C10))/((E10)-(C10)),SQRT(RAND()*((D10)-(C10))/((E10)-(C10))),1-SQRT(RAND()*((E10)-(D10))/((E10)-(C10))))</f>
        <v>3538419.9595458293</v>
      </c>
      <c r="F19" s="67">
        <f ca="1">(C11)+(E11-C11)*IF(RAND()&lt;((D11)-(C11))/((E11)-(C11)),SQRT(RAND()*((D11)-(C11))/((E11)-(C11))),1-SQRT(RAND()*((E11)-(D11))/((E11)-(C11))))</f>
        <v>2.3420448606440325E-2</v>
      </c>
      <c r="G19" s="67">
        <f ca="1">(C12)+(E12-C12)*IF(RAND()&lt;((D12)-(C12))/((E12)-(C12)),SQRT(RAND()*((D12)-(C12))/((E12)-(C12))),1-SQRT(RAND()*((E12)-(D12))/((E12)-(C12))))</f>
        <v>0.17689850022553688</v>
      </c>
      <c r="H19" s="68">
        <f t="shared" ca="1" si="0"/>
        <v>298074117.10567313</v>
      </c>
      <c r="I19" s="69">
        <f t="shared" ca="1" si="1"/>
        <v>308.37175698696217</v>
      </c>
    </row>
    <row r="20" spans="1:9" ht="16.05" customHeight="1" x14ac:dyDescent="0.3">
      <c r="A20" s="70">
        <v>4</v>
      </c>
      <c r="B20" s="71">
        <f ca="1">(C7)+(E7-C7)*IF(RAND()&lt;((D7)-(C7))/((E7)-(C7)),SQRT(RAND()*((D7)-(C7))/((E7)-(C7))),1-SQRT(RAND()*((E7)-(D7))/((E7)-(C7))))</f>
        <v>0.22464202470313138</v>
      </c>
      <c r="C20" s="71">
        <f ca="1">(C8)+(E8-C8)*IF(RAND()&lt;((D8)-(C8))/((E8)-(C8)),SQRT(RAND()*((D8)-(C8))/((E8)-(C8))),1-SQRT(RAND()*((E8)-(D8))/((E8)-(C8))))</f>
        <v>0.7590327913772561</v>
      </c>
      <c r="D20" s="72">
        <f ca="1">(C9)+(E9-C9)*IF(RAND()&lt;((D9)-(C9))/((E9)-(C9)),SQRT(RAND()*((D9)-(C9))/((E9)-(C9))),1-SQRT(RAND()*((E9)-(D9))/((E9)-(C9))))</f>
        <v>1314105.9523869734</v>
      </c>
      <c r="E20" s="72">
        <f ca="1">(C10)+(E10-C10)*IF(RAND()&lt;((D10)-(C10))/((E10)-(C10)),SQRT(RAND()*((D10)-(C10))/((E10)-(C10))),1-SQRT(RAND()*((E10)-(D10))/((E10)-(C10))))</f>
        <v>4117496.7874704869</v>
      </c>
      <c r="F20" s="71">
        <f ca="1">(C11)+(E11-C11)*IF(RAND()&lt;((D11)-(C11))/((E11)-(C11)),SQRT(RAND()*((D11)-(C11))/((E11)-(C11))),1-SQRT(RAND()*((E11)-(D11))/((E11)-(C11))))</f>
        <v>1.5303698128712013E-2</v>
      </c>
      <c r="G20" s="71">
        <f ca="1">(C12)+(E12-C12)*IF(RAND()&lt;((D12)-(C12))/((E12)-(C12)),SQRT(RAND()*((D12)-(C12))/((E12)-(C12))),1-SQRT(RAND()*((E12)-(D12))/((E12)-(C12))))</f>
        <v>0.14620403906591981</v>
      </c>
      <c r="H20" s="72">
        <f t="shared" ca="1" si="0"/>
        <v>279042266.39877594</v>
      </c>
      <c r="I20" s="73">
        <f t="shared" ca="1" si="1"/>
        <v>281.39779983742</v>
      </c>
    </row>
    <row r="21" spans="1:9" ht="16.05" customHeight="1" x14ac:dyDescent="0.3">
      <c r="A21" s="66">
        <v>5</v>
      </c>
      <c r="B21" s="67">
        <f ca="1">(C7)+(E7-C7)*IF(RAND()&lt;((D7)-(C7))/((E7)-(C7)),SQRT(RAND()*((D7)-(C7))/((E7)-(C7))),1-SQRT(RAND()*((E7)-(D7))/((E7)-(C7))))</f>
        <v>0.2335614585692726</v>
      </c>
      <c r="C21" s="67">
        <f ca="1">(C8)+(E8-C8)*IF(RAND()&lt;((D8)-(C8))/((E8)-(C8)),SQRT(RAND()*((D8)-(C8))/((E8)-(C8))),1-SQRT(RAND()*((E8)-(D8))/((E8)-(C8))))</f>
        <v>0.67166271474943939</v>
      </c>
      <c r="D21" s="68">
        <f ca="1">(C9)+(E9-C9)*IF(RAND()&lt;((D9)-(C9))/((E9)-(C9)),SQRT(RAND()*((D9)-(C9))/((E9)-(C9))),1-SQRT(RAND()*((E9)-(D9))/((E9)-(C9))))</f>
        <v>1307680.3222337139</v>
      </c>
      <c r="E21" s="68">
        <f ca="1">(C10)+(E10-C10)*IF(RAND()&lt;((D10)-(C10))/((E10)-(C10)),SQRT(RAND()*((D10)-(C10))/((E10)-(C10))),1-SQRT(RAND()*((E10)-(D10))/((E10)-(C10))))</f>
        <v>3689816.4974026959</v>
      </c>
      <c r="F21" s="67">
        <f ca="1">(C11)+(E11-C11)*IF(RAND()&lt;((D11)-(C11))/((E11)-(C11)),SQRT(RAND()*((D11)-(C11))/((E11)-(C11))),1-SQRT(RAND()*((E11)-(D11))/((E11)-(C11))))</f>
        <v>2.2254164735579139E-2</v>
      </c>
      <c r="G21" s="67">
        <f ca="1">(C12)+(E12-C12)*IF(RAND()&lt;((D12)-(C12))/((E12)-(C12)),SQRT(RAND()*((D12)-(C12))/((E12)-(C12))),1-SQRT(RAND()*((E12)-(D12))/((E12)-(C12))))</f>
        <v>0.17428217602894597</v>
      </c>
      <c r="H21" s="68">
        <f t="shared" ca="1" si="0"/>
        <v>316000510.4186275</v>
      </c>
      <c r="I21" s="69">
        <f t="shared" ca="1" si="1"/>
        <v>320.05185032530289</v>
      </c>
    </row>
    <row r="22" spans="1:9" ht="16.05" customHeight="1" x14ac:dyDescent="0.3">
      <c r="A22" s="70">
        <v>6</v>
      </c>
      <c r="B22" s="71">
        <f ca="1">(C7)+(E7-C7)*IF(RAND()&lt;((D7)-(C7))/((E7)-(C7)),SQRT(RAND()*((D7)-(C7))/((E7)-(C7))),1-SQRT(RAND()*((E7)-(D7))/((E7)-(C7))))</f>
        <v>0.31865990581965276</v>
      </c>
      <c r="C22" s="71">
        <f ca="1">(C8)+(E8-C8)*IF(RAND()&lt;((D8)-(C8))/((E8)-(C8)),SQRT(RAND()*((D8)-(C8))/((E8)-(C8))),1-SQRT(RAND()*((E8)-(D8))/((E8)-(C8))))</f>
        <v>0.68779613719745214</v>
      </c>
      <c r="D22" s="72">
        <f ca="1">(C9)+(E9-C9)*IF(RAND()&lt;((D9)-(C9))/((E9)-(C9)),SQRT(RAND()*((D9)-(C9))/((E9)-(C9))),1-SQRT(RAND()*((E9)-(D9))/((E9)-(C9))))</f>
        <v>1334549.6470243677</v>
      </c>
      <c r="E22" s="72">
        <f ca="1">(C10)+(E10-C10)*IF(RAND()&lt;((D10)-(C10))/((E10)-(C10)),SQRT(RAND()*((D10)-(C10))/((E10)-(C10))),1-SQRT(RAND()*((E10)-(D10))/((E10)-(C10))))</f>
        <v>3252753.8639169442</v>
      </c>
      <c r="F22" s="71">
        <f ca="1">(C11)+(E11-C11)*IF(RAND()&lt;((D11)-(C11))/((E11)-(C11)),SQRT(RAND()*((D11)-(C11))/((E11)-(C11))),1-SQRT(RAND()*((E11)-(D11))/((E11)-(C11))))</f>
        <v>7.9261992603194744E-3</v>
      </c>
      <c r="G22" s="71">
        <f ca="1">(C12)+(E12-C12)*IF(RAND()&lt;((D12)-(C12))/((E12)-(C12)),SQRT(RAND()*((D12)-(C12))/((E12)-(C12))),1-SQRT(RAND()*((E12)-(D12))/((E12)-(C12))))</f>
        <v>0.18757455873220963</v>
      </c>
      <c r="H22" s="72">
        <f t="shared" ca="1" si="0"/>
        <v>281994143.68758792</v>
      </c>
      <c r="I22" s="73">
        <f t="shared" ca="1" si="1"/>
        <v>280.02478478484409</v>
      </c>
    </row>
    <row r="23" spans="1:9" ht="16.05" customHeight="1" x14ac:dyDescent="0.3">
      <c r="A23" s="66">
        <v>7</v>
      </c>
      <c r="B23" s="67">
        <f ca="1">(C7)+(E7-C7)*IF(RAND()&lt;((D7)-(C7))/((E7)-(C7)),SQRT(RAND()*((D7)-(C7))/((E7)-(C7))),1-SQRT(RAND()*((E7)-(D7))/((E7)-(C7))))</f>
        <v>0.23193565921987139</v>
      </c>
      <c r="C23" s="67">
        <f ca="1">(C8)+(E8-C8)*IF(RAND()&lt;((D8)-(C8))/((E8)-(C8)),SQRT(RAND()*((D8)-(C8))/((E8)-(C8))),1-SQRT(RAND()*((E8)-(D8))/((E8)-(C8))))</f>
        <v>0.76673935386496073</v>
      </c>
      <c r="D23" s="68">
        <f ca="1">(C9)+(E9-C9)*IF(RAND()&lt;((D9)-(C9))/((E9)-(C9)),SQRT(RAND()*((D9)-(C9))/((E9)-(C9))),1-SQRT(RAND()*((E9)-(D9))/((E9)-(C9))))</f>
        <v>1185251.2370821526</v>
      </c>
      <c r="E23" s="68">
        <f ca="1">(C10)+(E10-C10)*IF(RAND()&lt;((D10)-(C10))/((E10)-(C10)),SQRT(RAND()*((D10)-(C10))/((E10)-(C10))),1-SQRT(RAND()*((E10)-(D10))/((E10)-(C10))))</f>
        <v>3536503.3596049221</v>
      </c>
      <c r="F23" s="67">
        <f ca="1">(C11)+(E11-C11)*IF(RAND()&lt;((D11)-(C11))/((E11)-(C11)),SQRT(RAND()*((D11)-(C11))/((E11)-(C11))),1-SQRT(RAND()*((E11)-(D11))/((E11)-(C11))))</f>
        <v>5.692597055376108E-3</v>
      </c>
      <c r="G23" s="67">
        <f ca="1">(C12)+(E12-C12)*IF(RAND()&lt;((D12)-(C12))/((E12)-(C12)),SQRT(RAND()*((D12)-(C12))/((E12)-(C12))),1-SQRT(RAND()*((E12)-(D12))/((E12)-(C12))))</f>
        <v>0.18843991171001934</v>
      </c>
      <c r="H23" s="68">
        <f t="shared" ca="1" si="0"/>
        <v>219971584.44331887</v>
      </c>
      <c r="I23" s="69">
        <f t="shared" ca="1" si="1"/>
        <v>246.11075815727449</v>
      </c>
    </row>
    <row r="24" spans="1:9" ht="16.05" customHeight="1" x14ac:dyDescent="0.3">
      <c r="A24" s="70">
        <v>8</v>
      </c>
      <c r="B24" s="71">
        <f ca="1">(C7)+(E7-C7)*IF(RAND()&lt;((D7)-(C7))/((E7)-(C7)),SQRT(RAND()*((D7)-(C7))/((E7)-(C7))),1-SQRT(RAND()*((E7)-(D7))/((E7)-(C7))))</f>
        <v>0.2002540749347467</v>
      </c>
      <c r="C24" s="71">
        <f ca="1">(C8)+(E8-C8)*IF(RAND()&lt;((D8)-(C8))/((E8)-(C8)),SQRT(RAND()*((D8)-(C8))/((E8)-(C8))),1-SQRT(RAND()*((E8)-(D8))/((E8)-(C8))))</f>
        <v>0.60792009589636997</v>
      </c>
      <c r="D24" s="72">
        <f ca="1">(C9)+(E9-C9)*IF(RAND()&lt;((D9)-(C9))/((E9)-(C9)),SQRT(RAND()*((D9)-(C9))/((E9)-(C9))),1-SQRT(RAND()*((E9)-(D9))/((E9)-(C9))))</f>
        <v>1288193.1596301133</v>
      </c>
      <c r="E24" s="72">
        <f ca="1">(C10)+(E10-C10)*IF(RAND()&lt;((D10)-(C10))/((E10)-(C10)),SQRT(RAND()*((D10)-(C10))/((E10)-(C10))),1-SQRT(RAND()*((E10)-(D10))/((E10)-(C10))))</f>
        <v>2977235.2416644376</v>
      </c>
      <c r="F24" s="71">
        <f ca="1">(C11)+(E11-C11)*IF(RAND()&lt;((D11)-(C11))/((E11)-(C11)),SQRT(RAND()*((D11)-(C11))/((E11)-(C11))),1-SQRT(RAND()*((E11)-(D11))/((E11)-(C11))))</f>
        <v>7.141883625124806E-3</v>
      </c>
      <c r="G24" s="71">
        <f ca="1">(C12)+(E12-C12)*IF(RAND()&lt;((D12)-(C12))/((E12)-(C12)),SQRT(RAND()*((D12)-(C12))/((E12)-(C12))),1-SQRT(RAND()*((E12)-(D12))/((E12)-(C12))))</f>
        <v>0.17578224073479093</v>
      </c>
      <c r="H24" s="72">
        <f t="shared" ca="1" si="0"/>
        <v>171419498.28993183</v>
      </c>
      <c r="I24" s="73">
        <f t="shared" ca="1" si="1"/>
        <v>176.8362670523436</v>
      </c>
    </row>
    <row r="25" spans="1:9" ht="16.05" customHeight="1" x14ac:dyDescent="0.3">
      <c r="A25" s="66">
        <v>9</v>
      </c>
      <c r="B25" s="67">
        <f ca="1">(C7)+(E7-C7)*IF(RAND()&lt;((D7)-(C7))/((E7)-(C7)),SQRT(RAND()*((D7)-(C7))/((E7)-(C7))),1-SQRT(RAND()*((E7)-(D7))/((E7)-(C7))))</f>
        <v>0.25718829342811467</v>
      </c>
      <c r="C25" s="67">
        <f ca="1">(C8)+(E8-C8)*IF(RAND()&lt;((D8)-(C8))/((E8)-(C8)),SQRT(RAND()*((D8)-(C8))/((E8)-(C8))),1-SQRT(RAND()*((E8)-(D8))/((E8)-(C8))))</f>
        <v>0.74205614894793681</v>
      </c>
      <c r="D25" s="68">
        <f ca="1">(C9)+(E9-C9)*IF(RAND()&lt;((D9)-(C9))/((E9)-(C9)),SQRT(RAND()*((D9)-(C9))/((E9)-(C9))),1-SQRT(RAND()*((E9)-(D9))/((E9)-(C9))))</f>
        <v>1226651.6720991144</v>
      </c>
      <c r="E25" s="68">
        <f ca="1">(C10)+(E10-C10)*IF(RAND()&lt;((D10)-(C10))/((E10)-(C10)),SQRT(RAND()*((D10)-(C10))/((E10)-(C10))),1-SQRT(RAND()*((E10)-(D10))/((E10)-(C10))))</f>
        <v>4410722.2621184941</v>
      </c>
      <c r="F25" s="67">
        <f ca="1">(C11)+(E11-C11)*IF(RAND()&lt;((D11)-(C11))/((E11)-(C11)),SQRT(RAND()*((D11)-(C11))/((E11)-(C11))),1-SQRT(RAND()*((E11)-(D11))/((E11)-(C11))))</f>
        <v>6.3918604601282177E-3</v>
      </c>
      <c r="G25" s="67">
        <f ca="1">(C12)+(E12-C12)*IF(RAND()&lt;((D12)-(C12))/((E12)-(C12)),SQRT(RAND()*((D12)-(C12))/((E12)-(C12))),1-SQRT(RAND()*((E12)-(D12))/((E12)-(C12))))</f>
        <v>0.17629458094196887</v>
      </c>
      <c r="H25" s="68">
        <f t="shared" ca="1" si="0"/>
        <v>235821860.80351368</v>
      </c>
      <c r="I25" s="69">
        <f t="shared" ca="1" si="1"/>
        <v>254.89224789543877</v>
      </c>
    </row>
    <row r="26" spans="1:9" ht="16.05" customHeight="1" x14ac:dyDescent="0.3">
      <c r="A26" s="70">
        <v>10</v>
      </c>
      <c r="B26" s="71">
        <f ca="1">(C7)+(E7-C7)*IF(RAND()&lt;((D7)-(C7))/((E7)-(C7)),SQRT(RAND()*((D7)-(C7))/((E7)-(C7))),1-SQRT(RAND()*((E7)-(D7))/((E7)-(C7))))</f>
        <v>0.26712216825454077</v>
      </c>
      <c r="C26" s="71">
        <f ca="1">(C8)+(E8-C8)*IF(RAND()&lt;((D8)-(C8))/((E8)-(C8)),SQRT(RAND()*((D8)-(C8))/((E8)-(C8))),1-SQRT(RAND()*((E8)-(D8))/((E8)-(C8))))</f>
        <v>0.58688671998001207</v>
      </c>
      <c r="D26" s="72">
        <f ca="1">(C9)+(E9-C9)*IF(RAND()&lt;((D9)-(C9))/((E9)-(C9)),SQRT(RAND()*((D9)-(C9))/((E9)-(C9))),1-SQRT(RAND()*((E9)-(D9))/((E9)-(C9))))</f>
        <v>1352314.6677328711</v>
      </c>
      <c r="E26" s="72">
        <f ca="1">(C10)+(E10-C10)*IF(RAND()&lt;((D10)-(C10))/((E10)-(C10)),SQRT(RAND()*((D10)-(C10))/((E10)-(C10))),1-SQRT(RAND()*((E10)-(D10))/((E10)-(C10))))</f>
        <v>2893037.4034775645</v>
      </c>
      <c r="F26" s="71">
        <f ca="1">(C11)+(E11-C11)*IF(RAND()&lt;((D11)-(C11))/((E11)-(C11)),SQRT(RAND()*((D11)-(C11))/((E11)-(C11))),1-SQRT(RAND()*((E11)-(D11))/((E11)-(C11))))</f>
        <v>7.4041239835539539E-3</v>
      </c>
      <c r="G26" s="71">
        <f ca="1">(C12)+(E12-C12)*IF(RAND()&lt;((D12)-(C12))/((E12)-(C12)),SQRT(RAND()*((D12)-(C12))/((E12)-(C12))),1-SQRT(RAND()*((E12)-(D12))/((E12)-(C12))))</f>
        <v>0.13708188364589863</v>
      </c>
      <c r="H26" s="72">
        <f t="shared" ca="1" si="0"/>
        <v>211680556.4160549</v>
      </c>
      <c r="I26" s="73">
        <f t="shared" ca="1" si="1"/>
        <v>207.78275966121481</v>
      </c>
    </row>
    <row r="27" spans="1:9" ht="16.05" customHeight="1" x14ac:dyDescent="0.3">
      <c r="A27" s="66">
        <v>11</v>
      </c>
      <c r="B27" s="67">
        <f ca="1">(C7)+(E7-C7)*IF(RAND()&lt;((D7)-(C7))/((E7)-(C7)),SQRT(RAND()*((D7)-(C7))/((E7)-(C7))),1-SQRT(RAND()*((E7)-(D7))/((E7)-(C7))))</f>
        <v>0.30531321700636826</v>
      </c>
      <c r="C27" s="67">
        <f ca="1">(C8)+(E8-C8)*IF(RAND()&lt;((D8)-(C8))/((E8)-(C8)),SQRT(RAND()*((D8)-(C8))/((E8)-(C8))),1-SQRT(RAND()*((E8)-(D8))/((E8)-(C8))))</f>
        <v>0.54858824799418893</v>
      </c>
      <c r="D27" s="68">
        <f ca="1">(C9)+(E9-C9)*IF(RAND()&lt;((D9)-(C9))/((E9)-(C9)),SQRT(RAND()*((D9)-(C9))/((E9)-(C9))),1-SQRT(RAND()*((E9)-(D9))/((E9)-(C9))))</f>
        <v>1197491.555387184</v>
      </c>
      <c r="E27" s="68">
        <f ca="1">(C10)+(E10-C10)*IF(RAND()&lt;((D10)-(C10))/((E10)-(C10)),SQRT(RAND()*((D10)-(C10))/((E10)-(C10))),1-SQRT(RAND()*((E10)-(D10))/((E10)-(C10))))</f>
        <v>3648331.9602038814</v>
      </c>
      <c r="F27" s="67">
        <f ca="1">(C11)+(E11-C11)*IF(RAND()&lt;((D11)-(C11))/((E11)-(C11)),SQRT(RAND()*((D11)-(C11))/((E11)-(C11))),1-SQRT(RAND()*((E11)-(D11))/((E11)-(C11))))</f>
        <v>1.09590976853012E-2</v>
      </c>
      <c r="G27" s="67">
        <f ca="1">(C12)+(E12-C12)*IF(RAND()&lt;((D12)-(C12))/((E12)-(C12)),SQRT(RAND()*((D12)-(C12))/((E12)-(C12))),1-SQRT(RAND()*((E12)-(D12))/((E12)-(C12))))</f>
        <v>0.15466567220679689</v>
      </c>
      <c r="H27" s="68">
        <f t="shared" ca="1" si="0"/>
        <v>246294548.63212156</v>
      </c>
      <c r="I27" s="69">
        <f t="shared" ca="1" si="1"/>
        <v>272.60224268181668</v>
      </c>
    </row>
    <row r="28" spans="1:9" ht="16.05" customHeight="1" x14ac:dyDescent="0.3">
      <c r="A28" s="70">
        <v>12</v>
      </c>
      <c r="B28" s="71">
        <f ca="1">(C7)+(E7-C7)*IF(RAND()&lt;((D7)-(C7))/((E7)-(C7)),SQRT(RAND()*((D7)-(C7))/((E7)-(C7))),1-SQRT(RAND()*((E7)-(D7))/((E7)-(C7))))</f>
        <v>0.33520165229779109</v>
      </c>
      <c r="C28" s="71">
        <f ca="1">(C8)+(E8-C8)*IF(RAND()&lt;((D8)-(C8))/((E8)-(C8)),SQRT(RAND()*((D8)-(C8))/((E8)-(C8))),1-SQRT(RAND()*((E8)-(D8))/((E8)-(C8))))</f>
        <v>0.59884929730094294</v>
      </c>
      <c r="D28" s="72">
        <f ca="1">(C9)+(E9-C9)*IF(RAND()&lt;((D9)-(C9))/((E9)-(C9)),SQRT(RAND()*((D9)-(C9))/((E9)-(C9))),1-SQRT(RAND()*((E9)-(D9))/((E9)-(C9))))</f>
        <v>1121651.2473732489</v>
      </c>
      <c r="E28" s="72">
        <f ca="1">(C10)+(E10-C10)*IF(RAND()&lt;((D10)-(C10))/((E10)-(C10)),SQRT(RAND()*((D10)-(C10))/((E10)-(C10))),1-SQRT(RAND()*((E10)-(D10))/((E10)-(C10))))</f>
        <v>3967253.9220502903</v>
      </c>
      <c r="F28" s="71">
        <f ca="1">(C11)+(E11-C11)*IF(RAND()&lt;((D11)-(C11))/((E11)-(C11)),SQRT(RAND()*((D11)-(C11))/((E11)-(C11))),1-SQRT(RAND()*((E11)-(D11))/((E11)-(C11))))</f>
        <v>1.8902487393827563E-2</v>
      </c>
      <c r="G28" s="71">
        <f ca="1">(C12)+(E12-C12)*IF(RAND()&lt;((D12)-(C12))/((E12)-(C12)),SQRT(RAND()*((D12)-(C12))/((E12)-(C12))),1-SQRT(RAND()*((E12)-(D12))/((E12)-(C12))))</f>
        <v>0.16951348553141682</v>
      </c>
      <c r="H28" s="72">
        <f t="shared" ca="1" si="0"/>
        <v>338662130.70697141</v>
      </c>
      <c r="I28" s="73">
        <f t="shared" ca="1" si="1"/>
        <v>399.56317038998407</v>
      </c>
    </row>
    <row r="29" spans="1:9" ht="16.05" customHeight="1" x14ac:dyDescent="0.3">
      <c r="A29" s="66">
        <v>13</v>
      </c>
      <c r="B29" s="67">
        <f ca="1">(C7)+(E7-C7)*IF(RAND()&lt;((D7)-(C7))/((E7)-(C7)),SQRT(RAND()*((D7)-(C7))/((E7)-(C7))),1-SQRT(RAND()*((E7)-(D7))/((E7)-(C7))))</f>
        <v>0.25759224912988893</v>
      </c>
      <c r="C29" s="67">
        <f ca="1">(C8)+(E8-C8)*IF(RAND()&lt;((D8)-(C8))/((E8)-(C8)),SQRT(RAND()*((D8)-(C8))/((E8)-(C8))),1-SQRT(RAND()*((E8)-(D8))/((E8)-(C8))))</f>
        <v>0.66007405906839689</v>
      </c>
      <c r="D29" s="68">
        <f ca="1">(C9)+(E9-C9)*IF(RAND()&lt;((D9)-(C9))/((E9)-(C9)),SQRT(RAND()*((D9)-(C9))/((E9)-(C9))),1-SQRT(RAND()*((E9)-(D9))/((E9)-(C9))))</f>
        <v>1284295.2018088712</v>
      </c>
      <c r="E29" s="68">
        <f ca="1">(C10)+(E10-C10)*IF(RAND()&lt;((D10)-(C10))/((E10)-(C10)),SQRT(RAND()*((D10)-(C10))/((E10)-(C10))),1-SQRT(RAND()*((E10)-(D10))/((E10)-(C10))))</f>
        <v>3880746.011597137</v>
      </c>
      <c r="F29" s="67">
        <f ca="1">(C11)+(E11-C11)*IF(RAND()&lt;((D11)-(C11))/((E11)-(C11)),SQRT(RAND()*((D11)-(C11))/((E11)-(C11))),1-SQRT(RAND()*((E11)-(D11))/((E11)-(C11))))</f>
        <v>1.2491115494399274E-2</v>
      </c>
      <c r="G29" s="67">
        <f ca="1">(C12)+(E12-C12)*IF(RAND()&lt;((D12)-(C12))/((E12)-(C12)),SQRT(RAND()*((D12)-(C12))/((E12)-(C12))),1-SQRT(RAND()*((E12)-(D12))/((E12)-(C12))))</f>
        <v>0.14385791644202262</v>
      </c>
      <c r="H29" s="68">
        <f t="shared" ca="1" si="0"/>
        <v>259146307.18301964</v>
      </c>
      <c r="I29" s="69">
        <f t="shared" ca="1" si="1"/>
        <v>267.46552013202876</v>
      </c>
    </row>
    <row r="30" spans="1:9" ht="16.05" customHeight="1" x14ac:dyDescent="0.3">
      <c r="A30" s="70">
        <v>14</v>
      </c>
      <c r="B30" s="71">
        <f ca="1">(C7)+(E7-C7)*IF(RAND()&lt;((D7)-(C7))/((E7)-(C7)),SQRT(RAND()*((D7)-(C7))/((E7)-(C7))),1-SQRT(RAND()*((E7)-(D7))/((E7)-(C7))))</f>
        <v>0.22943910646840199</v>
      </c>
      <c r="C30" s="71">
        <f ca="1">(C8)+(E8-C8)*IF(RAND()&lt;((D8)-(C8))/((E8)-(C8)),SQRT(RAND()*((D8)-(C8))/((E8)-(C8))),1-SQRT(RAND()*((E8)-(D8))/((E8)-(C8))))</f>
        <v>0.59897164465433839</v>
      </c>
      <c r="D30" s="72">
        <f ca="1">(C9)+(E9-C9)*IF(RAND()&lt;((D9)-(C9))/((E9)-(C9)),SQRT(RAND()*((D9)-(C9))/((E9)-(C9))),1-SQRT(RAND()*((E9)-(D9))/((E9)-(C9))))</f>
        <v>1324952.7668643217</v>
      </c>
      <c r="E30" s="72">
        <f ca="1">(C10)+(E10-C10)*IF(RAND()&lt;((D10)-(C10))/((E10)-(C10)),SQRT(RAND()*((D10)-(C10))/((E10)-(C10))),1-SQRT(RAND()*((E10)-(D10))/((E10)-(C10))))</f>
        <v>4077314.6885593077</v>
      </c>
      <c r="F30" s="71">
        <f ca="1">(C11)+(E11-C11)*IF(RAND()&lt;((D11)-(C11))/((E11)-(C11)),SQRT(RAND()*((D11)-(C11))/((E11)-(C11))),1-SQRT(RAND()*((E11)-(D11))/((E11)-(C11))))</f>
        <v>1.3523338213496432E-2</v>
      </c>
      <c r="G30" s="71">
        <f ca="1">(C12)+(E12-C12)*IF(RAND()&lt;((D12)-(C12))/((E12)-(C12)),SQRT(RAND()*((D12)-(C12))/((E12)-(C12))),1-SQRT(RAND()*((E12)-(D12))/((E12)-(C12))))</f>
        <v>0.1770627992054673</v>
      </c>
      <c r="H30" s="72">
        <f t="shared" ca="1" si="0"/>
        <v>230340713.72964916</v>
      </c>
      <c r="I30" s="73">
        <f t="shared" ca="1" si="1"/>
        <v>230.6226332620428</v>
      </c>
    </row>
    <row r="31" spans="1:9" ht="16.05" customHeight="1" x14ac:dyDescent="0.3">
      <c r="A31" s="66">
        <v>15</v>
      </c>
      <c r="B31" s="67">
        <f ca="1">(C7)+(E7-C7)*IF(RAND()&lt;((D7)-(C7))/((E7)-(C7)),SQRT(RAND()*((D7)-(C7))/((E7)-(C7))),1-SQRT(RAND()*((E7)-(D7))/((E7)-(C7))))</f>
        <v>0.27894164720359677</v>
      </c>
      <c r="C31" s="67">
        <f ca="1">(C8)+(E8-C8)*IF(RAND()&lt;((D8)-(C8))/((E8)-(C8)),SQRT(RAND()*((D8)-(C8))/((E8)-(C8))),1-SQRT(RAND()*((E8)-(D8))/((E8)-(C8))))</f>
        <v>0.79071196150745604</v>
      </c>
      <c r="D31" s="68">
        <f ca="1">(C9)+(E9-C9)*IF(RAND()&lt;((D9)-(C9))/((E9)-(C9)),SQRT(RAND()*((D9)-(C9))/((E9)-(C9))),1-SQRT(RAND()*((E9)-(D9))/((E9)-(C9))))</f>
        <v>1182982.5018925553</v>
      </c>
      <c r="E31" s="68">
        <f ca="1">(C10)+(E10-C10)*IF(RAND()&lt;((D10)-(C10))/((E10)-(C10)),SQRT(RAND()*((D10)-(C10))/((E10)-(C10))),1-SQRT(RAND()*((E10)-(D10))/((E10)-(C10))))</f>
        <v>3491236.98829294</v>
      </c>
      <c r="F31" s="67">
        <f ca="1">(C11)+(E11-C11)*IF(RAND()&lt;((D11)-(C11))/((E11)-(C11)),SQRT(RAND()*((D11)-(C11))/((E11)-(C11))),1-SQRT(RAND()*((E11)-(D11))/((E11)-(C11))))</f>
        <v>1.2767196044628304E-2</v>
      </c>
      <c r="G31" s="67">
        <f ca="1">(C12)+(E12-C12)*IF(RAND()&lt;((D12)-(C12))/((E12)-(C12)),SQRT(RAND()*((D12)-(C12))/((E12)-(C12))),1-SQRT(RAND()*((E12)-(D12))/((E12)-(C12))))</f>
        <v>0.13784446677466344</v>
      </c>
      <c r="H31" s="68">
        <f t="shared" ca="1" si="0"/>
        <v>317693985.80012554</v>
      </c>
      <c r="I31" s="69">
        <f t="shared" ca="1" si="1"/>
        <v>355.53755354353643</v>
      </c>
    </row>
    <row r="32" spans="1:9" ht="16.05" customHeight="1" x14ac:dyDescent="0.3">
      <c r="A32" s="70">
        <v>16</v>
      </c>
      <c r="B32" s="71">
        <f ca="1">(C7)+(E7-C7)*IF(RAND()&lt;((D7)-(C7))/((E7)-(C7)),SQRT(RAND()*((D7)-(C7))/((E7)-(C7))),1-SQRT(RAND()*((E7)-(D7))/((E7)-(C7))))</f>
        <v>0.30258896742051111</v>
      </c>
      <c r="C32" s="71">
        <f ca="1">(C8)+(E8-C8)*IF(RAND()&lt;((D8)-(C8))/((E8)-(C8)),SQRT(RAND()*((D8)-(C8))/((E8)-(C8))),1-SQRT(RAND()*((E8)-(D8))/((E8)-(C8))))</f>
        <v>0.62634332489959355</v>
      </c>
      <c r="D32" s="72">
        <f ca="1">(C9)+(E9-C9)*IF(RAND()&lt;((D9)-(C9))/((E9)-(C9)),SQRT(RAND()*((D9)-(C9))/((E9)-(C9))),1-SQRT(RAND()*((E9)-(D9))/((E9)-(C9))))</f>
        <v>1050722.7212458467</v>
      </c>
      <c r="E32" s="72">
        <f ca="1">(C10)+(E10-C10)*IF(RAND()&lt;((D10)-(C10))/((E10)-(C10)),SQRT(RAND()*((D10)-(C10))/((E10)-(C10))),1-SQRT(RAND()*((E10)-(D10))/((E10)-(C10))))</f>
        <v>4194744.267253276</v>
      </c>
      <c r="F32" s="71">
        <f ca="1">(C11)+(E11-C11)*IF(RAND()&lt;((D11)-(C11))/((E11)-(C11)),SQRT(RAND()*((D11)-(C11))/((E11)-(C11))),1-SQRT(RAND()*((E11)-(D11))/((E11)-(C11))))</f>
        <v>1.1190846747442482E-2</v>
      </c>
      <c r="G32" s="71">
        <f ca="1">(C12)+(E12-C12)*IF(RAND()&lt;((D12)-(C12))/((E12)-(C12)),SQRT(RAND()*((D12)-(C12))/((E12)-(C12))),1-SQRT(RAND()*((E12)-(D12))/((E12)-(C12))))</f>
        <v>0.13392580365114803</v>
      </c>
      <c r="H32" s="72">
        <f t="shared" ca="1" si="0"/>
        <v>270013967.37724137</v>
      </c>
      <c r="I32" s="73">
        <f t="shared" ca="1" si="1"/>
        <v>340.27141954065689</v>
      </c>
    </row>
    <row r="33" spans="1:9" ht="16.05" customHeight="1" x14ac:dyDescent="0.3">
      <c r="A33" s="66">
        <v>17</v>
      </c>
      <c r="B33" s="67">
        <f ca="1">(C7)+(E7-C7)*IF(RAND()&lt;((D7)-(C7))/((E7)-(C7)),SQRT(RAND()*((D7)-(C7))/((E7)-(C7))),1-SQRT(RAND()*((E7)-(D7))/((E7)-(C7))))</f>
        <v>0.29441426805006354</v>
      </c>
      <c r="C33" s="67">
        <f ca="1">(C8)+(E8-C8)*IF(RAND()&lt;((D8)-(C8))/((E8)-(C8)),SQRT(RAND()*((D8)-(C8))/((E8)-(C8))),1-SQRT(RAND()*((E8)-(D8))/((E8)-(C8))))</f>
        <v>0.75816975143033427</v>
      </c>
      <c r="D33" s="68">
        <f ca="1">(C9)+(E9-C9)*IF(RAND()&lt;((D9)-(C9))/((E9)-(C9)),SQRT(RAND()*((D9)-(C9))/((E9)-(C9))),1-SQRT(RAND()*((E9)-(D9))/((E9)-(C9))))</f>
        <v>1265604.6575884067</v>
      </c>
      <c r="E33" s="68">
        <f ca="1">(C10)+(E10-C10)*IF(RAND()&lt;((D10)-(C10))/((E10)-(C10)),SQRT(RAND()*((D10)-(C10))/((E10)-(C10))),1-SQRT(RAND()*((E10)-(D10))/((E10)-(C10))))</f>
        <v>3544177.7954658191</v>
      </c>
      <c r="F33" s="67">
        <f ca="1">(C11)+(E11-C11)*IF(RAND()&lt;((D11)-(C11))/((E11)-(C11)),SQRT(RAND()*((D11)-(C11))/((E11)-(C11))),1-SQRT(RAND()*((E11)-(D11))/((E11)-(C11))))</f>
        <v>2.6215317017316043E-2</v>
      </c>
      <c r="G33" s="67">
        <f ca="1">(C12)+(E12-C12)*IF(RAND()&lt;((D12)-(C12))/((E12)-(C12)),SQRT(RAND()*((D12)-(C12))/((E12)-(C12))),1-SQRT(RAND()*((E12)-(D12))/((E12)-(C12))))</f>
        <v>0.14358602193743461</v>
      </c>
      <c r="H33" s="68">
        <f t="shared" ca="1" si="0"/>
        <v>417361500.1153397</v>
      </c>
      <c r="I33" s="69">
        <f t="shared" ca="1" si="1"/>
        <v>436.28464453474953</v>
      </c>
    </row>
    <row r="34" spans="1:9" ht="16.05" customHeight="1" x14ac:dyDescent="0.3">
      <c r="A34" s="70">
        <v>18</v>
      </c>
      <c r="B34" s="71">
        <f ca="1">(C7)+(E7-C7)*IF(RAND()&lt;((D7)-(C7))/((E7)-(C7)),SQRT(RAND()*((D7)-(C7))/((E7)-(C7))),1-SQRT(RAND()*((E7)-(D7))/((E7)-(C7))))</f>
        <v>0.20755212084042296</v>
      </c>
      <c r="C34" s="71">
        <f ca="1">(C8)+(E8-C8)*IF(RAND()&lt;((D8)-(C8))/((E8)-(C8)),SQRT(RAND()*((D8)-(C8))/((E8)-(C8))),1-SQRT(RAND()*((E8)-(D8))/((E8)-(C8))))</f>
        <v>0.66807103739083107</v>
      </c>
      <c r="D34" s="72">
        <f ca="1">(C9)+(E9-C9)*IF(RAND()&lt;((D9)-(C9))/((E9)-(C9)),SQRT(RAND()*((D9)-(C9))/((E9)-(C9))),1-SQRT(RAND()*((E9)-(D9))/((E9)-(C9))))</f>
        <v>1356379.3658351824</v>
      </c>
      <c r="E34" s="72">
        <f ca="1">(C10)+(E10-C10)*IF(RAND()&lt;((D10)-(C10))/((E10)-(C10)),SQRT(RAND()*((D10)-(C10))/((E10)-(C10))),1-SQRT(RAND()*((E10)-(D10))/((E10)-(C10))))</f>
        <v>4099530.6249388591</v>
      </c>
      <c r="F34" s="71">
        <f ca="1">(C11)+(E11-C11)*IF(RAND()&lt;((D11)-(C11))/((E11)-(C11)),SQRT(RAND()*((D11)-(C11))/((E11)-(C11))),1-SQRT(RAND()*((E11)-(D11))/((E11)-(C11))))</f>
        <v>1.4641597580556082E-2</v>
      </c>
      <c r="G34" s="71">
        <f ca="1">(C12)+(E12-C12)*IF(RAND()&lt;((D12)-(C12))/((E12)-(C12)),SQRT(RAND()*((D12)-(C12))/((E12)-(C12))),1-SQRT(RAND()*((E12)-(D12))/((E12)-(C12))))</f>
        <v>0.16451646652920932</v>
      </c>
      <c r="H34" s="72">
        <f t="shared" ca="1" si="0"/>
        <v>239636691.88259944</v>
      </c>
      <c r="I34" s="73">
        <f t="shared" ca="1" si="1"/>
        <v>234.34949943071675</v>
      </c>
    </row>
    <row r="35" spans="1:9" ht="16.05" customHeight="1" x14ac:dyDescent="0.3">
      <c r="A35" s="66">
        <v>19</v>
      </c>
      <c r="B35" s="67">
        <f ca="1">(C7)+(E7-C7)*IF(RAND()&lt;((D7)-(C7))/((E7)-(C7)),SQRT(RAND()*((D7)-(C7))/((E7)-(C7))),1-SQRT(RAND()*((E7)-(D7))/((E7)-(C7))))</f>
        <v>0.18136617853653336</v>
      </c>
      <c r="C35" s="67">
        <f ca="1">(C8)+(E8-C8)*IF(RAND()&lt;((D8)-(C8))/((E8)-(C8)),SQRT(RAND()*((D8)-(C8))/((E8)-(C8))),1-SQRT(RAND()*((E8)-(D8))/((E8)-(C8))))</f>
        <v>0.66869145817941489</v>
      </c>
      <c r="D35" s="68">
        <f ca="1">(C9)+(E9-C9)*IF(RAND()&lt;((D9)-(C9))/((E9)-(C9)),SQRT(RAND()*((D9)-(C9))/((E9)-(C9))),1-SQRT(RAND()*((E9)-(D9))/((E9)-(C9))))</f>
        <v>1185363.1189258562</v>
      </c>
      <c r="E35" s="68">
        <f ca="1">(C10)+(E10-C10)*IF(RAND()&lt;((D10)-(C10))/((E10)-(C10)),SQRT(RAND()*((D10)-(C10))/((E10)-(C10))),1-SQRT(RAND()*((E10)-(D10))/((E10)-(C10))))</f>
        <v>3967705.9117885213</v>
      </c>
      <c r="F35" s="67">
        <f ca="1">(C11)+(E11-C11)*IF(RAND()&lt;((D11)-(C11))/((E11)-(C11)),SQRT(RAND()*((D11)-(C11))/((E11)-(C11))),1-SQRT(RAND()*((E11)-(D11))/((E11)-(C11))))</f>
        <v>6.5484403463138005E-3</v>
      </c>
      <c r="G35" s="67">
        <f ca="1">(C12)+(E12-C12)*IF(RAND()&lt;((D12)-(C12))/((E12)-(C12)),SQRT(RAND()*((D12)-(C12))/((E12)-(C12))),1-SQRT(RAND()*((E12)-(D12))/((E12)-(C12))))</f>
        <v>0.17179401406602893</v>
      </c>
      <c r="H35" s="68">
        <f t="shared" ca="1" si="0"/>
        <v>162983432.22762966</v>
      </c>
      <c r="I35" s="69">
        <f t="shared" ca="1" si="1"/>
        <v>182.67530829191543</v>
      </c>
    </row>
    <row r="36" spans="1:9" ht="16.05" customHeight="1" x14ac:dyDescent="0.3">
      <c r="A36" s="70">
        <v>20</v>
      </c>
      <c r="B36" s="71">
        <f ca="1">(C7)+(E7-C7)*IF(RAND()&lt;((D7)-(C7))/((E7)-(C7)),SQRT(RAND()*((D7)-(C7))/((E7)-(C7))),1-SQRT(RAND()*((E7)-(D7))/((E7)-(C7))))</f>
        <v>0.28698744594434022</v>
      </c>
      <c r="C36" s="71">
        <f ca="1">(C8)+(E8-C8)*IF(RAND()&lt;((D8)-(C8))/((E8)-(C8)),SQRT(RAND()*((D8)-(C8))/((E8)-(C8))),1-SQRT(RAND()*((E8)-(D8))/((E8)-(C8))))</f>
        <v>0.68292733547680395</v>
      </c>
      <c r="D36" s="72">
        <f ca="1">(C9)+(E9-C9)*IF(RAND()&lt;((D9)-(C9))/((E9)-(C9)),SQRT(RAND()*((D9)-(C9))/((E9)-(C9))),1-SQRT(RAND()*((E9)-(D9))/((E9)-(C9))))</f>
        <v>1147934.8396482484</v>
      </c>
      <c r="E36" s="72">
        <f ca="1">(C10)+(E10-C10)*IF(RAND()&lt;((D10)-(C10))/((E10)-(C10)),SQRT(RAND()*((D10)-(C10))/((E10)-(C10))),1-SQRT(RAND()*((E10)-(D10))/((E10)-(C10))))</f>
        <v>4326185.7885855436</v>
      </c>
      <c r="F36" s="71">
        <f ca="1">(C11)+(E11-C11)*IF(RAND()&lt;((D11)-(C11))/((E11)-(C11)),SQRT(RAND()*((D11)-(C11))/((E11)-(C11))),1-SQRT(RAND()*((E11)-(D11))/((E11)-(C11))))</f>
        <v>1.8173205967071487E-2</v>
      </c>
      <c r="G36" s="71">
        <f ca="1">(C12)+(E12-C12)*IF(RAND()&lt;((D12)-(C12))/((E12)-(C12)),SQRT(RAND()*((D12)-(C12))/((E12)-(C12))),1-SQRT(RAND()*((E12)-(D12))/((E12)-(C12))))</f>
        <v>0.14149218044643341</v>
      </c>
      <c r="H36" s="72">
        <f t="shared" ca="1" si="0"/>
        <v>326850570.72302425</v>
      </c>
      <c r="I36" s="73">
        <f t="shared" ca="1" si="1"/>
        <v>376.87321824985895</v>
      </c>
    </row>
    <row r="37" spans="1:9" ht="16.05" customHeight="1" x14ac:dyDescent="0.3">
      <c r="A37" s="66">
        <v>21</v>
      </c>
      <c r="B37" s="67">
        <f ca="1">(C7)+(E7-C7)*IF(RAND()&lt;((D7)-(C7))/((E7)-(C7)),SQRT(RAND()*((D7)-(C7))/((E7)-(C7))),1-SQRT(RAND()*((E7)-(D7))/((E7)-(C7))))</f>
        <v>0.2422812961337022</v>
      </c>
      <c r="C37" s="67">
        <f ca="1">(C8)+(E8-C8)*IF(RAND()&lt;((D8)-(C8))/((E8)-(C8)),SQRT(RAND()*((D8)-(C8))/((E8)-(C8))),1-SQRT(RAND()*((E8)-(D8))/((E8)-(C8))))</f>
        <v>0.62884657902227314</v>
      </c>
      <c r="D37" s="68">
        <f ca="1">(C9)+(E9-C9)*IF(RAND()&lt;((D9)-(C9))/((E9)-(C9)),SQRT(RAND()*((D9)-(C9))/((E9)-(C9))),1-SQRT(RAND()*((E9)-(D9))/((E9)-(C9))))</f>
        <v>1186342.4372611663</v>
      </c>
      <c r="E37" s="68">
        <f ca="1">(C10)+(E10-C10)*IF(RAND()&lt;((D10)-(C10))/((E10)-(C10)),SQRT(RAND()*((D10)-(C10))/((E10)-(C10))),1-SQRT(RAND()*((E10)-(D10))/((E10)-(C10))))</f>
        <v>3912014.6334993932</v>
      </c>
      <c r="F37" s="67">
        <f ca="1">(C11)+(E11-C11)*IF(RAND()&lt;((D11)-(C11))/((E11)-(C11)),SQRT(RAND()*((D11)-(C11))/((E11)-(C11))),1-SQRT(RAND()*((E11)-(D11))/((E11)-(C11))))</f>
        <v>1.5643541137242853E-2</v>
      </c>
      <c r="G37" s="67">
        <f ca="1">(C12)+(E12-C12)*IF(RAND()&lt;((D12)-(C12))/((E12)-(C12)),SQRT(RAND()*((D12)-(C12))/((E12)-(C12))),1-SQRT(RAND()*((E12)-(D12))/((E12)-(C12))))</f>
        <v>0.14510044274864603</v>
      </c>
      <c r="H37" s="68">
        <f t="shared" ca="1" si="0"/>
        <v>262652287.92987841</v>
      </c>
      <c r="I37" s="69">
        <f t="shared" ca="1" si="1"/>
        <v>293.33843181007842</v>
      </c>
    </row>
    <row r="38" spans="1:9" ht="16.05" customHeight="1" x14ac:dyDescent="0.3">
      <c r="A38" s="70">
        <v>22</v>
      </c>
      <c r="B38" s="71">
        <f ca="1">(C7)+(E7-C7)*IF(RAND()&lt;((D7)-(C7))/((E7)-(C7)),SQRT(RAND()*((D7)-(C7))/((E7)-(C7))),1-SQRT(RAND()*((E7)-(D7))/((E7)-(C7))))</f>
        <v>0.23983704955133819</v>
      </c>
      <c r="C38" s="71">
        <f ca="1">(C8)+(E8-C8)*IF(RAND()&lt;((D8)-(C8))/((E8)-(C8)),SQRT(RAND()*((D8)-(C8))/((E8)-(C8))),1-SQRT(RAND()*((E8)-(D8))/((E8)-(C8))))</f>
        <v>0.6841449164795893</v>
      </c>
      <c r="D38" s="72">
        <f ca="1">(C9)+(E9-C9)*IF(RAND()&lt;((D9)-(C9))/((E9)-(C9)),SQRT(RAND()*((D9)-(C9))/((E9)-(C9))),1-SQRT(RAND()*((E9)-(D9))/((E9)-(C9))))</f>
        <v>1283322.8391580353</v>
      </c>
      <c r="E38" s="72">
        <f ca="1">(C10)+(E10-C10)*IF(RAND()&lt;((D10)-(C10))/((E10)-(C10)),SQRT(RAND()*((D10)-(C10))/((E10)-(C10))),1-SQRT(RAND()*((E10)-(D10))/((E10)-(C10))))</f>
        <v>4209569.4171144255</v>
      </c>
      <c r="F38" s="71">
        <f ca="1">(C11)+(E11-C11)*IF(RAND()&lt;((D11)-(C11))/((E11)-(C11)),SQRT(RAND()*((D11)-(C11))/((E11)-(C11))),1-SQRT(RAND()*((E11)-(D11))/((E11)-(C11))))</f>
        <v>1.1521275601723809E-2</v>
      </c>
      <c r="G38" s="71">
        <f ca="1">(C12)+(E12-C12)*IF(RAND()&lt;((D12)-(C12))/((E12)-(C12)),SQRT(RAND()*((D12)-(C12))/((E12)-(C12))),1-SQRT(RAND()*((E12)-(D12))/((E12)-(C12))))</f>
        <v>0.16006141878263741</v>
      </c>
      <c r="H38" s="72">
        <f t="shared" ca="1" si="0"/>
        <v>244431100.68925712</v>
      </c>
      <c r="I38" s="73">
        <f t="shared" ca="1" si="1"/>
        <v>252.54302325148146</v>
      </c>
    </row>
    <row r="39" spans="1:9" ht="16.05" customHeight="1" x14ac:dyDescent="0.3">
      <c r="A39" s="66">
        <v>23</v>
      </c>
      <c r="B39" s="67">
        <f ca="1">(C7)+(E7-C7)*IF(RAND()&lt;((D7)-(C7))/((E7)-(C7)),SQRT(RAND()*((D7)-(C7))/((E7)-(C7))),1-SQRT(RAND()*((E7)-(D7))/((E7)-(C7))))</f>
        <v>0.3856443787044801</v>
      </c>
      <c r="C39" s="67">
        <f ca="1">(C8)+(E8-C8)*IF(RAND()&lt;((D8)-(C8))/((E8)-(C8)),SQRT(RAND()*((D8)-(C8))/((E8)-(C8))),1-SQRT(RAND()*((E8)-(D8))/((E8)-(C8))))</f>
        <v>0.66249003643212567</v>
      </c>
      <c r="D39" s="68">
        <f ca="1">(C9)+(E9-C9)*IF(RAND()&lt;((D9)-(C9))/((E9)-(C9)),SQRT(RAND()*((D9)-(C9))/((E9)-(C9))),1-SQRT(RAND()*((E9)-(D9))/((E9)-(C9))))</f>
        <v>1204684.4024717633</v>
      </c>
      <c r="E39" s="68">
        <f ca="1">(C10)+(E10-C10)*IF(RAND()&lt;((D10)-(C10))/((E10)-(C10)),SQRT(RAND()*((D10)-(C10))/((E10)-(C10))),1-SQRT(RAND()*((E10)-(D10))/((E10)-(C10))))</f>
        <v>2622993.9270391995</v>
      </c>
      <c r="F39" s="67">
        <f ca="1">(C11)+(E11-C11)*IF(RAND()&lt;((D11)-(C11))/((E11)-(C11)),SQRT(RAND()*((D11)-(C11))/((E11)-(C11))),1-SQRT(RAND()*((E11)-(D11))/((E11)-(C11))))</f>
        <v>1.4049853046854409E-2</v>
      </c>
      <c r="G39" s="67">
        <f ca="1">(C12)+(E12-C12)*IF(RAND()&lt;((D12)-(C12))/((E12)-(C12)),SQRT(RAND()*((D12)-(C12))/((E12)-(C12))),1-SQRT(RAND()*((E12)-(D12))/((E12)-(C12))))</f>
        <v>0.13927817127146905</v>
      </c>
      <c r="H39" s="68">
        <f t="shared" ca="1" si="0"/>
        <v>368216135.19534141</v>
      </c>
      <c r="I39" s="69">
        <f t="shared" ca="1" si="1"/>
        <v>404.47224751595195</v>
      </c>
    </row>
    <row r="40" spans="1:9" ht="16.05" customHeight="1" x14ac:dyDescent="0.3">
      <c r="A40" s="70">
        <v>24</v>
      </c>
      <c r="B40" s="71">
        <f ca="1">(C7)+(E7-C7)*IF(RAND()&lt;((D7)-(C7))/((E7)-(C7)),SQRT(RAND()*((D7)-(C7))/((E7)-(C7))),1-SQRT(RAND()*((E7)-(D7))/((E7)-(C7))))</f>
        <v>0.33756225817314639</v>
      </c>
      <c r="C40" s="71">
        <f ca="1">(C8)+(E8-C8)*IF(RAND()&lt;((D8)-(C8))/((E8)-(C8)),SQRT(RAND()*((D8)-(C8))/((E8)-(C8))),1-SQRT(RAND()*((E8)-(D8))/((E8)-(C8))))</f>
        <v>0.56422761828969969</v>
      </c>
      <c r="D40" s="72">
        <f ca="1">(C9)+(E9-C9)*IF(RAND()&lt;((D9)-(C9))/((E9)-(C9)),SQRT(RAND()*((D9)-(C9))/((E9)-(C9))),1-SQRT(RAND()*((E9)-(D9))/((E9)-(C9))))</f>
        <v>1321392.895902372</v>
      </c>
      <c r="E40" s="72">
        <f ca="1">(C10)+(E10-C10)*IF(RAND()&lt;((D10)-(C10))/((E10)-(C10)),SQRT(RAND()*((D10)-(C10))/((E10)-(C10))),1-SQRT(RAND()*((E10)-(D10))/((E10)-(C10))))</f>
        <v>2942668.1938917488</v>
      </c>
      <c r="F40" s="71">
        <f ca="1">(C11)+(E11-C11)*IF(RAND()&lt;((D11)-(C11))/((E11)-(C11)),SQRT(RAND()*((D11)-(C11))/((E11)-(C11))),1-SQRT(RAND()*((E11)-(D11))/((E11)-(C11))))</f>
        <v>2.4568019993174612E-2</v>
      </c>
      <c r="G40" s="71">
        <f ca="1">(C12)+(E12-C12)*IF(RAND()&lt;((D12)-(C12))/((E12)-(C12)),SQRT(RAND()*((D12)-(C12))/((E12)-(C12))),1-SQRT(RAND()*((E12)-(D12))/((E12)-(C12))))</f>
        <v>0.16529716678903739</v>
      </c>
      <c r="H40" s="72">
        <f t="shared" ca="1" si="0"/>
        <v>372061328.2962442</v>
      </c>
      <c r="I40" s="73">
        <f t="shared" ca="1" si="1"/>
        <v>372.70300728956033</v>
      </c>
    </row>
    <row r="41" spans="1:9" ht="16.05" customHeight="1" x14ac:dyDescent="0.3">
      <c r="A41" s="66">
        <v>25</v>
      </c>
      <c r="B41" s="67">
        <f ca="1">(C7)+(E7-C7)*IF(RAND()&lt;((D7)-(C7))/((E7)-(C7)),SQRT(RAND()*((D7)-(C7))/((E7)-(C7))),1-SQRT(RAND()*((E7)-(D7))/((E7)-(C7))))</f>
        <v>0.26181717302049556</v>
      </c>
      <c r="C41" s="67">
        <f ca="1">(C8)+(E8-C8)*IF(RAND()&lt;((D8)-(C8))/((E8)-(C8)),SQRT(RAND()*((D8)-(C8))/((E8)-(C8))),1-SQRT(RAND()*((E8)-(D8))/((E8)-(C8))))</f>
        <v>0.6909383590695517</v>
      </c>
      <c r="D41" s="68">
        <f ca="1">(C9)+(E9-C9)*IF(RAND()&lt;((D9)-(C9))/((E9)-(C9)),SQRT(RAND()*((D9)-(C9))/((E9)-(C9))),1-SQRT(RAND()*((E9)-(D9))/((E9)-(C9))))</f>
        <v>1232608.1003523562</v>
      </c>
      <c r="E41" s="68">
        <f ca="1">(C10)+(E10-C10)*IF(RAND()&lt;((D10)-(C10))/((E10)-(C10)),SQRT(RAND()*((D10)-(C10))/((E10)-(C10))),1-SQRT(RAND()*((E10)-(D10))/((E10)-(C10))))</f>
        <v>4629278.415553242</v>
      </c>
      <c r="F41" s="67">
        <f ca="1">(C11)+(E11-C11)*IF(RAND()&lt;((D11)-(C11))/((E11)-(C11)),SQRT(RAND()*((D11)-(C11))/((E11)-(C11))),1-SQRT(RAND()*((E11)-(D11))/((E11)-(C11))))</f>
        <v>1.0995379095284925E-2</v>
      </c>
      <c r="G41" s="67">
        <f ca="1">(C12)+(E12-C12)*IF(RAND()&lt;((D12)-(C12))/((E12)-(C12)),SQRT(RAND()*((D12)-(C12))/((E12)-(C12))),1-SQRT(RAND()*((E12)-(D12))/((E12)-(C12))))</f>
        <v>0.14864777086304537</v>
      </c>
      <c r="H41" s="68">
        <f t="shared" ca="1" si="0"/>
        <v>257390361.62814465</v>
      </c>
      <c r="I41" s="69">
        <f t="shared" ca="1" si="1"/>
        <v>276.74687465760792</v>
      </c>
    </row>
    <row r="42" spans="1:9" ht="16.05" customHeight="1" x14ac:dyDescent="0.3">
      <c r="A42" s="70">
        <v>26</v>
      </c>
      <c r="B42" s="71">
        <f ca="1">(C7)+(E7-C7)*IF(RAND()&lt;((D7)-(C7))/((E7)-(C7)),SQRT(RAND()*((D7)-(C7))/((E7)-(C7))),1-SQRT(RAND()*((E7)-(D7))/((E7)-(C7))))</f>
        <v>0.28376750147244278</v>
      </c>
      <c r="C42" s="71">
        <f ca="1">(C8)+(E8-C8)*IF(RAND()&lt;((D8)-(C8))/((E8)-(C8)),SQRT(RAND()*((D8)-(C8))/((E8)-(C8))),1-SQRT(RAND()*((E8)-(D8))/((E8)-(C8))))</f>
        <v>0.75535684457301233</v>
      </c>
      <c r="D42" s="72">
        <f ca="1">(C9)+(E9-C9)*IF(RAND()&lt;((D9)-(C9))/((E9)-(C9)),SQRT(RAND()*((D9)-(C9))/((E9)-(C9))),1-SQRT(RAND()*((E9)-(D9))/((E9)-(C9))))</f>
        <v>1253591.2145256004</v>
      </c>
      <c r="E42" s="72">
        <f ca="1">(C10)+(E10-C10)*IF(RAND()&lt;((D10)-(C10))/((E10)-(C10)),SQRT(RAND()*((D10)-(C10))/((E10)-(C10))),1-SQRT(RAND()*((E10)-(D10))/((E10)-(C10))))</f>
        <v>2920519.275594858</v>
      </c>
      <c r="F42" s="71">
        <f ca="1">(C11)+(E11-C11)*IF(RAND()&lt;((D11)-(C11))/((E11)-(C11)),SQRT(RAND()*((D11)-(C11))/((E11)-(C11))),1-SQRT(RAND()*((E11)-(D11))/((E11)-(C11))))</f>
        <v>1.5317613036672104E-2</v>
      </c>
      <c r="G42" s="71">
        <f ca="1">(C12)+(E12-C12)*IF(RAND()&lt;((D12)-(C12))/((E12)-(C12)),SQRT(RAND()*((D12)-(C12))/((E12)-(C12))),1-SQRT(RAND()*((E12)-(D12))/((E12)-(C12))))</f>
        <v>0.1501853114152743</v>
      </c>
      <c r="H42" s="72">
        <f t="shared" ca="1" si="0"/>
        <v>331431310.15241319</v>
      </c>
      <c r="I42" s="73">
        <f t="shared" ca="1" si="1"/>
        <v>350.04010024216115</v>
      </c>
    </row>
    <row r="43" spans="1:9" ht="16.05" customHeight="1" x14ac:dyDescent="0.3">
      <c r="A43" s="66">
        <v>27</v>
      </c>
      <c r="B43" s="67">
        <f ca="1">(C7)+(E7-C7)*IF(RAND()&lt;((D7)-(C7))/((E7)-(C7)),SQRT(RAND()*((D7)-(C7))/((E7)-(C7))),1-SQRT(RAND()*((E7)-(D7))/((E7)-(C7))))</f>
        <v>0.28262535971240466</v>
      </c>
      <c r="C43" s="67">
        <f ca="1">(C8)+(E8-C8)*IF(RAND()&lt;((D8)-(C8))/((E8)-(C8)),SQRT(RAND()*((D8)-(C8))/((E8)-(C8))),1-SQRT(RAND()*((E8)-(D8))/((E8)-(C8))))</f>
        <v>0.62767163899425127</v>
      </c>
      <c r="D43" s="68">
        <f ca="1">(C9)+(E9-C9)*IF(RAND()&lt;((D9)-(C9))/((E9)-(C9)),SQRT(RAND()*((D9)-(C9))/((E9)-(C9))),1-SQRT(RAND()*((E9)-(D9))/((E9)-(C9))))</f>
        <v>1225028.034966808</v>
      </c>
      <c r="E43" s="68">
        <f ca="1">(C10)+(E10-C10)*IF(RAND()&lt;((D10)-(C10))/((E10)-(C10)),SQRT(RAND()*((D10)-(C10))/((E10)-(C10))),1-SQRT(RAND()*((E10)-(D10))/((E10)-(C10))))</f>
        <v>2931989.4792809738</v>
      </c>
      <c r="F43" s="67">
        <f ca="1">(C11)+(E11-C11)*IF(RAND()&lt;((D11)-(C11))/((E11)-(C11)),SQRT(RAND()*((D11)-(C11))/((E11)-(C11))),1-SQRT(RAND()*((E11)-(D11))/((E11)-(C11))))</f>
        <v>1.520460742886527E-2</v>
      </c>
      <c r="G43" s="67">
        <f ca="1">(C12)+(E12-C12)*IF(RAND()&lt;((D12)-(C12))/((E12)-(C12)),SQRT(RAND()*((D12)-(C12))/((E12)-(C12))),1-SQRT(RAND()*((E12)-(D12))/((E12)-(C12))))</f>
        <v>0.15722705470117115</v>
      </c>
      <c r="H43" s="68">
        <f t="shared" ca="1" si="0"/>
        <v>290401005.17559016</v>
      </c>
      <c r="I43" s="69">
        <f t="shared" ca="1" si="1"/>
        <v>313.9936829984224</v>
      </c>
    </row>
    <row r="44" spans="1:9" ht="16.05" customHeight="1" x14ac:dyDescent="0.3">
      <c r="A44" s="70">
        <v>28</v>
      </c>
      <c r="B44" s="71">
        <f ca="1">(C7)+(E7-C7)*IF(RAND()&lt;((D7)-(C7))/((E7)-(C7)),SQRT(RAND()*((D7)-(C7))/((E7)-(C7))),1-SQRT(RAND()*((E7)-(D7))/((E7)-(C7))))</f>
        <v>0.28049360567588522</v>
      </c>
      <c r="C44" s="71">
        <f ca="1">(C8)+(E8-C8)*IF(RAND()&lt;((D8)-(C8))/((E8)-(C8)),SQRT(RAND()*((D8)-(C8))/((E8)-(C8))),1-SQRT(RAND()*((E8)-(D8))/((E8)-(C8))))</f>
        <v>0.69939471732280556</v>
      </c>
      <c r="D44" s="72">
        <f ca="1">(C9)+(E9-C9)*IF(RAND()&lt;((D9)-(C9))/((E9)-(C9)),SQRT(RAND()*((D9)-(C9))/((E9)-(C9))),1-SQRT(RAND()*((E9)-(D9))/((E9)-(C9))))</f>
        <v>1186292.6589643541</v>
      </c>
      <c r="E44" s="72">
        <f ca="1">(C10)+(E10-C10)*IF(RAND()&lt;((D10)-(C10))/((E10)-(C10)),SQRT(RAND()*((D10)-(C10))/((E10)-(C10))),1-SQRT(RAND()*((E10)-(D10))/((E10)-(C10))))</f>
        <v>3218787.4541180758</v>
      </c>
      <c r="F44" s="71">
        <f ca="1">(C11)+(E11-C11)*IF(RAND()&lt;((D11)-(C11))/((E11)-(C11)),SQRT(RAND()*((D11)-(C11))/((E11)-(C11))),1-SQRT(RAND()*((E11)-(D11))/((E11)-(C11))))</f>
        <v>2.0062999994873001E-2</v>
      </c>
      <c r="G44" s="71">
        <f ca="1">(C12)+(E12-C12)*IF(RAND()&lt;((D12)-(C12))/((E12)-(C12)),SQRT(RAND()*((D12)-(C12))/((E12)-(C12))),1-SQRT(RAND()*((E12)-(D12))/((E12)-(C12))))</f>
        <v>0.2104405586504188</v>
      </c>
      <c r="H44" s="72">
        <f t="shared" ca="1" si="0"/>
        <v>344850384.33350796</v>
      </c>
      <c r="I44" s="73">
        <f t="shared" ca="1" si="1"/>
        <v>384.743186950557</v>
      </c>
    </row>
    <row r="45" spans="1:9" ht="16.05" customHeight="1" x14ac:dyDescent="0.3">
      <c r="A45" s="66">
        <v>29</v>
      </c>
      <c r="B45" s="67">
        <f ca="1">(C7)+(E7-C7)*IF(RAND()&lt;((D7)-(C7))/((E7)-(C7)),SQRT(RAND()*((D7)-(C7))/((E7)-(C7))),1-SQRT(RAND()*((E7)-(D7))/((E7)-(C7))))</f>
        <v>0.22815589610785669</v>
      </c>
      <c r="C45" s="67">
        <f ca="1">(C8)+(E8-C8)*IF(RAND()&lt;((D8)-(C8))/((E8)-(C8)),SQRT(RAND()*((D8)-(C8))/((E8)-(C8))),1-SQRT(RAND()*((E8)-(D8))/((E8)-(C8))))</f>
        <v>0.70969081102788556</v>
      </c>
      <c r="D45" s="68">
        <f ca="1">(C9)+(E9-C9)*IF(RAND()&lt;((D9)-(C9))/((E9)-(C9)),SQRT(RAND()*((D9)-(C9))/((E9)-(C9))),1-SQRT(RAND()*((E9)-(D9))/((E9)-(C9))))</f>
        <v>1236564.0658724606</v>
      </c>
      <c r="E45" s="68">
        <f ca="1">(C10)+(E10-C10)*IF(RAND()&lt;((D10)-(C10))/((E10)-(C10)),SQRT(RAND()*((D10)-(C10))/((E10)-(C10))),1-SQRT(RAND()*((E10)-(D10))/((E10)-(C10))))</f>
        <v>3086640.236269258</v>
      </c>
      <c r="F45" s="67">
        <f ca="1">(C11)+(E11-C11)*IF(RAND()&lt;((D11)-(C11))/((E11)-(C11)),SQRT(RAND()*((D11)-(C11))/((E11)-(C11))),1-SQRT(RAND()*((E11)-(D11))/((E11)-(C11))))</f>
        <v>5.9381388015045285E-3</v>
      </c>
      <c r="G45" s="67">
        <f ca="1">(C12)+(E12-C12)*IF(RAND()&lt;((D12)-(C12))/((E12)-(C12)),SQRT(RAND()*((D12)-(C12))/((E12)-(C12))),1-SQRT(RAND()*((E12)-(D12))/((E12)-(C12))))</f>
        <v>0.12461239740730808</v>
      </c>
      <c r="H45" s="68">
        <f t="shared" ca="1" si="0"/>
        <v>206084055.15898675</v>
      </c>
      <c r="I45" s="69">
        <f t="shared" ca="1" si="1"/>
        <v>221.13960197338164</v>
      </c>
    </row>
    <row r="46" spans="1:9" ht="16.05" customHeight="1" x14ac:dyDescent="0.3">
      <c r="A46" s="70">
        <v>30</v>
      </c>
      <c r="B46" s="71">
        <f ca="1">(C7)+(E7-C7)*IF(RAND()&lt;((D7)-(C7))/((E7)-(C7)),SQRT(RAND()*((D7)-(C7))/((E7)-(C7))),1-SQRT(RAND()*((E7)-(D7))/((E7)-(C7))))</f>
        <v>0.26382311862826674</v>
      </c>
      <c r="C46" s="71">
        <f ca="1">(C8)+(E8-C8)*IF(RAND()&lt;((D8)-(C8))/((E8)-(C8)),SQRT(RAND()*((D8)-(C8))/((E8)-(C8))),1-SQRT(RAND()*((E8)-(D8))/((E8)-(C8))))</f>
        <v>0.67772765224501297</v>
      </c>
      <c r="D46" s="72">
        <f ca="1">(C9)+(E9-C9)*IF(RAND()&lt;((D9)-(C9))/((E9)-(C9)),SQRT(RAND()*((D9)-(C9))/((E9)-(C9))),1-SQRT(RAND()*((E9)-(D9))/((E9)-(C9))))</f>
        <v>1154754.4218144058</v>
      </c>
      <c r="E46" s="72">
        <f ca="1">(C10)+(E10-C10)*IF(RAND()&lt;((D10)-(C10))/((E10)-(C10)),SQRT(RAND()*((D10)-(C10))/((E10)-(C10))),1-SQRT(RAND()*((E10)-(D10))/((E10)-(C10))))</f>
        <v>2093041.5704353913</v>
      </c>
      <c r="F46" s="71">
        <f ca="1">(C11)+(E11-C11)*IF(RAND()&lt;((D11)-(C11))/((E11)-(C11)),SQRT(RAND()*((D11)-(C11))/((E11)-(C11))),1-SQRT(RAND()*((E11)-(D11))/((E11)-(C11))))</f>
        <v>7.1081954074179226E-3</v>
      </c>
      <c r="G46" s="71">
        <f ca="1">(C12)+(E12-C12)*IF(RAND()&lt;((D12)-(C12))/((E12)-(C12)),SQRT(RAND()*((D12)-(C12))/((E12)-(C12))),1-SQRT(RAND()*((E12)-(D12))/((E12)-(C12))))</f>
        <v>0.17583326533956714</v>
      </c>
      <c r="H46" s="72">
        <f t="shared" ca="1" si="0"/>
        <v>236742234.73305571</v>
      </c>
      <c r="I46" s="73">
        <f t="shared" ca="1" si="1"/>
        <v>271.73148351795584</v>
      </c>
    </row>
    <row r="47" spans="1:9" ht="16.05" customHeight="1" x14ac:dyDescent="0.3">
      <c r="A47" s="66">
        <v>31</v>
      </c>
      <c r="B47" s="67">
        <f ca="1">(C7)+(E7-C7)*IF(RAND()&lt;((D7)-(C7))/((E7)-(C7)),SQRT(RAND()*((D7)-(C7))/((E7)-(C7))),1-SQRT(RAND()*((E7)-(D7))/((E7)-(C7))))</f>
        <v>0.1974654249965698</v>
      </c>
      <c r="C47" s="67">
        <f ca="1">(C8)+(E8-C8)*IF(RAND()&lt;((D8)-(C8))/((E8)-(C8)),SQRT(RAND()*((D8)-(C8))/((E8)-(C8))),1-SQRT(RAND()*((E8)-(D8))/((E8)-(C8))))</f>
        <v>0.69490187073457743</v>
      </c>
      <c r="D47" s="68">
        <f ca="1">(C9)+(E9-C9)*IF(RAND()&lt;((D9)-(C9))/((E9)-(C9)),SQRT(RAND()*((D9)-(C9))/((E9)-(C9))),1-SQRT(RAND()*((E9)-(D9))/((E9)-(C9))))</f>
        <v>1352044.1485646444</v>
      </c>
      <c r="E47" s="68">
        <f ca="1">(C10)+(E10-C10)*IF(RAND()&lt;((D10)-(C10))/((E10)-(C10)),SQRT(RAND()*((D10)-(C10))/((E10)-(C10))),1-SQRT(RAND()*((E10)-(D10))/((E10)-(C10))))</f>
        <v>3671503.3549416913</v>
      </c>
      <c r="F47" s="67">
        <f ca="1">(C11)+(E11-C11)*IF(RAND()&lt;((D11)-(C11))/((E11)-(C11)),SQRT(RAND()*((D11)-(C11))/((E11)-(C11))),1-SQRT(RAND()*((E11)-(D11))/((E11)-(C11))))</f>
        <v>8.5257849144517051E-3</v>
      </c>
      <c r="G47" s="67">
        <f ca="1">(C12)+(E12-C12)*IF(RAND()&lt;((D12)-(C12))/((E12)-(C12)),SQRT(RAND()*((D12)-(C12))/((E12)-(C12))),1-SQRT(RAND()*((E12)-(D12))/((E12)-(C12))))</f>
        <v>0.16521661268085669</v>
      </c>
      <c r="H47" s="68">
        <f t="shared" ca="1" si="0"/>
        <v>195554578.02340037</v>
      </c>
      <c r="I47" s="69">
        <f t="shared" ca="1" si="1"/>
        <v>192.09236227940954</v>
      </c>
    </row>
    <row r="48" spans="1:9" ht="16.05" customHeight="1" x14ac:dyDescent="0.3">
      <c r="A48" s="70">
        <v>32</v>
      </c>
      <c r="B48" s="71">
        <f ca="1">(C7)+(E7-C7)*IF(RAND()&lt;((D7)-(C7))/((E7)-(C7)),SQRT(RAND()*((D7)-(C7))/((E7)-(C7))),1-SQRT(RAND()*((E7)-(D7))/((E7)-(C7))))</f>
        <v>0.1651712216878343</v>
      </c>
      <c r="C48" s="71">
        <f ca="1">(C8)+(E8-C8)*IF(RAND()&lt;((D8)-(C8))/((E8)-(C8)),SQRT(RAND()*((D8)-(C8))/((E8)-(C8))),1-SQRT(RAND()*((E8)-(D8))/((E8)-(C8))))</f>
        <v>0.66659202965729503</v>
      </c>
      <c r="D48" s="72">
        <f ca="1">(C9)+(E9-C9)*IF(RAND()&lt;((D9)-(C9))/((E9)-(C9)),SQRT(RAND()*((D9)-(C9))/((E9)-(C9))),1-SQRT(RAND()*((E9)-(D9))/((E9)-(C9))))</f>
        <v>1267092.9858051767</v>
      </c>
      <c r="E48" s="72">
        <f ca="1">(C10)+(E10-C10)*IF(RAND()&lt;((D10)-(C10))/((E10)-(C10)),SQRT(RAND()*((D10)-(C10))/((E10)-(C10))),1-SQRT(RAND()*((E10)-(D10))/((E10)-(C10))))</f>
        <v>3483619.3692471581</v>
      </c>
      <c r="F48" s="71">
        <f ca="1">(C11)+(E11-C11)*IF(RAND()&lt;((D11)-(C11))/((E11)-(C11)),SQRT(RAND()*((D11)-(C11))/((E11)-(C11))),1-SQRT(RAND()*((E11)-(D11))/((E11)-(C11))))</f>
        <v>1.6990245875466686E-2</v>
      </c>
      <c r="G48" s="71">
        <f ca="1">(C12)+(E12-C12)*IF(RAND()&lt;((D12)-(C12))/((E12)-(C12)),SQRT(RAND()*((D12)-(C12))/((E12)-(C12))),1-SQRT(RAND()*((E12)-(D12))/((E12)-(C12))))</f>
        <v>0.16351285016509423</v>
      </c>
      <c r="H48" s="72">
        <f t="shared" ca="1" si="0"/>
        <v>227942946.88440919</v>
      </c>
      <c r="I48" s="73">
        <f t="shared" ca="1" si="1"/>
        <v>238.59745010032964</v>
      </c>
    </row>
    <row r="49" spans="1:9" ht="16.05" customHeight="1" x14ac:dyDescent="0.3">
      <c r="A49" s="66">
        <v>33</v>
      </c>
      <c r="B49" s="67">
        <f ca="1">(C7)+(E7-C7)*IF(RAND()&lt;((D7)-(C7))/((E7)-(C7)),SQRT(RAND()*((D7)-(C7))/((E7)-(C7))),1-SQRT(RAND()*((E7)-(D7))/((E7)-(C7))))</f>
        <v>0.26940365245101072</v>
      </c>
      <c r="C49" s="67">
        <f ca="1">(C8)+(E8-C8)*IF(RAND()&lt;((D8)-(C8))/((E8)-(C8)),SQRT(RAND()*((D8)-(C8))/((E8)-(C8))),1-SQRT(RAND()*((E8)-(D8))/((E8)-(C8))))</f>
        <v>0.64910269417136024</v>
      </c>
      <c r="D49" s="68">
        <f ca="1">(C9)+(E9-C9)*IF(RAND()&lt;((D9)-(C9))/((E9)-(C9)),SQRT(RAND()*((D9)-(C9))/((E9)-(C9))),1-SQRT(RAND()*((E9)-(D9))/((E9)-(C9))))</f>
        <v>1366335.9530308109</v>
      </c>
      <c r="E49" s="68">
        <f ca="1">(C10)+(E10-C10)*IF(RAND()&lt;((D10)-(C10))/((E10)-(C10)),SQRT(RAND()*((D10)-(C10))/((E10)-(C10))),1-SQRT(RAND()*((E10)-(D10))/((E10)-(C10))))</f>
        <v>2180969.0406820658</v>
      </c>
      <c r="F49" s="67">
        <f ca="1">(C11)+(E11-C11)*IF(RAND()&lt;((D11)-(C11))/((E11)-(C11)),SQRT(RAND()*((D11)-(C11))/((E11)-(C11))),1-SQRT(RAND()*((E11)-(D11))/((E11)-(C11))))</f>
        <v>7.2365547772743517E-3</v>
      </c>
      <c r="G49" s="67">
        <f ca="1">(C12)+(E12-C12)*IF(RAND()&lt;((D12)-(C12))/((E12)-(C12)),SQRT(RAND()*((D12)-(C12))/((E12)-(C12))),1-SQRT(RAND()*((E12)-(D12))/((E12)-(C12))))</f>
        <v>0.19789635866480382</v>
      </c>
      <c r="H49" s="68">
        <f t="shared" ca="1" si="0"/>
        <v>232848576.86812899</v>
      </c>
      <c r="I49" s="69">
        <f t="shared" ca="1" si="1"/>
        <v>226.09850758054952</v>
      </c>
    </row>
    <row r="50" spans="1:9" ht="16.05" customHeight="1" x14ac:dyDescent="0.3">
      <c r="A50" s="70">
        <v>34</v>
      </c>
      <c r="B50" s="71">
        <f ca="1">(C7)+(E7-C7)*IF(RAND()&lt;((D7)-(C7))/((E7)-(C7)),SQRT(RAND()*((D7)-(C7))/((E7)-(C7))),1-SQRT(RAND()*((E7)-(D7))/((E7)-(C7))))</f>
        <v>0.25423007525756375</v>
      </c>
      <c r="C50" s="71">
        <f ca="1">(C8)+(E8-C8)*IF(RAND()&lt;((D8)-(C8))/((E8)-(C8)),SQRT(RAND()*((D8)-(C8))/((E8)-(C8))),1-SQRT(RAND()*((E8)-(D8))/((E8)-(C8))))</f>
        <v>0.77395997742060296</v>
      </c>
      <c r="D50" s="72">
        <f ca="1">(C9)+(E9-C9)*IF(RAND()&lt;((D9)-(C9))/((E9)-(C9)),SQRT(RAND()*((D9)-(C9))/((E9)-(C9))),1-SQRT(RAND()*((E9)-(D9))/((E9)-(C9))))</f>
        <v>1302904.1223252115</v>
      </c>
      <c r="E50" s="72">
        <f ca="1">(C10)+(E10-C10)*IF(RAND()&lt;((D10)-(C10))/((E10)-(C10)),SQRT(RAND()*((D10)-(C10))/((E10)-(C10))),1-SQRT(RAND()*((E10)-(D10))/((E10)-(C10))))</f>
        <v>3308373.2504767748</v>
      </c>
      <c r="F50" s="71">
        <f ca="1">(C11)+(E11-C11)*IF(RAND()&lt;((D11)-(C11))/((E11)-(C11)),SQRT(RAND()*((D11)-(C11))/((E11)-(C11))),1-SQRT(RAND()*((E11)-(D11))/((E11)-(C11))))</f>
        <v>1.4725427078380839E-2</v>
      </c>
      <c r="G50" s="71">
        <f ca="1">(C12)+(E12-C12)*IF(RAND()&lt;((D12)-(C12))/((E12)-(C12)),SQRT(RAND()*((D12)-(C12))/((E12)-(C12))),1-SQRT(RAND()*((E12)-(D12))/((E12)-(C12))))</f>
        <v>0.16920549481263003</v>
      </c>
      <c r="H50" s="72">
        <f t="shared" ca="1" si="0"/>
        <v>306509285.40634269</v>
      </c>
      <c r="I50" s="73">
        <f t="shared" ca="1" si="1"/>
        <v>311.61187828105318</v>
      </c>
    </row>
    <row r="51" spans="1:9" ht="16.05" customHeight="1" x14ac:dyDescent="0.3">
      <c r="A51" s="66">
        <v>35</v>
      </c>
      <c r="B51" s="67">
        <f ca="1">(C7)+(E7-C7)*IF(RAND()&lt;((D7)-(C7))/((E7)-(C7)),SQRT(RAND()*((D7)-(C7))/((E7)-(C7))),1-SQRT(RAND()*((E7)-(D7))/((E7)-(C7))))</f>
        <v>0.25024014566268882</v>
      </c>
      <c r="C51" s="67">
        <f ca="1">(C8)+(E8-C8)*IF(RAND()&lt;((D8)-(C8))/((E8)-(C8)),SQRT(RAND()*((D8)-(C8))/((E8)-(C8))),1-SQRT(RAND()*((E8)-(D8))/((E8)-(C8))))</f>
        <v>0.59207358044244662</v>
      </c>
      <c r="D51" s="68">
        <f ca="1">(C9)+(E9-C9)*IF(RAND()&lt;((D9)-(C9))/((E9)-(C9)),SQRT(RAND()*((D9)-(C9))/((E9)-(C9))),1-SQRT(RAND()*((E9)-(D9))/((E9)-(C9))))</f>
        <v>1322251.9003221365</v>
      </c>
      <c r="E51" s="68">
        <f ca="1">(C10)+(E10-C10)*IF(RAND()&lt;((D10)-(C10))/((E10)-(C10)),SQRT(RAND()*((D10)-(C10))/((E10)-(C10))),1-SQRT(RAND()*((E10)-(D10))/((E10)-(C10))))</f>
        <v>3380317.9696304598</v>
      </c>
      <c r="F51" s="67">
        <f ca="1">(C11)+(E11-C11)*IF(RAND()&lt;((D11)-(C11))/((E11)-(C11)),SQRT(RAND()*((D11)-(C11))/((E11)-(C11))),1-SQRT(RAND()*((E11)-(D11))/((E11)-(C11))))</f>
        <v>9.5721329389987665E-3</v>
      </c>
      <c r="G51" s="67">
        <f ca="1">(C12)+(E12-C12)*IF(RAND()&lt;((D12)-(C12))/((E12)-(C12)),SQRT(RAND()*((D12)-(C12))/((E12)-(C12))),1-SQRT(RAND()*((E12)-(D12))/((E12)-(C12))))</f>
        <v>0.16927059309091627</v>
      </c>
      <c r="H51" s="68">
        <f t="shared" ca="1" si="0"/>
        <v>216144227.12028372</v>
      </c>
      <c r="I51" s="69">
        <f t="shared" ca="1" si="1"/>
        <v>216.92957790025849</v>
      </c>
    </row>
    <row r="52" spans="1:9" ht="16.05" customHeight="1" x14ac:dyDescent="0.3">
      <c r="A52" s="70">
        <v>36</v>
      </c>
      <c r="B52" s="71">
        <f ca="1">(C7)+(E7-C7)*IF(RAND()&lt;((D7)-(C7))/((E7)-(C7)),SQRT(RAND()*((D7)-(C7))/((E7)-(C7))),1-SQRT(RAND()*((E7)-(D7))/((E7)-(C7))))</f>
        <v>0.22185104524312022</v>
      </c>
      <c r="C52" s="71">
        <f ca="1">(C8)+(E8-C8)*IF(RAND()&lt;((D8)-(C8))/((E8)-(C8)),SQRT(RAND()*((D8)-(C8))/((E8)-(C8))),1-SQRT(RAND()*((E8)-(D8))/((E8)-(C8))))</f>
        <v>0.7173899159871493</v>
      </c>
      <c r="D52" s="72">
        <f ca="1">(C9)+(E9-C9)*IF(RAND()&lt;((D9)-(C9))/((E9)-(C9)),SQRT(RAND()*((D9)-(C9))/((E9)-(C9))),1-SQRT(RAND()*((E9)-(D9))/((E9)-(C9))))</f>
        <v>1324012.298199262</v>
      </c>
      <c r="E52" s="72">
        <f ca="1">(C10)+(E10-C10)*IF(RAND()&lt;((D10)-(C10))/((E10)-(C10)),SQRT(RAND()*((D10)-(C10))/((E10)-(C10))),1-SQRT(RAND()*((E10)-(D10))/((E10)-(C10))))</f>
        <v>3116188.9245483419</v>
      </c>
      <c r="F52" s="71">
        <f ca="1">(C11)+(E11-C11)*IF(RAND()&lt;((D11)-(C11))/((E11)-(C11)),SQRT(RAND()*((D11)-(C11))/((E11)-(C11))),1-SQRT(RAND()*((E11)-(D11))/((E11)-(C11))))</f>
        <v>1.2087556676782237E-2</v>
      </c>
      <c r="G52" s="71">
        <f ca="1">(C12)+(E12-C12)*IF(RAND()&lt;((D12)-(C12))/((E12)-(C12)),SQRT(RAND()*((D12)-(C12))/((E12)-(C12))),1-SQRT(RAND()*((E12)-(D12))/((E12)-(C12))))</f>
        <v>0.15519961886940442</v>
      </c>
      <c r="H52" s="72">
        <f t="shared" ca="1" si="0"/>
        <v>247259224.61467642</v>
      </c>
      <c r="I52" s="73">
        <f t="shared" ca="1" si="1"/>
        <v>247.63981329556685</v>
      </c>
    </row>
    <row r="53" spans="1:9" ht="16.05" customHeight="1" x14ac:dyDescent="0.3">
      <c r="A53" s="66">
        <v>37</v>
      </c>
      <c r="B53" s="67">
        <f ca="1">(C7)+(E7-C7)*IF(RAND()&lt;((D7)-(C7))/((E7)-(C7)),SQRT(RAND()*((D7)-(C7))/((E7)-(C7))),1-SQRT(RAND()*((E7)-(D7))/((E7)-(C7))))</f>
        <v>0.23954301692197078</v>
      </c>
      <c r="C53" s="67">
        <f ca="1">(C8)+(E8-C8)*IF(RAND()&lt;((D8)-(C8))/((E8)-(C8)),SQRT(RAND()*((D8)-(C8))/((E8)-(C8))),1-SQRT(RAND()*((E8)-(D8))/((E8)-(C8))))</f>
        <v>0.62925167974324869</v>
      </c>
      <c r="D53" s="68">
        <f ca="1">(C9)+(E9-C9)*IF(RAND()&lt;((D9)-(C9))/((E9)-(C9)),SQRT(RAND()*((D9)-(C9))/((E9)-(C9))),1-SQRT(RAND()*((E9)-(D9))/((E9)-(C9))))</f>
        <v>1326178.3404694987</v>
      </c>
      <c r="E53" s="68">
        <f ca="1">(C10)+(E10-C10)*IF(RAND()&lt;((D10)-(C10))/((E10)-(C10)),SQRT(RAND()*((D10)-(C10))/((E10)-(C10))),1-SQRT(RAND()*((E10)-(D10))/((E10)-(C10))))</f>
        <v>2665727.1301011932</v>
      </c>
      <c r="F53" s="67">
        <f ca="1">(C11)+(E11-C11)*IF(RAND()&lt;((D11)-(C11))/((E11)-(C11)),SQRT(RAND()*((D11)-(C11))/((E11)-(C11))),1-SQRT(RAND()*((E11)-(D11))/((E11)-(C11))))</f>
        <v>7.2582271254150264E-3</v>
      </c>
      <c r="G53" s="67">
        <f ca="1">(C12)+(E12-C12)*IF(RAND()&lt;((D12)-(C12))/((E12)-(C12)),SQRT(RAND()*((D12)-(C12))/((E12)-(C12))),1-SQRT(RAND()*((E12)-(D12))/((E12)-(C12))))</f>
        <v>0.18273145484297887</v>
      </c>
      <c r="H53" s="68">
        <f t="shared" ca="1" si="0"/>
        <v>204946693.89634416</v>
      </c>
      <c r="I53" s="69">
        <f t="shared" ca="1" si="1"/>
        <v>205.15439889141848</v>
      </c>
    </row>
    <row r="54" spans="1:9" ht="16.05" customHeight="1" x14ac:dyDescent="0.3">
      <c r="A54" s="70">
        <v>38</v>
      </c>
      <c r="B54" s="71">
        <f ca="1">(C7)+(E7-C7)*IF(RAND()&lt;((D7)-(C7))/((E7)-(C7)),SQRT(RAND()*((D7)-(C7))/((E7)-(C7))),1-SQRT(RAND()*((E7)-(D7))/((E7)-(C7))))</f>
        <v>0.30233081194009459</v>
      </c>
      <c r="C54" s="71">
        <f ca="1">(C8)+(E8-C8)*IF(RAND()&lt;((D8)-(C8))/((E8)-(C8)),SQRT(RAND()*((D8)-(C8))/((E8)-(C8))),1-SQRT(RAND()*((E8)-(D8))/((E8)-(C8))))</f>
        <v>0.70800724156025252</v>
      </c>
      <c r="D54" s="72">
        <f ca="1">(C9)+(E9-C9)*IF(RAND()&lt;((D9)-(C9))/((E9)-(C9)),SQRT(RAND()*((D9)-(C9))/((E9)-(C9))),1-SQRT(RAND()*((E9)-(D9))/((E9)-(C9))))</f>
        <v>1351055.5251094254</v>
      </c>
      <c r="E54" s="72">
        <f ca="1">(C10)+(E10-C10)*IF(RAND()&lt;((D10)-(C10))/((E10)-(C10)),SQRT(RAND()*((D10)-(C10))/((E10)-(C10))),1-SQRT(RAND()*((E10)-(D10))/((E10)-(C10))))</f>
        <v>3181819.5363761457</v>
      </c>
      <c r="F54" s="71">
        <f ca="1">(C11)+(E11-C11)*IF(RAND()&lt;((D11)-(C11))/((E11)-(C11)),SQRT(RAND()*((D11)-(C11))/((E11)-(C11))),1-SQRT(RAND()*((E11)-(D11))/((E11)-(C11))))</f>
        <v>2.257865647542142E-2</v>
      </c>
      <c r="G54" s="71">
        <f ca="1">(C12)+(E12-C12)*IF(RAND()&lt;((D12)-(C12))/((E12)-(C12)),SQRT(RAND()*((D12)-(C12))/((E12)-(C12))),1-SQRT(RAND()*((E12)-(D12))/((E12)-(C12))))</f>
        <v>0.12971030213947052</v>
      </c>
      <c r="H54" s="72">
        <f t="shared" ca="1" si="0"/>
        <v>382431921.07241148</v>
      </c>
      <c r="I54" s="73">
        <f t="shared" ca="1" si="1"/>
        <v>374.67365521537289</v>
      </c>
    </row>
    <row r="55" spans="1:9" ht="16.05" customHeight="1" x14ac:dyDescent="0.3">
      <c r="A55" s="66">
        <v>39</v>
      </c>
      <c r="B55" s="67">
        <f ca="1">(C7)+(E7-C7)*IF(RAND()&lt;((D7)-(C7))/((E7)-(C7)),SQRT(RAND()*((D7)-(C7))/((E7)-(C7))),1-SQRT(RAND()*((E7)-(D7))/((E7)-(C7))))</f>
        <v>0.30579760535216771</v>
      </c>
      <c r="C55" s="67">
        <f ca="1">(C8)+(E8-C8)*IF(RAND()&lt;((D8)-(C8))/((E8)-(C8)),SQRT(RAND()*((D8)-(C8))/((E8)-(C8))),1-SQRT(RAND()*((E8)-(D8))/((E8)-(C8))))</f>
        <v>0.76487689766632716</v>
      </c>
      <c r="D55" s="68">
        <f ca="1">(C9)+(E9-C9)*IF(RAND()&lt;((D9)-(C9))/((E9)-(C9)),SQRT(RAND()*((D9)-(C9))/((E9)-(C9))),1-SQRT(RAND()*((E9)-(D9))/((E9)-(C9))))</f>
        <v>1161452.6831407265</v>
      </c>
      <c r="E55" s="68">
        <f ca="1">(C10)+(E10-C10)*IF(RAND()&lt;((D10)-(C10))/((E10)-(C10)),SQRT(RAND()*((D10)-(C10))/((E10)-(C10))),1-SQRT(RAND()*((E10)-(D10))/((E10)-(C10))))</f>
        <v>3005387.6837014374</v>
      </c>
      <c r="F55" s="67">
        <f ca="1">(C11)+(E11-C11)*IF(RAND()&lt;((D11)-(C11))/((E11)-(C11)),SQRT(RAND()*((D11)-(C11))/((E11)-(C11))),1-SQRT(RAND()*((E11)-(D11))/((E11)-(C11))))</f>
        <v>1.5464664029016374E-2</v>
      </c>
      <c r="G55" s="67">
        <f ca="1">(C12)+(E12-C12)*IF(RAND()&lt;((D12)-(C12))/((E12)-(C12)),SQRT(RAND()*((D12)-(C12))/((E12)-(C12))),1-SQRT(RAND()*((E12)-(D12))/((E12)-(C12))))</f>
        <v>0.14485992478125914</v>
      </c>
      <c r="H55" s="68">
        <f t="shared" ca="1" si="0"/>
        <v>353534587.80321211</v>
      </c>
      <c r="I55" s="69">
        <f t="shared" ca="1" si="1"/>
        <v>402.80556963866326</v>
      </c>
    </row>
    <row r="56" spans="1:9" ht="16.05" customHeight="1" x14ac:dyDescent="0.3">
      <c r="A56" s="70">
        <v>40</v>
      </c>
      <c r="B56" s="71">
        <f ca="1">(C7)+(E7-C7)*IF(RAND()&lt;((D7)-(C7))/((E7)-(C7)),SQRT(RAND()*((D7)-(C7))/((E7)-(C7))),1-SQRT(RAND()*((E7)-(D7))/((E7)-(C7))))</f>
        <v>0.38246162270153183</v>
      </c>
      <c r="C56" s="71">
        <f ca="1">(C8)+(E8-C8)*IF(RAND()&lt;((D8)-(C8))/((E8)-(C8)),SQRT(RAND()*((D8)-(C8))/((E8)-(C8))),1-SQRT(RAND()*((E8)-(D8))/((E8)-(C8))))</f>
        <v>0.70020984936802588</v>
      </c>
      <c r="D56" s="72">
        <f ca="1">(C9)+(E9-C9)*IF(RAND()&lt;((D9)-(C9))/((E9)-(C9)),SQRT(RAND()*((D9)-(C9))/((E9)-(C9))),1-SQRT(RAND()*((E9)-(D9))/((E9)-(C9))))</f>
        <v>1133076.5119674585</v>
      </c>
      <c r="E56" s="72">
        <f ca="1">(C10)+(E10-C10)*IF(RAND()&lt;((D10)-(C10))/((E10)-(C10)),SQRT(RAND()*((D10)-(C10))/((E10)-(C10))),1-SQRT(RAND()*((E10)-(D10))/((E10)-(C10))))</f>
        <v>3943202.2364682527</v>
      </c>
      <c r="F56" s="71">
        <f ca="1">(C11)+(E11-C11)*IF(RAND()&lt;((D11)-(C11))/((E11)-(C11)),SQRT(RAND()*((D11)-(C11))/((E11)-(C11))),1-SQRT(RAND()*((E11)-(D11))/((E11)-(C11))))</f>
        <v>5.6022964565162715E-3</v>
      </c>
      <c r="G56" s="71">
        <f ca="1">(C12)+(E12-C12)*IF(RAND()&lt;((D12)-(C12))/((E12)-(C12)),SQRT(RAND()*((D12)-(C12))/((E12)-(C12))),1-SQRT(RAND()*((E12)-(D12))/((E12)-(C12))))</f>
        <v>0.15031536169897086</v>
      </c>
      <c r="H56" s="72">
        <f t="shared" ca="1" si="0"/>
        <v>315712802.35436022</v>
      </c>
      <c r="I56" s="73">
        <f t="shared" ca="1" si="1"/>
        <v>368.83274766679978</v>
      </c>
    </row>
    <row r="57" spans="1:9" ht="16.05" customHeight="1" x14ac:dyDescent="0.3">
      <c r="A57" s="66">
        <v>41</v>
      </c>
      <c r="B57" s="67">
        <f ca="1">(C7)+(E7-C7)*IF(RAND()&lt;((D7)-(C7))/((E7)-(C7)),SQRT(RAND()*((D7)-(C7))/((E7)-(C7))),1-SQRT(RAND()*((E7)-(D7))/((E7)-(C7))))</f>
        <v>0.21428909257990217</v>
      </c>
      <c r="C57" s="67">
        <f ca="1">(C8)+(E8-C8)*IF(RAND()&lt;((D8)-(C8))/((E8)-(C8)),SQRT(RAND()*((D8)-(C8))/((E8)-(C8))),1-SQRT(RAND()*((E8)-(D8))/((E8)-(C8))))</f>
        <v>0.72207872097449044</v>
      </c>
      <c r="D57" s="68">
        <f ca="1">(C9)+(E9-C9)*IF(RAND()&lt;((D9)-(C9))/((E9)-(C9)),SQRT(RAND()*((D9)-(C9))/((E9)-(C9))),1-SQRT(RAND()*((E9)-(D9))/((E9)-(C9))))</f>
        <v>1185735.8503536156</v>
      </c>
      <c r="E57" s="68">
        <f ca="1">(C10)+(E10-C10)*IF(RAND()&lt;((D10)-(C10))/((E10)-(C10)),SQRT(RAND()*((D10)-(C10))/((E10)-(C10))),1-SQRT(RAND()*((E10)-(D10))/((E10)-(C10))))</f>
        <v>3144848.734467654</v>
      </c>
      <c r="F57" s="67">
        <f ca="1">(C11)+(E11-C11)*IF(RAND()&lt;((D11)-(C11))/((E11)-(C11)),SQRT(RAND()*((D11)-(C11))/((E11)-(C11))),1-SQRT(RAND()*((E11)-(D11))/((E11)-(C11))))</f>
        <v>8.7254904657835045E-3</v>
      </c>
      <c r="G57" s="67">
        <f ca="1">(C12)+(E12-C12)*IF(RAND()&lt;((D12)-(C12))/((E12)-(C12)),SQRT(RAND()*((D12)-(C12))/((E12)-(C12))),1-SQRT(RAND()*((E12)-(D12))/((E12)-(C12))))</f>
        <v>0.17663612702172976</v>
      </c>
      <c r="H57" s="68">
        <f t="shared" ca="1" si="0"/>
        <v>218213730.68028191</v>
      </c>
      <c r="I57" s="69">
        <f t="shared" ca="1" si="1"/>
        <v>244.0553119028674</v>
      </c>
    </row>
    <row r="58" spans="1:9" ht="16.05" customHeight="1" x14ac:dyDescent="0.3">
      <c r="A58" s="70">
        <v>42</v>
      </c>
      <c r="B58" s="71">
        <f ca="1">(C7)+(E7-C7)*IF(RAND()&lt;((D7)-(C7))/((E7)-(C7)),SQRT(RAND()*((D7)-(C7))/((E7)-(C7))),1-SQRT(RAND()*((E7)-(D7))/((E7)-(C7))))</f>
        <v>0.32696794257211392</v>
      </c>
      <c r="C58" s="71">
        <f ca="1">(C8)+(E8-C8)*IF(RAND()&lt;((D8)-(C8))/((E8)-(C8)),SQRT(RAND()*((D8)-(C8))/((E8)-(C8))),1-SQRT(RAND()*((E8)-(D8))/((E8)-(C8))))</f>
        <v>0.7455210479917963</v>
      </c>
      <c r="D58" s="72">
        <f ca="1">(C9)+(E9-C9)*IF(RAND()&lt;((D9)-(C9))/((E9)-(C9)),SQRT(RAND()*((D9)-(C9))/((E9)-(C9))),1-SQRT(RAND()*((E9)-(D9))/((E9)-(C9))))</f>
        <v>1158635.2848444302</v>
      </c>
      <c r="E58" s="72">
        <f ca="1">(C10)+(E10-C10)*IF(RAND()&lt;((D10)-(C10))/((E10)-(C10)),SQRT(RAND()*((D10)-(C10))/((E10)-(C10))),1-SQRT(RAND()*((E10)-(D10))/((E10)-(C10))))</f>
        <v>2855671.9955203771</v>
      </c>
      <c r="F58" s="71">
        <f ca="1">(C11)+(E11-C11)*IF(RAND()&lt;((D11)-(C11))/((E11)-(C11)),SQRT(RAND()*((D11)-(C11))/((E11)-(C11))),1-SQRT(RAND()*((E11)-(D11))/((E11)-(C11))))</f>
        <v>2.0789185628302665E-2</v>
      </c>
      <c r="G58" s="71">
        <f ca="1">(C12)+(E12-C12)*IF(RAND()&lt;((D12)-(C12))/((E12)-(C12)),SQRT(RAND()*((D12)-(C12))/((E12)-(C12))),1-SQRT(RAND()*((E12)-(D12))/((E12)-(C12))))</f>
        <v>0.17012065154691738</v>
      </c>
      <c r="H58" s="72">
        <f t="shared" ca="1" si="0"/>
        <v>403267073.40463418</v>
      </c>
      <c r="I58" s="73">
        <f t="shared" ca="1" si="1"/>
        <v>460.39717811303643</v>
      </c>
    </row>
    <row r="59" spans="1:9" ht="16.05" customHeight="1" x14ac:dyDescent="0.3">
      <c r="A59" s="66">
        <v>43</v>
      </c>
      <c r="B59" s="67">
        <f ca="1">(C7)+(E7-C7)*IF(RAND()&lt;((D7)-(C7))/((E7)-(C7)),SQRT(RAND()*((D7)-(C7))/((E7)-(C7))),1-SQRT(RAND()*((E7)-(D7))/((E7)-(C7))))</f>
        <v>0.27938387330856185</v>
      </c>
      <c r="C59" s="67">
        <f ca="1">(C8)+(E8-C8)*IF(RAND()&lt;((D8)-(C8))/((E8)-(C8)),SQRT(RAND()*((D8)-(C8))/((E8)-(C8))),1-SQRT(RAND()*((E8)-(D8))/((E8)-(C8))))</f>
        <v>0.5636206008650001</v>
      </c>
      <c r="D59" s="68">
        <f ca="1">(C9)+(E9-C9)*IF(RAND()&lt;((D9)-(C9))/((E9)-(C9)),SQRT(RAND()*((D9)-(C9))/((E9)-(C9))),1-SQRT(RAND()*((E9)-(D9))/((E9)-(C9))))</f>
        <v>1295484.9419383002</v>
      </c>
      <c r="E59" s="68">
        <f ca="1">(C10)+(E10-C10)*IF(RAND()&lt;((D10)-(C10))/((E10)-(C10)),SQRT(RAND()*((D10)-(C10))/((E10)-(C10))),1-SQRT(RAND()*((E10)-(D10))/((E10)-(C10))))</f>
        <v>4361436.0681849848</v>
      </c>
      <c r="F59" s="67">
        <f ca="1">(C11)+(E11-C11)*IF(RAND()&lt;((D11)-(C11))/((E11)-(C11)),SQRT(RAND()*((D11)-(C11))/((E11)-(C11))),1-SQRT(RAND()*((E11)-(D11))/((E11)-(C11))))</f>
        <v>2.2627561115735724E-2</v>
      </c>
      <c r="G59" s="67">
        <f ca="1">(C12)+(E12-C12)*IF(RAND()&lt;((D12)-(C12))/((E12)-(C12)),SQRT(RAND()*((D12)-(C12))/((E12)-(C12))),1-SQRT(RAND()*((E12)-(D12))/((E12)-(C12))))</f>
        <v>0.14584008761630091</v>
      </c>
      <c r="H59" s="68">
        <f t="shared" ca="1" si="0"/>
        <v>316805838.17197102</v>
      </c>
      <c r="I59" s="69">
        <f t="shared" ca="1" si="1"/>
        <v>323.87226187813582</v>
      </c>
    </row>
    <row r="60" spans="1:9" ht="16.05" customHeight="1" x14ac:dyDescent="0.3">
      <c r="A60" s="70">
        <v>44</v>
      </c>
      <c r="B60" s="71">
        <f ca="1">(C7)+(E7-C7)*IF(RAND()&lt;((D7)-(C7))/((E7)-(C7)),SQRT(RAND()*((D7)-(C7))/((E7)-(C7))),1-SQRT(RAND()*((E7)-(D7))/((E7)-(C7))))</f>
        <v>0.2833949665726887</v>
      </c>
      <c r="C60" s="71">
        <f ca="1">(C8)+(E8-C8)*IF(RAND()&lt;((D8)-(C8))/((E8)-(C8)),SQRT(RAND()*((D8)-(C8))/((E8)-(C8))),1-SQRT(RAND()*((E8)-(D8))/((E8)-(C8))))</f>
        <v>0.72332104842027278</v>
      </c>
      <c r="D60" s="72">
        <f ca="1">(C9)+(E9-C9)*IF(RAND()&lt;((D9)-(C9))/((E9)-(C9)),SQRT(RAND()*((D9)-(C9))/((E9)-(C9))),1-SQRT(RAND()*((E9)-(D9))/((E9)-(C9))))</f>
        <v>1317435.1487228139</v>
      </c>
      <c r="E60" s="72">
        <f ca="1">(C10)+(E10-C10)*IF(RAND()&lt;((D10)-(C10))/((E10)-(C10)),SQRT(RAND()*((D10)-(C10))/((E10)-(C10))),1-SQRT(RAND()*((E10)-(D10))/((E10)-(C10))))</f>
        <v>3039592.7205712702</v>
      </c>
      <c r="F60" s="71">
        <f ca="1">(C11)+(E11-C11)*IF(RAND()&lt;((D11)-(C11))/((E11)-(C11)),SQRT(RAND()*((D11)-(C11))/((E11)-(C11))),1-SQRT(RAND()*((E11)-(D11))/((E11)-(C11))))</f>
        <v>6.8425589522870343E-3</v>
      </c>
      <c r="G60" s="71">
        <f ca="1">(C12)+(E12-C12)*IF(RAND()&lt;((D12)-(C12))/((E12)-(C12)),SQRT(RAND()*((D12)-(C12))/((E12)-(C12))),1-SQRT(RAND()*((E12)-(D12))/((E12)-(C12))))</f>
        <v>0.15643667839974545</v>
      </c>
      <c r="H60" s="72">
        <f t="shared" ca="1" si="0"/>
        <v>259562579.86266661</v>
      </c>
      <c r="I60" s="73">
        <f t="shared" ca="1" si="1"/>
        <v>261.1873943716198</v>
      </c>
    </row>
    <row r="61" spans="1:9" ht="16.05" customHeight="1" x14ac:dyDescent="0.3">
      <c r="A61" s="66">
        <v>45</v>
      </c>
      <c r="B61" s="67">
        <f ca="1">(C7)+(E7-C7)*IF(RAND()&lt;((D7)-(C7))/((E7)-(C7)),SQRT(RAND()*((D7)-(C7))/((E7)-(C7))),1-SQRT(RAND()*((E7)-(D7))/((E7)-(C7))))</f>
        <v>0.38012382007835821</v>
      </c>
      <c r="C61" s="67">
        <f ca="1">(C8)+(E8-C8)*IF(RAND()&lt;((D8)-(C8))/((E8)-(C8)),SQRT(RAND()*((D8)-(C8))/((E8)-(C8))),1-SQRT(RAND()*((E8)-(D8))/((E8)-(C8))))</f>
        <v>0.6046661936927793</v>
      </c>
      <c r="D61" s="68">
        <f ca="1">(C9)+(E9-C9)*IF(RAND()&lt;((D9)-(C9))/((E9)-(C9)),SQRT(RAND()*((D9)-(C9))/((E9)-(C9))),1-SQRT(RAND()*((E9)-(D9))/((E9)-(C9))))</f>
        <v>1396807.1046032694</v>
      </c>
      <c r="E61" s="68">
        <f ca="1">(C10)+(E10-C10)*IF(RAND()&lt;((D10)-(C10))/((E10)-(C10)),SQRT(RAND()*((D10)-(C10))/((E10)-(C10))),1-SQRT(RAND()*((E10)-(D10))/((E10)-(C10))))</f>
        <v>2892357.3627407388</v>
      </c>
      <c r="F61" s="67">
        <f ca="1">(C11)+(E11-C11)*IF(RAND()&lt;((D11)-(C11))/((E11)-(C11)),SQRT(RAND()*((D11)-(C11))/((E11)-(C11))),1-SQRT(RAND()*((E11)-(D11))/((E11)-(C11))))</f>
        <v>1.5584748991936062E-2</v>
      </c>
      <c r="G61" s="67">
        <f ca="1">(C12)+(E12-C12)*IF(RAND()&lt;((D12)-(C12))/((E12)-(C12)),SQRT(RAND()*((D12)-(C12))/((E12)-(C12))),1-SQRT(RAND()*((E12)-(D12))/((E12)-(C12))))</f>
        <v>0.1532052573276399</v>
      </c>
      <c r="H61" s="68">
        <f t="shared" ca="1" si="0"/>
        <v>350188762.09667522</v>
      </c>
      <c r="I61" s="69">
        <f t="shared" ca="1" si="1"/>
        <v>331.99783682882457</v>
      </c>
    </row>
    <row r="62" spans="1:9" ht="16.05" customHeight="1" x14ac:dyDescent="0.3">
      <c r="A62" s="70">
        <v>46</v>
      </c>
      <c r="B62" s="71">
        <f ca="1">(C7)+(E7-C7)*IF(RAND()&lt;((D7)-(C7))/((E7)-(C7)),SQRT(RAND()*((D7)-(C7))/((E7)-(C7))),1-SQRT(RAND()*((E7)-(D7))/((E7)-(C7))))</f>
        <v>0.24267260379626848</v>
      </c>
      <c r="C62" s="71">
        <f ca="1">(C8)+(E8-C8)*IF(RAND()&lt;((D8)-(C8))/((E8)-(C8)),SQRT(RAND()*((D8)-(C8))/((E8)-(C8))),1-SQRT(RAND()*((E8)-(D8))/((E8)-(C8))))</f>
        <v>0.72252976636842892</v>
      </c>
      <c r="D62" s="72">
        <f ca="1">(C9)+(E9-C9)*IF(RAND()&lt;((D9)-(C9))/((E9)-(C9)),SQRT(RAND()*((D9)-(C9))/((E9)-(C9))),1-SQRT(RAND()*((E9)-(D9))/((E9)-(C9))))</f>
        <v>1216477.3681566829</v>
      </c>
      <c r="E62" s="72">
        <f ca="1">(C10)+(E10-C10)*IF(RAND()&lt;((D10)-(C10))/((E10)-(C10)),SQRT(RAND()*((D10)-(C10))/((E10)-(C10))),1-SQRT(RAND()*((E10)-(D10))/((E10)-(C10))))</f>
        <v>4617124.6092787823</v>
      </c>
      <c r="F62" s="71">
        <f ca="1">(C11)+(E11-C11)*IF(RAND()&lt;((D11)-(C11))/((E11)-(C11)),SQRT(RAND()*((D11)-(C11))/((E11)-(C11))),1-SQRT(RAND()*((E11)-(D11))/((E11)-(C11))))</f>
        <v>1.5164183135167739E-2</v>
      </c>
      <c r="G62" s="71">
        <f ca="1">(C12)+(E12-C12)*IF(RAND()&lt;((D12)-(C12))/((E12)-(C12)),SQRT(RAND()*((D12)-(C12))/((E12)-(C12))),1-SQRT(RAND()*((E12)-(D12))/((E12)-(C12))))</f>
        <v>0.14435667450522885</v>
      </c>
      <c r="H62" s="72">
        <f t="shared" ca="1" si="0"/>
        <v>281491065.69274288</v>
      </c>
      <c r="I62" s="73">
        <f t="shared" ca="1" si="1"/>
        <v>306.53072393012923</v>
      </c>
    </row>
    <row r="63" spans="1:9" ht="16.05" customHeight="1" x14ac:dyDescent="0.3">
      <c r="A63" s="66">
        <v>47</v>
      </c>
      <c r="B63" s="67">
        <f ca="1">(C7)+(E7-C7)*IF(RAND()&lt;((D7)-(C7))/((E7)-(C7)),SQRT(RAND()*((D7)-(C7))/((E7)-(C7))),1-SQRT(RAND()*((E7)-(D7))/((E7)-(C7))))</f>
        <v>0.31164506313087381</v>
      </c>
      <c r="C63" s="67">
        <f ca="1">(C8)+(E8-C8)*IF(RAND()&lt;((D8)-(C8))/((E8)-(C8)),SQRT(RAND()*((D8)-(C8))/((E8)-(C8))),1-SQRT(RAND()*((E8)-(D8))/((E8)-(C8))))</f>
        <v>0.74360878687992304</v>
      </c>
      <c r="D63" s="68">
        <f ca="1">(C9)+(E9-C9)*IF(RAND()&lt;((D9)-(C9))/((E9)-(C9)),SQRT(RAND()*((D9)-(C9))/((E9)-(C9))),1-SQRT(RAND()*((E9)-(D9))/((E9)-(C9))))</f>
        <v>1188782.9032339188</v>
      </c>
      <c r="E63" s="68">
        <f ca="1">(C10)+(E10-C10)*IF(RAND()&lt;((D10)-(C10))/((E10)-(C10)),SQRT(RAND()*((D10)-(C10))/((E10)-(C10))),1-SQRT(RAND()*((E10)-(D10))/((E10)-(C10))))</f>
        <v>3910939.7708121142</v>
      </c>
      <c r="F63" s="67">
        <f ca="1">(C11)+(E11-C11)*IF(RAND()&lt;((D11)-(C11))/((E11)-(C11)),SQRT(RAND()*((D11)-(C11))/((E11)-(C11))),1-SQRT(RAND()*((E11)-(D11))/((E11)-(C11))))</f>
        <v>1.9648758339402984E-2</v>
      </c>
      <c r="G63" s="67">
        <f ca="1">(C12)+(E12-C12)*IF(RAND()&lt;((D12)-(C12))/((E12)-(C12)),SQRT(RAND()*((D12)-(C12))/((E12)-(C12))),1-SQRT(RAND()*((E12)-(D12))/((E12)-(C12))))</f>
        <v>0.15997855601913569</v>
      </c>
      <c r="H63" s="68">
        <f t="shared" ca="1" si="0"/>
        <v>377928757.98591667</v>
      </c>
      <c r="I63" s="69">
        <f t="shared" ca="1" si="1"/>
        <v>420.64136327832756</v>
      </c>
    </row>
    <row r="64" spans="1:9" ht="16.05" customHeight="1" x14ac:dyDescent="0.3">
      <c r="A64" s="70">
        <v>48</v>
      </c>
      <c r="B64" s="71">
        <f ca="1">(C7)+(E7-C7)*IF(RAND()&lt;((D7)-(C7))/((E7)-(C7)),SQRT(RAND()*((D7)-(C7))/((E7)-(C7))),1-SQRT(RAND()*((E7)-(D7))/((E7)-(C7))))</f>
        <v>0.24015008360988044</v>
      </c>
      <c r="C64" s="71">
        <f ca="1">(C8)+(E8-C8)*IF(RAND()&lt;((D8)-(C8))/((E8)-(C8)),SQRT(RAND()*((D8)-(C8))/((E8)-(C8))),1-SQRT(RAND()*((E8)-(D8))/((E8)-(C8))))</f>
        <v>0.74327417422911812</v>
      </c>
      <c r="D64" s="72">
        <f ca="1">(C9)+(E9-C9)*IF(RAND()&lt;((D9)-(C9))/((E9)-(C9)),SQRT(RAND()*((D9)-(C9))/((E9)-(C9))),1-SQRT(RAND()*((E9)-(D9))/((E9)-(C9))))</f>
        <v>1306278.9996625423</v>
      </c>
      <c r="E64" s="72">
        <f ca="1">(C10)+(E10-C10)*IF(RAND()&lt;((D10)-(C10))/((E10)-(C10)),SQRT(RAND()*((D10)-(C10))/((E10)-(C10))),1-SQRT(RAND()*((E10)-(D10))/((E10)-(C10))))</f>
        <v>2908644.2763243453</v>
      </c>
      <c r="F64" s="71">
        <f ca="1">(C11)+(E11-C11)*IF(RAND()&lt;((D11)-(C11))/((E11)-(C11)),SQRT(RAND()*((D11)-(C11))/((E11)-(C11))),1-SQRT(RAND()*((E11)-(D11))/((E11)-(C11))))</f>
        <v>1.3982327557347502E-2</v>
      </c>
      <c r="G64" s="71">
        <f ca="1">(C12)+(E12-C12)*IF(RAND()&lt;((D12)-(C12))/((E12)-(C12)),SQRT(RAND()*((D12)-(C12))/((E12)-(C12))),1-SQRT(RAND()*((E12)-(D12))/((E12)-(C12))))</f>
        <v>0.17743766575932779</v>
      </c>
      <c r="H64" s="72">
        <f t="shared" ca="1" si="0"/>
        <v>282784562.49291456</v>
      </c>
      <c r="I64" s="73">
        <f t="shared" ca="1" si="1"/>
        <v>286.85467776011626</v>
      </c>
    </row>
    <row r="65" spans="1:9" ht="16.05" customHeight="1" x14ac:dyDescent="0.3">
      <c r="A65" s="66">
        <v>49</v>
      </c>
      <c r="B65" s="67">
        <f ca="1">(C7)+(E7-C7)*IF(RAND()&lt;((D7)-(C7))/((E7)-(C7)),SQRT(RAND()*((D7)-(C7))/((E7)-(C7))),1-SQRT(RAND()*((E7)-(D7))/((E7)-(C7))))</f>
        <v>0.29203825827079494</v>
      </c>
      <c r="C65" s="67">
        <f ca="1">(C8)+(E8-C8)*IF(RAND()&lt;((D8)-(C8))/((E8)-(C8)),SQRT(RAND()*((D8)-(C8))/((E8)-(C8))),1-SQRT(RAND()*((E8)-(D8))/((E8)-(C8))))</f>
        <v>0.69254987822663572</v>
      </c>
      <c r="D65" s="68">
        <f ca="1">(C9)+(E9-C9)*IF(RAND()&lt;((D9)-(C9))/((E9)-(C9)),SQRT(RAND()*((D9)-(C9))/((E9)-(C9))),1-SQRT(RAND()*((E9)-(D9))/((E9)-(C9))))</f>
        <v>1314331.6876331416</v>
      </c>
      <c r="E65" s="68">
        <f ca="1">(C10)+(E10-C10)*IF(RAND()&lt;((D10)-(C10))/((E10)-(C10)),SQRT(RAND()*((D10)-(C10))/((E10)-(C10))),1-SQRT(RAND()*((E10)-(D10))/((E10)-(C10))))</f>
        <v>4111206.5668446184</v>
      </c>
      <c r="F65" s="67">
        <f ca="1">(C11)+(E11-C11)*IF(RAND()&lt;((D11)-(C11))/((E11)-(C11)),SQRT(RAND()*((D11)-(C11))/((E11)-(C11))),1-SQRT(RAND()*((E11)-(D11))/((E11)-(C11))))</f>
        <v>1.0130543701052552E-2</v>
      </c>
      <c r="G65" s="67">
        <f ca="1">(C12)+(E12-C12)*IF(RAND()&lt;((D12)-(C12))/((E12)-(C12)),SQRT(RAND()*((D12)-(C12))/((E12)-(C12))),1-SQRT(RAND()*((E12)-(D12))/((E12)-(C12))))</f>
        <v>0.17168849339250519</v>
      </c>
      <c r="H65" s="68">
        <f t="shared" ca="1" si="0"/>
        <v>276259975.30577511</v>
      </c>
      <c r="I65" s="69">
        <f t="shared" ca="1" si="1"/>
        <v>278.55754984523577</v>
      </c>
    </row>
    <row r="66" spans="1:9" ht="16.05" customHeight="1" x14ac:dyDescent="0.3">
      <c r="A66" s="70">
        <v>50</v>
      </c>
      <c r="B66" s="71">
        <f ca="1">(C7)+(E7-C7)*IF(RAND()&lt;((D7)-(C7))/((E7)-(C7)),SQRT(RAND()*((D7)-(C7))/((E7)-(C7))),1-SQRT(RAND()*((E7)-(D7))/((E7)-(C7))))</f>
        <v>0.33515907908699738</v>
      </c>
      <c r="C66" s="71">
        <f ca="1">(C8)+(E8-C8)*IF(RAND()&lt;((D8)-(C8))/((E8)-(C8)),SQRT(RAND()*((D8)-(C8))/((E8)-(C8))),1-SQRT(RAND()*((E8)-(D8))/((E8)-(C8))))</f>
        <v>0.60265614535841949</v>
      </c>
      <c r="D66" s="72">
        <f ca="1">(C9)+(E9-C9)*IF(RAND()&lt;((D9)-(C9))/((E9)-(C9)),SQRT(RAND()*((D9)-(C9))/((E9)-(C9))),1-SQRT(RAND()*((E9)-(D9))/((E9)-(C9))))</f>
        <v>1174198.7360082683</v>
      </c>
      <c r="E66" s="72">
        <f ca="1">(C10)+(E10-C10)*IF(RAND()&lt;((D10)-(C10))/((E10)-(C10)),SQRT(RAND()*((D10)-(C10))/((E10)-(C10))),1-SQRT(RAND()*((E10)-(D10))/((E10)-(C10))))</f>
        <v>3815753.3666863395</v>
      </c>
      <c r="F66" s="71">
        <f ca="1">(C11)+(E11-C11)*IF(RAND()&lt;((D11)-(C11))/((E11)-(C11)),SQRT(RAND()*((D11)-(C11))/((E11)-(C11))),1-SQRT(RAND()*((E11)-(D11))/((E11)-(C11))))</f>
        <v>1.3554928725347191E-2</v>
      </c>
      <c r="G66" s="71">
        <f ca="1">(C12)+(E12-C12)*IF(RAND()&lt;((D12)-(C12))/((E12)-(C12)),SQRT(RAND()*((D12)-(C12))/((E12)-(C12))),1-SQRT(RAND()*((E12)-(D12))/((E12)-(C12))))</f>
        <v>0.17731311856721094</v>
      </c>
      <c r="H66" s="72">
        <f t="shared" ca="1" si="0"/>
        <v>301947424.97285604</v>
      </c>
      <c r="I66" s="73">
        <f t="shared" ca="1" si="1"/>
        <v>340.49909209001254</v>
      </c>
    </row>
    <row r="67" spans="1:9" ht="16.05" customHeight="1" x14ac:dyDescent="0.3">
      <c r="A67" s="66">
        <v>51</v>
      </c>
      <c r="B67" s="67">
        <f ca="1">(C7)+(E7-C7)*IF(RAND()&lt;((D7)-(C7))/((E7)-(C7)),SQRT(RAND()*((D7)-(C7))/((E7)-(C7))),1-SQRT(RAND()*((E7)-(D7))/((E7)-(C7))))</f>
        <v>0.24046332345810784</v>
      </c>
      <c r="C67" s="67">
        <f ca="1">(C8)+(E8-C8)*IF(RAND()&lt;((D8)-(C8))/((E8)-(C8)),SQRT(RAND()*((D8)-(C8))/((E8)-(C8))),1-SQRT(RAND()*((E8)-(D8))/((E8)-(C8))))</f>
        <v>0.65126958968977788</v>
      </c>
      <c r="D67" s="68">
        <f ca="1">(C9)+(E9-C9)*IF(RAND()&lt;((D9)-(C9))/((E9)-(C9)),SQRT(RAND()*((D9)-(C9))/((E9)-(C9))),1-SQRT(RAND()*((E9)-(D9))/((E9)-(C9))))</f>
        <v>1260918.1859083937</v>
      </c>
      <c r="E67" s="68">
        <f ca="1">(C10)+(E10-C10)*IF(RAND()&lt;((D10)-(C10))/((E10)-(C10)),SQRT(RAND()*((D10)-(C10))/((E10)-(C10))),1-SQRT(RAND()*((E10)-(D10))/((E10)-(C10))))</f>
        <v>4452451.7068845285</v>
      </c>
      <c r="F67" s="67">
        <f ca="1">(C11)+(E11-C11)*IF(RAND()&lt;((D11)-(C11))/((E11)-(C11)),SQRT(RAND()*((D11)-(C11))/((E11)-(C11))),1-SQRT(RAND()*((E11)-(D11))/((E11)-(C11))))</f>
        <v>1.348979031226694E-2</v>
      </c>
      <c r="G67" s="67">
        <f ca="1">(C12)+(E12-C12)*IF(RAND()&lt;((D12)-(C12))/((E12)-(C12)),SQRT(RAND()*((D12)-(C12))/((E12)-(C12))),1-SQRT(RAND()*((E12)-(D12))/((E12)-(C12))))</f>
        <v>0.16768311624357979</v>
      </c>
      <c r="H67" s="68">
        <f t="shared" ca="1" si="0"/>
        <v>249606375.91957271</v>
      </c>
      <c r="I67" s="69">
        <f t="shared" ca="1" si="1"/>
        <v>262.42051601129117</v>
      </c>
    </row>
    <row r="68" spans="1:9" ht="16.05" customHeight="1" x14ac:dyDescent="0.3">
      <c r="A68" s="70">
        <v>52</v>
      </c>
      <c r="B68" s="71">
        <f ca="1">(C7)+(E7-C7)*IF(RAND()&lt;((D7)-(C7))/((E7)-(C7)),SQRT(RAND()*((D7)-(C7))/((E7)-(C7))),1-SQRT(RAND()*((E7)-(D7))/((E7)-(C7))))</f>
        <v>0.22622478852971928</v>
      </c>
      <c r="C68" s="71">
        <f ca="1">(C8)+(E8-C8)*IF(RAND()&lt;((D8)-(C8))/((E8)-(C8)),SQRT(RAND()*((D8)-(C8))/((E8)-(C8))),1-SQRT(RAND()*((E8)-(D8))/((E8)-(C8))))</f>
        <v>0.75743262710112935</v>
      </c>
      <c r="D68" s="72">
        <f ca="1">(C9)+(E9-C9)*IF(RAND()&lt;((D9)-(C9))/((E9)-(C9)),SQRT(RAND()*((D9)-(C9))/((E9)-(C9))),1-SQRT(RAND()*((E9)-(D9))/((E9)-(C9))))</f>
        <v>1202102.8105792606</v>
      </c>
      <c r="E68" s="72">
        <f ca="1">(C10)+(E10-C10)*IF(RAND()&lt;((D10)-(C10))/((E10)-(C10)),SQRT(RAND()*((D10)-(C10))/((E10)-(C10))),1-SQRT(RAND()*((E10)-(D10))/((E10)-(C10))))</f>
        <v>2903794.4477989106</v>
      </c>
      <c r="F68" s="71">
        <f ca="1">(C11)+(E11-C11)*IF(RAND()&lt;((D11)-(C11))/((E11)-(C11)),SQRT(RAND()*((D11)-(C11))/((E11)-(C11))),1-SQRT(RAND()*((E11)-(D11))/((E11)-(C11))))</f>
        <v>1.7820460730460206E-2</v>
      </c>
      <c r="G68" s="71">
        <f ca="1">(C12)+(E12-C12)*IF(RAND()&lt;((D12)-(C12))/((E12)-(C12)),SQRT(RAND()*((D12)-(C12))/((E12)-(C12))),1-SQRT(RAND()*((E12)-(D12))/((E12)-(C12))))</f>
        <v>0.13109622953722563</v>
      </c>
      <c r="H68" s="72">
        <f t="shared" ca="1" si="0"/>
        <v>302833488.59164447</v>
      </c>
      <c r="I68" s="73">
        <f t="shared" ca="1" si="1"/>
        <v>333.59801831425335</v>
      </c>
    </row>
    <row r="69" spans="1:9" ht="16.05" customHeight="1" x14ac:dyDescent="0.3">
      <c r="A69" s="66">
        <v>53</v>
      </c>
      <c r="B69" s="67">
        <f ca="1">(C7)+(E7-C7)*IF(RAND()&lt;((D7)-(C7))/((E7)-(C7)),SQRT(RAND()*((D7)-(C7))/((E7)-(C7))),1-SQRT(RAND()*((E7)-(D7))/((E7)-(C7))))</f>
        <v>0.37931396122487415</v>
      </c>
      <c r="C69" s="67">
        <f ca="1">(C8)+(E8-C8)*IF(RAND()&lt;((D8)-(C8))/((E8)-(C8)),SQRT(RAND()*((D8)-(C8))/((E8)-(C8))),1-SQRT(RAND()*((E8)-(D8))/((E8)-(C8))))</f>
        <v>0.70473258847095366</v>
      </c>
      <c r="D69" s="68">
        <f ca="1">(C9)+(E9-C9)*IF(RAND()&lt;((D9)-(C9))/((E9)-(C9)),SQRT(RAND()*((D9)-(C9))/((E9)-(C9))),1-SQRT(RAND()*((E9)-(D9))/((E9)-(C9))))</f>
        <v>1323493.5490373662</v>
      </c>
      <c r="E69" s="68">
        <f ca="1">(C10)+(E10-C10)*IF(RAND()&lt;((D10)-(C10))/((E10)-(C10)),SQRT(RAND()*((D10)-(C10))/((E10)-(C10))),1-SQRT(RAND()*((E10)-(D10))/((E10)-(C10))))</f>
        <v>2838605.5183418472</v>
      </c>
      <c r="F69" s="67">
        <f ca="1">(C11)+(E11-C11)*IF(RAND()&lt;((D11)-(C11))/((E11)-(C11)),SQRT(RAND()*((D11)-(C11))/((E11)-(C11))),1-SQRT(RAND()*((E11)-(D11))/((E11)-(C11))))</f>
        <v>9.1466708261819449E-3</v>
      </c>
      <c r="G69" s="67">
        <f ca="1">(C12)+(E12-C12)*IF(RAND()&lt;((D12)-(C12))/((E12)-(C12)),SQRT(RAND()*((D12)-(C12))/((E12)-(C12))),1-SQRT(RAND()*((E12)-(D12))/((E12)-(C12))))</f>
        <v>0.16174164803630187</v>
      </c>
      <c r="H69" s="68">
        <f t="shared" ca="1" si="0"/>
        <v>344760307.38124365</v>
      </c>
      <c r="I69" s="69">
        <f t="shared" ca="1" si="1"/>
        <v>344.90547723365086</v>
      </c>
    </row>
    <row r="70" spans="1:9" ht="16.05" customHeight="1" x14ac:dyDescent="0.3">
      <c r="A70" s="70">
        <v>54</v>
      </c>
      <c r="B70" s="71">
        <f ca="1">(C7)+(E7-C7)*IF(RAND()&lt;((D7)-(C7))/((E7)-(C7)),SQRT(RAND()*((D7)-(C7))/((E7)-(C7))),1-SQRT(RAND()*((E7)-(D7))/((E7)-(C7))))</f>
        <v>0.2290608910040651</v>
      </c>
      <c r="C70" s="71">
        <f ca="1">(C8)+(E8-C8)*IF(RAND()&lt;((D8)-(C8))/((E8)-(C8)),SQRT(RAND()*((D8)-(C8))/((E8)-(C8))),1-SQRT(RAND()*((E8)-(D8))/((E8)-(C8))))</f>
        <v>0.59141850761759396</v>
      </c>
      <c r="D70" s="72">
        <f ca="1">(C9)+(E9-C9)*IF(RAND()&lt;((D9)-(C9))/((E9)-(C9)),SQRT(RAND()*((D9)-(C9))/((E9)-(C9))),1-SQRT(RAND()*((E9)-(D9))/((E9)-(C9))))</f>
        <v>1190758.1385310311</v>
      </c>
      <c r="E70" s="72">
        <f ca="1">(C10)+(E10-C10)*IF(RAND()&lt;((D10)-(C10))/((E10)-(C10)),SQRT(RAND()*((D10)-(C10))/((E10)-(C10))),1-SQRT(RAND()*((E10)-(D10))/((E10)-(C10))))</f>
        <v>3704019.6124325856</v>
      </c>
      <c r="F70" s="71">
        <f ca="1">(C11)+(E11-C11)*IF(RAND()&lt;((D11)-(C11))/((E11)-(C11)),SQRT(RAND()*((D11)-(C11))/((E11)-(C11))),1-SQRT(RAND()*((E11)-(D11))/((E11)-(C11))))</f>
        <v>8.6542735166923908E-3</v>
      </c>
      <c r="G70" s="71">
        <f ca="1">(C12)+(E12-C12)*IF(RAND()&lt;((D12)-(C12))/((E12)-(C12)),SQRT(RAND()*((D12)-(C12))/((E12)-(C12))),1-SQRT(RAND()*((E12)-(D12))/((E12)-(C12))))</f>
        <v>0.19481546158664872</v>
      </c>
      <c r="H70" s="72">
        <f t="shared" ca="1" si="0"/>
        <v>194617977.58949977</v>
      </c>
      <c r="I70" s="73">
        <f t="shared" ca="1" si="1"/>
        <v>216.89480647338209</v>
      </c>
    </row>
    <row r="71" spans="1:9" ht="16.05" customHeight="1" x14ac:dyDescent="0.3">
      <c r="A71" s="66">
        <v>55</v>
      </c>
      <c r="B71" s="67">
        <f ca="1">(C7)+(E7-C7)*IF(RAND()&lt;((D7)-(C7))/((E7)-(C7)),SQRT(RAND()*((D7)-(C7))/((E7)-(C7))),1-SQRT(RAND()*((E7)-(D7))/((E7)-(C7))))</f>
        <v>0.27693320531776811</v>
      </c>
      <c r="C71" s="67">
        <f ca="1">(C8)+(E8-C8)*IF(RAND()&lt;((D8)-(C8))/((E8)-(C8)),SQRT(RAND()*((D8)-(C8))/((E8)-(C8))),1-SQRT(RAND()*((E8)-(D8))/((E8)-(C8))))</f>
        <v>0.60608594241042657</v>
      </c>
      <c r="D71" s="68">
        <f ca="1">(C9)+(E9-C9)*IF(RAND()&lt;((D9)-(C9))/((E9)-(C9)),SQRT(RAND()*((D9)-(C9))/((E9)-(C9))),1-SQRT(RAND()*((E9)-(D9))/((E9)-(C9))))</f>
        <v>1167657.8547930713</v>
      </c>
      <c r="E71" s="68">
        <f ca="1">(C10)+(E10-C10)*IF(RAND()&lt;((D10)-(C10))/((E10)-(C10)),SQRT(RAND()*((D10)-(C10))/((E10)-(C10))),1-SQRT(RAND()*((E10)-(D10))/((E10)-(C10))))</f>
        <v>3196167.0033902219</v>
      </c>
      <c r="F71" s="67">
        <f ca="1">(C11)+(E11-C11)*IF(RAND()&lt;((D11)-(C11))/((E11)-(C11)),SQRT(RAND()*((D11)-(C11))/((E11)-(C11))),1-SQRT(RAND()*((E11)-(D11))/((E11)-(C11))))</f>
        <v>1.6955527801356892E-2</v>
      </c>
      <c r="G71" s="67">
        <f ca="1">(C12)+(E12-C12)*IF(RAND()&lt;((D12)-(C12))/((E12)-(C12)),SQRT(RAND()*((D12)-(C12))/((E12)-(C12))),1-SQRT(RAND()*((E12)-(D12))/((E12)-(C12))))</f>
        <v>0.15257018184090293</v>
      </c>
      <c r="H71" s="68">
        <f t="shared" ca="1" si="0"/>
        <v>291703848.42751139</v>
      </c>
      <c r="I71" s="69">
        <f t="shared" ca="1" si="1"/>
        <v>330.82792719073467</v>
      </c>
    </row>
    <row r="72" spans="1:9" ht="16.05" customHeight="1" x14ac:dyDescent="0.3">
      <c r="A72" s="70">
        <v>56</v>
      </c>
      <c r="B72" s="71">
        <f ca="1">(C7)+(E7-C7)*IF(RAND()&lt;((D7)-(C7))/((E7)-(C7)),SQRT(RAND()*((D7)-(C7))/((E7)-(C7))),1-SQRT(RAND()*((E7)-(D7))/((E7)-(C7))))</f>
        <v>0.16695717097171753</v>
      </c>
      <c r="C72" s="71">
        <f ca="1">(C8)+(E8-C8)*IF(RAND()&lt;((D8)-(C8))/((E8)-(C8)),SQRT(RAND()*((D8)-(C8))/((E8)-(C8))),1-SQRT(RAND()*((E8)-(D8))/((E8)-(C8))))</f>
        <v>0.88740434274103519</v>
      </c>
      <c r="D72" s="72">
        <f ca="1">(C9)+(E9-C9)*IF(RAND()&lt;((D9)-(C9))/((E9)-(C9)),SQRT(RAND()*((D9)-(C9))/((E9)-(C9))),1-SQRT(RAND()*((E9)-(D9))/((E9)-(C9))))</f>
        <v>1225621.1225937828</v>
      </c>
      <c r="E72" s="72">
        <f ca="1">(C10)+(E10-C10)*IF(RAND()&lt;((D10)-(C10))/((E10)-(C10)),SQRT(RAND()*((D10)-(C10))/((E10)-(C10))),1-SQRT(RAND()*((E10)-(D10))/((E10)-(C10))))</f>
        <v>3440411.508390855</v>
      </c>
      <c r="F72" s="71">
        <f ca="1">(C11)+(E11-C11)*IF(RAND()&lt;((D11)-(C11))/((E11)-(C11)),SQRT(RAND()*((D11)-(C11))/((E11)-(C11))),1-SQRT(RAND()*((E11)-(D11))/((E11)-(C11))))</f>
        <v>6.5509431863266286E-3</v>
      </c>
      <c r="G72" s="71">
        <f ca="1">(C12)+(E12-C12)*IF(RAND()&lt;((D12)-(C12))/((E12)-(C12)),SQRT(RAND()*((D12)-(C12))/((E12)-(C12))),1-SQRT(RAND()*((E12)-(D12))/((E12)-(C12))))</f>
        <v>0.1457974050585481</v>
      </c>
      <c r="H72" s="72">
        <f t="shared" ca="1" si="0"/>
        <v>194204900.02278897</v>
      </c>
      <c r="I72" s="73">
        <f t="shared" ca="1" si="1"/>
        <v>210.31817336605715</v>
      </c>
    </row>
    <row r="73" spans="1:9" ht="16.05" customHeight="1" x14ac:dyDescent="0.3">
      <c r="A73" s="66">
        <v>57</v>
      </c>
      <c r="B73" s="67">
        <f ca="1">(C7)+(E7-C7)*IF(RAND()&lt;((D7)-(C7))/((E7)-(C7)),SQRT(RAND()*((D7)-(C7))/((E7)-(C7))),1-SQRT(RAND()*((E7)-(D7))/((E7)-(C7))))</f>
        <v>0.32329757954349359</v>
      </c>
      <c r="C73" s="67">
        <f ca="1">(C8)+(E8-C8)*IF(RAND()&lt;((D8)-(C8))/((E8)-(C8)),SQRT(RAND()*((D8)-(C8))/((E8)-(C8))),1-SQRT(RAND()*((E8)-(D8))/((E8)-(C8))))</f>
        <v>0.75125542539530876</v>
      </c>
      <c r="D73" s="68">
        <f ca="1">(C9)+(E9-C9)*IF(RAND()&lt;((D9)-(C9))/((E9)-(C9)),SQRT(RAND()*((D9)-(C9))/((E9)-(C9))),1-SQRT(RAND()*((E9)-(D9))/((E9)-(C9))))</f>
        <v>1354978.1367751041</v>
      </c>
      <c r="E73" s="68">
        <f ca="1">(C10)+(E10-C10)*IF(RAND()&lt;((D10)-(C10))/((E10)-(C10)),SQRT(RAND()*((D10)-(C10))/((E10)-(C10))),1-SQRT(RAND()*((E10)-(D10))/((E10)-(C10))))</f>
        <v>4318902.7150709052</v>
      </c>
      <c r="F73" s="67">
        <f ca="1">(C11)+(E11-C11)*IF(RAND()&lt;((D11)-(C11))/((E11)-(C11)),SQRT(RAND()*((D11)-(C11))/((E11)-(C11))),1-SQRT(RAND()*((E11)-(D11))/((E11)-(C11))))</f>
        <v>3.1967773636624843E-3</v>
      </c>
      <c r="G73" s="67">
        <f ca="1">(C12)+(E12-C12)*IF(RAND()&lt;((D12)-(C12))/((E12)-(C12)),SQRT(RAND()*((D12)-(C12))/((E12)-(C12))),1-SQRT(RAND()*((E12)-(D12))/((E12)-(C12))))</f>
        <v>0.19897665981463081</v>
      </c>
      <c r="H73" s="68">
        <f t="shared" ca="1" si="0"/>
        <v>269587911.75109768</v>
      </c>
      <c r="I73" s="69">
        <f t="shared" ca="1" si="1"/>
        <v>263.74614413255279</v>
      </c>
    </row>
    <row r="74" spans="1:9" ht="16.05" customHeight="1" x14ac:dyDescent="0.3">
      <c r="A74" s="70">
        <v>58</v>
      </c>
      <c r="B74" s="71">
        <f ca="1">(C7)+(E7-C7)*IF(RAND()&lt;((D7)-(C7))/((E7)-(C7)),SQRT(RAND()*((D7)-(C7))/((E7)-(C7))),1-SQRT(RAND()*((E7)-(D7))/((E7)-(C7))))</f>
        <v>0.25995244666653627</v>
      </c>
      <c r="C74" s="71">
        <f ca="1">(C8)+(E8-C8)*IF(RAND()&lt;((D8)-(C8))/((E8)-(C8)),SQRT(RAND()*((D8)-(C8))/((E8)-(C8))),1-SQRT(RAND()*((E8)-(D8))/((E8)-(C8))))</f>
        <v>0.6198048244891543</v>
      </c>
      <c r="D74" s="72">
        <f ca="1">(C9)+(E9-C9)*IF(RAND()&lt;((D9)-(C9))/((E9)-(C9)),SQRT(RAND()*((D9)-(C9))/((E9)-(C9))),1-SQRT(RAND()*((E9)-(D9))/((E9)-(C9))))</f>
        <v>1373635.0709876339</v>
      </c>
      <c r="E74" s="72">
        <f ca="1">(C10)+(E10-C10)*IF(RAND()&lt;((D10)-(C10))/((E10)-(C10)),SQRT(RAND()*((D10)-(C10))/((E10)-(C10))),1-SQRT(RAND()*((E10)-(D10))/((E10)-(C10))))</f>
        <v>5360345.9000508981</v>
      </c>
      <c r="F74" s="71">
        <f ca="1">(C11)+(E11-C11)*IF(RAND()&lt;((D11)-(C11))/((E11)-(C11)),SQRT(RAND()*((D11)-(C11))/((E11)-(C11))),1-SQRT(RAND()*((E11)-(D11))/((E11)-(C11))))</f>
        <v>1.1459895876475508E-2</v>
      </c>
      <c r="G74" s="71">
        <f ca="1">(C12)+(E12-C12)*IF(RAND()&lt;((D12)-(C12))/((E12)-(C12)),SQRT(RAND()*((D12)-(C12))/((E12)-(C12))),1-SQRT(RAND()*((E12)-(D12))/((E12)-(C12))))</f>
        <v>0.20544704447619799</v>
      </c>
      <c r="H74" s="72">
        <f t="shared" ca="1" si="0"/>
        <v>236311246.09922427</v>
      </c>
      <c r="I74" s="73">
        <f t="shared" ca="1" si="1"/>
        <v>228.2290041947565</v>
      </c>
    </row>
    <row r="75" spans="1:9" ht="16.05" customHeight="1" x14ac:dyDescent="0.3">
      <c r="A75" s="66">
        <v>59</v>
      </c>
      <c r="B75" s="67">
        <f ca="1">(C7)+(E7-C7)*IF(RAND()&lt;((D7)-(C7))/((E7)-(C7)),SQRT(RAND()*((D7)-(C7))/((E7)-(C7))),1-SQRT(RAND()*((E7)-(D7))/((E7)-(C7))))</f>
        <v>0.22142186733596697</v>
      </c>
      <c r="C75" s="67">
        <f ca="1">(C8)+(E8-C8)*IF(RAND()&lt;((D8)-(C8))/((E8)-(C8)),SQRT(RAND()*((D8)-(C8))/((E8)-(C8))),1-SQRT(RAND()*((E8)-(D8))/((E8)-(C8))))</f>
        <v>0.6065912955187045</v>
      </c>
      <c r="D75" s="68">
        <f ca="1">(C9)+(E9-C9)*IF(RAND()&lt;((D9)-(C9))/((E9)-(C9)),SQRT(RAND()*((D9)-(C9))/((E9)-(C9))),1-SQRT(RAND()*((E9)-(D9))/((E9)-(C9))))</f>
        <v>1254180.6167520406</v>
      </c>
      <c r="E75" s="68">
        <f ca="1">(C10)+(E10-C10)*IF(RAND()&lt;((D10)-(C10))/((E10)-(C10)),SQRT(RAND()*((D10)-(C10))/((E10)-(C10))),1-SQRT(RAND()*((E10)-(D10))/((E10)-(C10))))</f>
        <v>3175751.4334460157</v>
      </c>
      <c r="F75" s="67">
        <f ca="1">(C11)+(E11-C11)*IF(RAND()&lt;((D11)-(C11))/((E11)-(C11)),SQRT(RAND()*((D11)-(C11))/((E11)-(C11))),1-SQRT(RAND()*((E11)-(D11))/((E11)-(C11))))</f>
        <v>1.9139389042455109E-2</v>
      </c>
      <c r="G75" s="67">
        <f ca="1">(C12)+(E12-C12)*IF(RAND()&lt;((D12)-(C12))/((E12)-(C12)),SQRT(RAND()*((D12)-(C12))/((E12)-(C12))),1-SQRT(RAND()*((E12)-(D12))/((E12)-(C12))))</f>
        <v>0.17622666072191306</v>
      </c>
      <c r="H75" s="68">
        <f t="shared" ca="1" si="0"/>
        <v>270974935.40952218</v>
      </c>
      <c r="I75" s="69">
        <f t="shared" ca="1" si="1"/>
        <v>286.29590526078709</v>
      </c>
    </row>
    <row r="76" spans="1:9" ht="16.05" customHeight="1" x14ac:dyDescent="0.3">
      <c r="A76" s="70">
        <v>60</v>
      </c>
      <c r="B76" s="71">
        <f ca="1">(C7)+(E7-C7)*IF(RAND()&lt;((D7)-(C7))/((E7)-(C7)),SQRT(RAND()*((D7)-(C7))/((E7)-(C7))),1-SQRT(RAND()*((E7)-(D7))/((E7)-(C7))))</f>
        <v>0.24090759456997934</v>
      </c>
      <c r="C76" s="71">
        <f ca="1">(C8)+(E8-C8)*IF(RAND()&lt;((D8)-(C8))/((E8)-(C8)),SQRT(RAND()*((D8)-(C8))/((E8)-(C8))),1-SQRT(RAND()*((E8)-(D8))/((E8)-(C8))))</f>
        <v>0.6782801181288296</v>
      </c>
      <c r="D76" s="72">
        <f ca="1">(C9)+(E9-C9)*IF(RAND()&lt;((D9)-(C9))/((E9)-(C9)),SQRT(RAND()*((D9)-(C9))/((E9)-(C9))),1-SQRT(RAND()*((E9)-(D9))/((E9)-(C9))))</f>
        <v>1438934.4223722648</v>
      </c>
      <c r="E76" s="72">
        <f ca="1">(C10)+(E10-C10)*IF(RAND()&lt;((D10)-(C10))/((E10)-(C10)),SQRT(RAND()*((D10)-(C10))/((E10)-(C10))),1-SQRT(RAND()*((E10)-(D10))/((E10)-(C10))))</f>
        <v>3626083.4684068821</v>
      </c>
      <c r="F76" s="71">
        <f ca="1">(C11)+(E11-C11)*IF(RAND()&lt;((D11)-(C11))/((E11)-(C11)),SQRT(RAND()*((D11)-(C11))/((E11)-(C11))),1-SQRT(RAND()*((E11)-(D11))/((E11)-(C11))))</f>
        <v>2.6105717400375445E-2</v>
      </c>
      <c r="G76" s="71">
        <f ca="1">(C12)+(E12-C12)*IF(RAND()&lt;((D12)-(C12))/((E12)-(C12)),SQRT(RAND()*((D12)-(C12))/((E12)-(C12))),1-SQRT(RAND()*((E12)-(D12))/((E12)-(C12))))</f>
        <v>0.17518321480681612</v>
      </c>
      <c r="H76" s="72">
        <f t="shared" ca="1" si="0"/>
        <v>351012555.56372005</v>
      </c>
      <c r="I76" s="73">
        <f t="shared" ca="1" si="1"/>
        <v>323.07175961293353</v>
      </c>
    </row>
    <row r="77" spans="1:9" ht="16.05" customHeight="1" x14ac:dyDescent="0.3">
      <c r="A77" s="66">
        <v>61</v>
      </c>
      <c r="B77" s="67">
        <f ca="1">(C7)+(E7-C7)*IF(RAND()&lt;((D7)-(C7))/((E7)-(C7)),SQRT(RAND()*((D7)-(C7))/((E7)-(C7))),1-SQRT(RAND()*((E7)-(D7))/((E7)-(C7))))</f>
        <v>0.31339455344291967</v>
      </c>
      <c r="C77" s="67">
        <f ca="1">(C8)+(E8-C8)*IF(RAND()&lt;((D8)-(C8))/((E8)-(C8)),SQRT(RAND()*((D8)-(C8))/((E8)-(C8))),1-SQRT(RAND()*((E8)-(D8))/((E8)-(C8))))</f>
        <v>0.67326901589003174</v>
      </c>
      <c r="D77" s="68">
        <f ca="1">(C9)+(E9-C9)*IF(RAND()&lt;((D9)-(C9))/((E9)-(C9)),SQRT(RAND()*((D9)-(C9))/((E9)-(C9))),1-SQRT(RAND()*((E9)-(D9))/((E9)-(C9))))</f>
        <v>1240313.9422605261</v>
      </c>
      <c r="E77" s="68">
        <f ca="1">(C10)+(E10-C10)*IF(RAND()&lt;((D10)-(C10))/((E10)-(C10)),SQRT(RAND()*((D10)-(C10))/((E10)-(C10))),1-SQRT(RAND()*((E10)-(D10))/((E10)-(C10))))</f>
        <v>4335858.3828146495</v>
      </c>
      <c r="F77" s="67">
        <f ca="1">(C11)+(E11-C11)*IF(RAND()&lt;((D11)-(C11))/((E11)-(C11)),SQRT(RAND()*((D11)-(C11))/((E11)-(C11))),1-SQRT(RAND()*((E11)-(D11))/((E11)-(C11))))</f>
        <v>1.245979374934731E-2</v>
      </c>
      <c r="G77" s="67">
        <f ca="1">(C12)+(E12-C12)*IF(RAND()&lt;((D12)-(C12))/((E12)-(C12)),SQRT(RAND()*((D12)-(C12))/((E12)-(C12))),1-SQRT(RAND()*((E12)-(D12))/((E12)-(C12))))</f>
        <v>0.1383384325521575</v>
      </c>
      <c r="H77" s="68">
        <f t="shared" ca="1" si="0"/>
        <v>301811316.78625667</v>
      </c>
      <c r="I77" s="69">
        <f t="shared" ca="1" si="1"/>
        <v>322.27428078096244</v>
      </c>
    </row>
    <row r="78" spans="1:9" ht="16.05" customHeight="1" x14ac:dyDescent="0.3">
      <c r="A78" s="70">
        <v>62</v>
      </c>
      <c r="B78" s="71">
        <f ca="1">(C7)+(E7-C7)*IF(RAND()&lt;((D7)-(C7))/((E7)-(C7)),SQRT(RAND()*((D7)-(C7))/((E7)-(C7))),1-SQRT(RAND()*((E7)-(D7))/((E7)-(C7))))</f>
        <v>0.20883985380094272</v>
      </c>
      <c r="C78" s="71">
        <f ca="1">(C8)+(E8-C8)*IF(RAND()&lt;((D8)-(C8))/((E8)-(C8)),SQRT(RAND()*((D8)-(C8))/((E8)-(C8))),1-SQRT(RAND()*((E8)-(D8))/((E8)-(C8))))</f>
        <v>0.66286657521138748</v>
      </c>
      <c r="D78" s="72">
        <f ca="1">(C9)+(E9-C9)*IF(RAND()&lt;((D9)-(C9))/((E9)-(C9)),SQRT(RAND()*((D9)-(C9))/((E9)-(C9))),1-SQRT(RAND()*((E9)-(D9))/((E9)-(C9))))</f>
        <v>1218004.8367298774</v>
      </c>
      <c r="E78" s="72">
        <f ca="1">(C10)+(E10-C10)*IF(RAND()&lt;((D10)-(C10))/((E10)-(C10)),SQRT(RAND()*((D10)-(C10))/((E10)-(C10))),1-SQRT(RAND()*((E10)-(D10))/((E10)-(C10))))</f>
        <v>3466712.5039927512</v>
      </c>
      <c r="F78" s="71">
        <f ca="1">(C11)+(E11-C11)*IF(RAND()&lt;((D11)-(C11))/((E11)-(C11)),SQRT(RAND()*((D11)-(C11))/((E11)-(C11))),1-SQRT(RAND()*((E11)-(D11))/((E11)-(C11))))</f>
        <v>1.5029998422758029E-2</v>
      </c>
      <c r="G78" s="71">
        <f ca="1">(C12)+(E12-C12)*IF(RAND()&lt;((D12)-(C12))/((E12)-(C12)),SQRT(RAND()*((D12)-(C12))/((E12)-(C12))),1-SQRT(RAND()*((E12)-(D12))/((E12)-(C12))))</f>
        <v>0.13118682278491331</v>
      </c>
      <c r="H78" s="72">
        <f t="shared" ca="1" si="0"/>
        <v>244730756.43247733</v>
      </c>
      <c r="I78" s="73">
        <f t="shared" ca="1" si="1"/>
        <v>266.33992604494864</v>
      </c>
    </row>
    <row r="79" spans="1:9" ht="16.05" customHeight="1" x14ac:dyDescent="0.3">
      <c r="A79" s="66">
        <v>63</v>
      </c>
      <c r="B79" s="67">
        <f ca="1">(C7)+(E7-C7)*IF(RAND()&lt;((D7)-(C7))/((E7)-(C7)),SQRT(RAND()*((D7)-(C7))/((E7)-(C7))),1-SQRT(RAND()*((E7)-(D7))/((E7)-(C7))))</f>
        <v>0.26222839939985698</v>
      </c>
      <c r="C79" s="67">
        <f ca="1">(C8)+(E8-C8)*IF(RAND()&lt;((D8)-(C8))/((E8)-(C8)),SQRT(RAND()*((D8)-(C8))/((E8)-(C8))),1-SQRT(RAND()*((E8)-(D8))/((E8)-(C8))))</f>
        <v>0.69620375688308445</v>
      </c>
      <c r="D79" s="68">
        <f ca="1">(C9)+(E9-C9)*IF(RAND()&lt;((D9)-(C9))/((E9)-(C9)),SQRT(RAND()*((D9)-(C9))/((E9)-(C9))),1-SQRT(RAND()*((E9)-(D9))/((E9)-(C9))))</f>
        <v>1138036.0996650683</v>
      </c>
      <c r="E79" s="68">
        <f ca="1">(C10)+(E10-C10)*IF(RAND()&lt;((D10)-(C10))/((E10)-(C10)),SQRT(RAND()*((D10)-(C10))/((E10)-(C10))),1-SQRT(RAND()*((E10)-(D10))/((E10)-(C10))))</f>
        <v>3552493.2342719832</v>
      </c>
      <c r="F79" s="67">
        <f ca="1">(C11)+(E11-C11)*IF(RAND()&lt;((D11)-(C11))/((E11)-(C11)),SQRT(RAND()*((D11)-(C11))/((E11)-(C11))),1-SQRT(RAND()*((E11)-(D11))/((E11)-(C11))))</f>
        <v>1.6993154226588047E-2</v>
      </c>
      <c r="G79" s="67">
        <f ca="1">(C12)+(E12-C12)*IF(RAND()&lt;((D12)-(C12))/((E12)-(C12)),SQRT(RAND()*((D12)-(C12))/((E12)-(C12))),1-SQRT(RAND()*((E12)-(D12))/((E12)-(C12))))</f>
        <v>0.18759081768568861</v>
      </c>
      <c r="H79" s="68">
        <f t="shared" ca="1" si="0"/>
        <v>306667990.16299212</v>
      </c>
      <c r="I79" s="69">
        <f t="shared" ca="1" si="1"/>
        <v>356.74814852282537</v>
      </c>
    </row>
    <row r="80" spans="1:9" ht="16.05" customHeight="1" x14ac:dyDescent="0.3">
      <c r="A80" s="70">
        <v>64</v>
      </c>
      <c r="B80" s="71">
        <f ca="1">(C7)+(E7-C7)*IF(RAND()&lt;((D7)-(C7))/((E7)-(C7)),SQRT(RAND()*((D7)-(C7))/((E7)-(C7))),1-SQRT(RAND()*((E7)-(D7))/((E7)-(C7))))</f>
        <v>0.23349759991221236</v>
      </c>
      <c r="C80" s="71">
        <f ca="1">(C8)+(E8-C8)*IF(RAND()&lt;((D8)-(C8))/((E8)-(C8)),SQRT(RAND()*((D8)-(C8))/((E8)-(C8))),1-SQRT(RAND()*((E8)-(D8))/((E8)-(C8))))</f>
        <v>0.73641078000006022</v>
      </c>
      <c r="D80" s="72">
        <f ca="1">(C9)+(E9-C9)*IF(RAND()&lt;((D9)-(C9))/((E9)-(C9)),SQRT(RAND()*((D9)-(C9))/((E9)-(C9))),1-SQRT(RAND()*((E9)-(D9))/((E9)-(C9))))</f>
        <v>1222643.5849448501</v>
      </c>
      <c r="E80" s="72">
        <f ca="1">(C10)+(E10-C10)*IF(RAND()&lt;((D10)-(C10))/((E10)-(C10)),SQRT(RAND()*((D10)-(C10))/((E10)-(C10))),1-SQRT(RAND()*((E10)-(D10))/((E10)-(C10))))</f>
        <v>3462442.2099094046</v>
      </c>
      <c r="F80" s="71">
        <f ca="1">(C11)+(E11-C11)*IF(RAND()&lt;((D11)-(C11))/((E11)-(C11)),SQRT(RAND()*((D11)-(C11))/((E11)-(C11))),1-SQRT(RAND()*((E11)-(D11))/((E11)-(C11))))</f>
        <v>8.6914199902619893E-3</v>
      </c>
      <c r="G80" s="71">
        <f ca="1">(C12)+(E12-C12)*IF(RAND()&lt;((D12)-(C12))/((E12)-(C12)),SQRT(RAND()*((D12)-(C12))/((E12)-(C12))),1-SQRT(RAND()*((E12)-(D12))/((E12)-(C12))))</f>
        <v>0.1680546025383409</v>
      </c>
      <c r="H80" s="72">
        <f t="shared" ca="1" si="0"/>
        <v>235457836.53739598</v>
      </c>
      <c r="I80" s="73">
        <f t="shared" ca="1" si="1"/>
        <v>255.3308060434496</v>
      </c>
    </row>
    <row r="81" spans="1:9" ht="16.05" customHeight="1" x14ac:dyDescent="0.3">
      <c r="A81" s="66">
        <v>65</v>
      </c>
      <c r="B81" s="67">
        <f ca="1">(C7)+(E7-C7)*IF(RAND()&lt;((D7)-(C7))/((E7)-(C7)),SQRT(RAND()*((D7)-(C7))/((E7)-(C7))),1-SQRT(RAND()*((E7)-(D7))/((E7)-(C7))))</f>
        <v>0.24637066036029898</v>
      </c>
      <c r="C81" s="67">
        <f ca="1">(C8)+(E8-C8)*IF(RAND()&lt;((D8)-(C8))/((E8)-(C8)),SQRT(RAND()*((D8)-(C8))/((E8)-(C8))),1-SQRT(RAND()*((E8)-(D8))/((E8)-(C8))))</f>
        <v>0.63018487630466269</v>
      </c>
      <c r="D81" s="68">
        <f ca="1">(C9)+(E9-C9)*IF(RAND()&lt;((D9)-(C9))/((E9)-(C9)),SQRT(RAND()*((D9)-(C9))/((E9)-(C9))),1-SQRT(RAND()*((E9)-(D9))/((E9)-(C9))))</f>
        <v>1212683.552678386</v>
      </c>
      <c r="E81" s="68">
        <f ca="1">(C10)+(E10-C10)*IF(RAND()&lt;((D10)-(C10))/((E10)-(C10)),SQRT(RAND()*((D10)-(C10))/((E10)-(C10))),1-SQRT(RAND()*((E10)-(D10))/((E10)-(C10))))</f>
        <v>5215913.0706718201</v>
      </c>
      <c r="F81" s="67">
        <f ca="1">(C11)+(E11-C11)*IF(RAND()&lt;((D11)-(C11))/((E11)-(C11)),SQRT(RAND()*((D11)-(C11))/((E11)-(C11))),1-SQRT(RAND()*((E11)-(D11))/((E11)-(C11))))</f>
        <v>1.3304491824360212E-2</v>
      </c>
      <c r="G81" s="67">
        <f ca="1">(C12)+(E12-C12)*IF(RAND()&lt;((D12)-(C12))/((E12)-(C12)),SQRT(RAND()*((D12)-(C12))/((E12)-(C12))),1-SQRT(RAND()*((E12)-(D12))/((E12)-(C12))))</f>
        <v>0.15358049884286923</v>
      </c>
      <c r="H81" s="68">
        <f t="shared" ref="H81:H144" ca="1" si="2">-D81+($L$1*B81*C81+$M$1*F81-E81)*(1-(1+$N$1)^-5)/$N$1</f>
        <v>243957173.91420528</v>
      </c>
      <c r="I81" s="69">
        <f t="shared" ref="I81:I144" ca="1" si="3">($L$1*B81*C81+$M$1*F81-E81)*5/D81</f>
        <v>266.66144940997265</v>
      </c>
    </row>
    <row r="82" spans="1:9" ht="16.05" customHeight="1" x14ac:dyDescent="0.3">
      <c r="A82" s="70">
        <v>66</v>
      </c>
      <c r="B82" s="71">
        <f ca="1">(C7)+(E7-C7)*IF(RAND()&lt;((D7)-(C7))/((E7)-(C7)),SQRT(RAND()*((D7)-(C7))/((E7)-(C7))),1-SQRT(RAND()*((E7)-(D7))/((E7)-(C7))))</f>
        <v>0.34901771546020038</v>
      </c>
      <c r="C82" s="71">
        <f ca="1">(C8)+(E8-C8)*IF(RAND()&lt;((D8)-(C8))/((E8)-(C8)),SQRT(RAND()*((D8)-(C8))/((E8)-(C8))),1-SQRT(RAND()*((E8)-(D8))/((E8)-(C8))))</f>
        <v>0.65187254017292262</v>
      </c>
      <c r="D82" s="72">
        <f ca="1">(C9)+(E9-C9)*IF(RAND()&lt;((D9)-(C9))/((E9)-(C9)),SQRT(RAND()*((D9)-(C9))/((E9)-(C9))),1-SQRT(RAND()*((E9)-(D9))/((E9)-(C9))))</f>
        <v>1280947.0179031694</v>
      </c>
      <c r="E82" s="72">
        <f ca="1">(C10)+(E10-C10)*IF(RAND()&lt;((D10)-(C10))/((E10)-(C10)),SQRT(RAND()*((D10)-(C10))/((E10)-(C10))),1-SQRT(RAND()*((E10)-(D10))/((E10)-(C10))))</f>
        <v>3902623.0518661137</v>
      </c>
      <c r="F82" s="71">
        <f ca="1">(C11)+(E11-C11)*IF(RAND()&lt;((D11)-(C11))/((E11)-(C11)),SQRT(RAND()*((D11)-(C11))/((E11)-(C11))),1-SQRT(RAND()*((E11)-(D11))/((E11)-(C11))))</f>
        <v>1.0591092408040032E-2</v>
      </c>
      <c r="G82" s="71">
        <f ca="1">(C12)+(E12-C12)*IF(RAND()&lt;((D12)-(C12))/((E12)-(C12)),SQRT(RAND()*((D12)-(C12))/((E12)-(C12))),1-SQRT(RAND()*((E12)-(D12))/((E12)-(C12))))</f>
        <v>0.17097900451335818</v>
      </c>
      <c r="H82" s="72">
        <f t="shared" ca="1" si="2"/>
        <v>307894259.00905681</v>
      </c>
      <c r="I82" s="73">
        <f t="shared" ca="1" si="3"/>
        <v>318.35680685535465</v>
      </c>
    </row>
    <row r="83" spans="1:9" ht="16.05" customHeight="1" x14ac:dyDescent="0.3">
      <c r="A83" s="66">
        <v>67</v>
      </c>
      <c r="B83" s="67">
        <f ca="1">(C7)+(E7-C7)*IF(RAND()&lt;((D7)-(C7))/((E7)-(C7)),SQRT(RAND()*((D7)-(C7))/((E7)-(C7))),1-SQRT(RAND()*((E7)-(D7))/((E7)-(C7))))</f>
        <v>0.23672380863473222</v>
      </c>
      <c r="C83" s="67">
        <f ca="1">(C8)+(E8-C8)*IF(RAND()&lt;((D8)-(C8))/((E8)-(C8)),SQRT(RAND()*((D8)-(C8))/((E8)-(C8))),1-SQRT(RAND()*((E8)-(D8))/((E8)-(C8))))</f>
        <v>0.69970410658437932</v>
      </c>
      <c r="D83" s="68">
        <f ca="1">(C9)+(E9-C9)*IF(RAND()&lt;((D9)-(C9))/((E9)-(C9)),SQRT(RAND()*((D9)-(C9))/((E9)-(C9))),1-SQRT(RAND()*((E9)-(D9))/((E9)-(C9))))</f>
        <v>1187839.8350915741</v>
      </c>
      <c r="E83" s="68">
        <f ca="1">(C10)+(E10-C10)*IF(RAND()&lt;((D10)-(C10))/((E10)-(C10)),SQRT(RAND()*((D10)-(C10))/((E10)-(C10))),1-SQRT(RAND()*((E10)-(D10))/((E10)-(C10))))</f>
        <v>4085775.564875599</v>
      </c>
      <c r="F83" s="67">
        <f ca="1">(C11)+(E11-C11)*IF(RAND()&lt;((D11)-(C11))/((E11)-(C11)),SQRT(RAND()*((D11)-(C11))/((E11)-(C11))),1-SQRT(RAND()*((E11)-(D11))/((E11)-(C11))))</f>
        <v>7.4259230828413987E-3</v>
      </c>
      <c r="G83" s="67">
        <f ca="1">(C12)+(E12-C12)*IF(RAND()&lt;((D12)-(C12))/((E12)-(C12)),SQRT(RAND()*((D12)-(C12))/((E12)-(C12))),1-SQRT(RAND()*((E12)-(D12))/((E12)-(C12))))</f>
        <v>0.11598759147981974</v>
      </c>
      <c r="H83" s="68">
        <f t="shared" ca="1" si="2"/>
        <v>217126952.4305155</v>
      </c>
      <c r="I83" s="69">
        <f t="shared" ca="1" si="3"/>
        <v>242.41859263566209</v>
      </c>
    </row>
    <row r="84" spans="1:9" ht="16.05" customHeight="1" x14ac:dyDescent="0.3">
      <c r="A84" s="70">
        <v>68</v>
      </c>
      <c r="B84" s="71">
        <f ca="1">(C7)+(E7-C7)*IF(RAND()&lt;((D7)-(C7))/((E7)-(C7)),SQRT(RAND()*((D7)-(C7))/((E7)-(C7))),1-SQRT(RAND()*((E7)-(D7))/((E7)-(C7))))</f>
        <v>0.24852356827680694</v>
      </c>
      <c r="C84" s="71">
        <f ca="1">(C8)+(E8-C8)*IF(RAND()&lt;((D8)-(C8))/((E8)-(C8)),SQRT(RAND()*((D8)-(C8))/((E8)-(C8))),1-SQRT(RAND()*((E8)-(D8))/((E8)-(C8))))</f>
        <v>0.61053461463834546</v>
      </c>
      <c r="D84" s="72">
        <f ca="1">(C9)+(E9-C9)*IF(RAND()&lt;((D9)-(C9))/((E9)-(C9)),SQRT(RAND()*((D9)-(C9))/((E9)-(C9))),1-SQRT(RAND()*((E9)-(D9))/((E9)-(C9))))</f>
        <v>1173473.2187676781</v>
      </c>
      <c r="E84" s="72">
        <f ca="1">(C10)+(E10-C10)*IF(RAND()&lt;((D10)-(C10))/((E10)-(C10)),SQRT(RAND()*((D10)-(C10))/((E10)-(C10))),1-SQRT(RAND()*((E10)-(D10))/((E10)-(C10))))</f>
        <v>3679544.3155215937</v>
      </c>
      <c r="F84" s="71">
        <f ca="1">(C11)+(E11-C11)*IF(RAND()&lt;((D11)-(C11))/((E11)-(C11)),SQRT(RAND()*((D11)-(C11))/((E11)-(C11))),1-SQRT(RAND()*((E11)-(D11))/((E11)-(C11))))</f>
        <v>1.0410401181562525E-2</v>
      </c>
      <c r="G84" s="71">
        <f ca="1">(C12)+(E12-C12)*IF(RAND()&lt;((D12)-(C12))/((E12)-(C12)),SQRT(RAND()*((D12)-(C12))/((E12)-(C12))),1-SQRT(RAND()*((E12)-(D12))/((E12)-(C12))))</f>
        <v>0.13495273842527097</v>
      </c>
      <c r="H84" s="72">
        <f t="shared" ca="1" si="2"/>
        <v>225094846.39312667</v>
      </c>
      <c r="I84" s="73">
        <f t="shared" ca="1" si="3"/>
        <v>254.32626728354458</v>
      </c>
    </row>
    <row r="85" spans="1:9" ht="16.05" customHeight="1" x14ac:dyDescent="0.3">
      <c r="A85" s="66">
        <v>69</v>
      </c>
      <c r="B85" s="67">
        <f ca="1">(C7)+(E7-C7)*IF(RAND()&lt;((D7)-(C7))/((E7)-(C7)),SQRT(RAND()*((D7)-(C7))/((E7)-(C7))),1-SQRT(RAND()*((E7)-(D7))/((E7)-(C7))))</f>
        <v>0.21066926710703346</v>
      </c>
      <c r="C85" s="67">
        <f ca="1">(C8)+(E8-C8)*IF(RAND()&lt;((D8)-(C8))/((E8)-(C8)),SQRT(RAND()*((D8)-(C8))/((E8)-(C8))),1-SQRT(RAND()*((E8)-(D8))/((E8)-(C8))))</f>
        <v>0.63581196762483017</v>
      </c>
      <c r="D85" s="68">
        <f ca="1">(C9)+(E9-C9)*IF(RAND()&lt;((D9)-(C9))/((E9)-(C9)),SQRT(RAND()*((D9)-(C9))/((E9)-(C9))),1-SQRT(RAND()*((E9)-(D9))/((E9)-(C9))))</f>
        <v>1310565.7126080331</v>
      </c>
      <c r="E85" s="68">
        <f ca="1">(C10)+(E10-C10)*IF(RAND()&lt;((D10)-(C10))/((E10)-(C10)),SQRT(RAND()*((D10)-(C10))/((E10)-(C10))),1-SQRT(RAND()*((E10)-(D10))/((E10)-(C10))))</f>
        <v>3726828.2969990959</v>
      </c>
      <c r="F85" s="67">
        <f ca="1">(C11)+(E11-C11)*IF(RAND()&lt;((D11)-(C11))/((E11)-(C11)),SQRT(RAND()*((D11)-(C11))/((E11)-(C11))),1-SQRT(RAND()*((E11)-(D11))/((E11)-(C11))))</f>
        <v>2.1510909533146438E-2</v>
      </c>
      <c r="G85" s="67">
        <f ca="1">(C12)+(E12-C12)*IF(RAND()&lt;((D12)-(C12))/((E12)-(C12)),SQRT(RAND()*((D12)-(C12))/((E12)-(C12))),1-SQRT(RAND()*((E12)-(D12))/((E12)-(C12))))</f>
        <v>0.13865122923467949</v>
      </c>
      <c r="H85" s="68">
        <f t="shared" ca="1" si="2"/>
        <v>285547584.18809414</v>
      </c>
      <c r="I85" s="69">
        <f t="shared" ca="1" si="3"/>
        <v>288.70149951755576</v>
      </c>
    </row>
    <row r="86" spans="1:9" ht="16.05" customHeight="1" x14ac:dyDescent="0.3">
      <c r="A86" s="70">
        <v>70</v>
      </c>
      <c r="B86" s="71">
        <f ca="1">(C7)+(E7-C7)*IF(RAND()&lt;((D7)-(C7))/((E7)-(C7)),SQRT(RAND()*((D7)-(C7))/((E7)-(C7))),1-SQRT(RAND()*((E7)-(D7))/((E7)-(C7))))</f>
        <v>0.27849603816681556</v>
      </c>
      <c r="C86" s="71">
        <f ca="1">(C8)+(E8-C8)*IF(RAND()&lt;((D8)-(C8))/((E8)-(C8)),SQRT(RAND()*((D8)-(C8))/((E8)-(C8))),1-SQRT(RAND()*((E8)-(D8))/((E8)-(C8))))</f>
        <v>0.68498913273589168</v>
      </c>
      <c r="D86" s="72">
        <f ca="1">(C9)+(E9-C9)*IF(RAND()&lt;((D9)-(C9))/((E9)-(C9)),SQRT(RAND()*((D9)-(C9))/((E9)-(C9))),1-SQRT(RAND()*((E9)-(D9))/((E9)-(C9))))</f>
        <v>1327336.4281468147</v>
      </c>
      <c r="E86" s="72">
        <f ca="1">(C10)+(E10-C10)*IF(RAND()&lt;((D10)-(C10))/((E10)-(C10)),SQRT(RAND()*((D10)-(C10))/((E10)-(C10))),1-SQRT(RAND()*((E10)-(D10))/((E10)-(C10))))</f>
        <v>2635611.9923517965</v>
      </c>
      <c r="F86" s="71">
        <f ca="1">(C11)+(E11-C11)*IF(RAND()&lt;((D11)-(C11))/((E11)-(C11)),SQRT(RAND()*((D11)-(C11))/((E11)-(C11))),1-SQRT(RAND()*((E11)-(D11))/((E11)-(C11))))</f>
        <v>2.1476971562163886E-2</v>
      </c>
      <c r="G86" s="71">
        <f ca="1">(C12)+(E12-C12)*IF(RAND()&lt;((D12)-(C12))/((E12)-(C12)),SQRT(RAND()*((D12)-(C12))/((E12)-(C12))),1-SQRT(RAND()*((E12)-(D12))/((E12)-(C12))))</f>
        <v>0.17151138994180992</v>
      </c>
      <c r="H86" s="72">
        <f t="shared" ca="1" si="2"/>
        <v>351240859.45674747</v>
      </c>
      <c r="I86" s="73">
        <f t="shared" ca="1" si="3"/>
        <v>350.35052120371728</v>
      </c>
    </row>
    <row r="87" spans="1:9" ht="16.05" customHeight="1" x14ac:dyDescent="0.3">
      <c r="A87" s="66">
        <v>71</v>
      </c>
      <c r="B87" s="67">
        <f ca="1">(C7)+(E7-C7)*IF(RAND()&lt;((D7)-(C7))/((E7)-(C7)),SQRT(RAND()*((D7)-(C7))/((E7)-(C7))),1-SQRT(RAND()*((E7)-(D7))/((E7)-(C7))))</f>
        <v>0.23391611437976259</v>
      </c>
      <c r="C87" s="67">
        <f ca="1">(C8)+(E8-C8)*IF(RAND()&lt;((D8)-(C8))/((E8)-(C8)),SQRT(RAND()*((D8)-(C8))/((E8)-(C8))),1-SQRT(RAND()*((E8)-(D8))/((E8)-(C8))))</f>
        <v>0.75075594742434126</v>
      </c>
      <c r="D87" s="68">
        <f ca="1">(C9)+(E9-C9)*IF(RAND()&lt;((D9)-(C9))/((E9)-(C9)),SQRT(RAND()*((D9)-(C9))/((E9)-(C9))),1-SQRT(RAND()*((E9)-(D9))/((E9)-(C9))))</f>
        <v>1340604.1968231485</v>
      </c>
      <c r="E87" s="68">
        <f ca="1">(C10)+(E10-C10)*IF(RAND()&lt;((D10)-(C10))/((E10)-(C10)),SQRT(RAND()*((D10)-(C10))/((E10)-(C10))),1-SQRT(RAND()*((E10)-(D10))/((E10)-(C10))))</f>
        <v>5197969.5418974273</v>
      </c>
      <c r="F87" s="67">
        <f ca="1">(C11)+(E11-C11)*IF(RAND()&lt;((D11)-(C11))/((E11)-(C11)),SQRT(RAND()*((D11)-(C11))/((E11)-(C11))),1-SQRT(RAND()*((E11)-(D11))/((E11)-(C11))))</f>
        <v>6.987492974723869E-3</v>
      </c>
      <c r="G87" s="67">
        <f ca="1">(C12)+(E12-C12)*IF(RAND()&lt;((D12)-(C12))/((E12)-(C12)),SQRT(RAND()*((D12)-(C12))/((E12)-(C12))),1-SQRT(RAND()*((E12)-(D12))/((E12)-(C12))))</f>
        <v>0.15383770308171785</v>
      </c>
      <c r="H87" s="68">
        <f t="shared" ca="1" si="2"/>
        <v>220448513.13482755</v>
      </c>
      <c r="I87" s="69">
        <f t="shared" ca="1" si="3"/>
        <v>218.21284223347044</v>
      </c>
    </row>
    <row r="88" spans="1:9" ht="16.05" customHeight="1" x14ac:dyDescent="0.3">
      <c r="A88" s="70">
        <v>72</v>
      </c>
      <c r="B88" s="71">
        <f ca="1">(C7)+(E7-C7)*IF(RAND()&lt;((D7)-(C7))/((E7)-(C7)),SQRT(RAND()*((D7)-(C7))/((E7)-(C7))),1-SQRT(RAND()*((E7)-(D7))/((E7)-(C7))))</f>
        <v>0.29615488678201496</v>
      </c>
      <c r="C88" s="71">
        <f ca="1">(C8)+(E8-C8)*IF(RAND()&lt;((D8)-(C8))/((E8)-(C8)),SQRT(RAND()*((D8)-(C8))/((E8)-(C8))),1-SQRT(RAND()*((E8)-(D8))/((E8)-(C8))))</f>
        <v>0.76259588220525898</v>
      </c>
      <c r="D88" s="72">
        <f ca="1">(C9)+(E9-C9)*IF(RAND()&lt;((D9)-(C9))/((E9)-(C9)),SQRT(RAND()*((D9)-(C9))/((E9)-(C9))),1-SQRT(RAND()*((E9)-(D9))/((E9)-(C9))))</f>
        <v>1225794.4498636154</v>
      </c>
      <c r="E88" s="72">
        <f ca="1">(C10)+(E10-C10)*IF(RAND()&lt;((D10)-(C10))/((E10)-(C10)),SQRT(RAND()*((D10)-(C10))/((E10)-(C10))),1-SQRT(RAND()*((E10)-(D10))/((E10)-(C10))))</f>
        <v>3160041.4751532581</v>
      </c>
      <c r="F88" s="71">
        <f ca="1">(C11)+(E11-C11)*IF(RAND()&lt;((D11)-(C11))/((E11)-(C11)),SQRT(RAND()*((D11)-(C11))/((E11)-(C11))),1-SQRT(RAND()*((E11)-(D11))/((E11)-(C11))))</f>
        <v>1.3916234849200852E-2</v>
      </c>
      <c r="G88" s="71">
        <f ca="1">(C12)+(E12-C12)*IF(RAND()&lt;((D12)-(C12))/((E12)-(C12)),SQRT(RAND()*((D12)-(C12))/((E12)-(C12))),1-SQRT(RAND()*((E12)-(D12))/((E12)-(C12))))</f>
        <v>0.17498477142763755</v>
      </c>
      <c r="H88" s="72">
        <f t="shared" ca="1" si="2"/>
        <v>332948793.17548531</v>
      </c>
      <c r="I88" s="73">
        <f t="shared" ca="1" si="3"/>
        <v>359.58073709257758</v>
      </c>
    </row>
    <row r="89" spans="1:9" ht="16.05" customHeight="1" x14ac:dyDescent="0.3">
      <c r="A89" s="66">
        <v>73</v>
      </c>
      <c r="B89" s="67">
        <f ca="1">(C7)+(E7-C7)*IF(RAND()&lt;((D7)-(C7))/((E7)-(C7)),SQRT(RAND()*((D7)-(C7))/((E7)-(C7))),1-SQRT(RAND()*((E7)-(D7))/((E7)-(C7))))</f>
        <v>0.25677021260934496</v>
      </c>
      <c r="C89" s="67">
        <f ca="1">(C8)+(E8-C8)*IF(RAND()&lt;((D8)-(C8))/((E8)-(C8)),SQRT(RAND()*((D8)-(C8))/((E8)-(C8))),1-SQRT(RAND()*((E8)-(D8))/((E8)-(C8))))</f>
        <v>0.67333624384646784</v>
      </c>
      <c r="D89" s="68">
        <f ca="1">(C9)+(E9-C9)*IF(RAND()&lt;((D9)-(C9))/((E9)-(C9)),SQRT(RAND()*((D9)-(C9))/((E9)-(C9))),1-SQRT(RAND()*((E9)-(D9))/((E9)-(C9))))</f>
        <v>1412225.2083829613</v>
      </c>
      <c r="E89" s="68">
        <f ca="1">(C10)+(E10-C10)*IF(RAND()&lt;((D10)-(C10))/((E10)-(C10)),SQRT(RAND()*((D10)-(C10))/((E10)-(C10))),1-SQRT(RAND()*((E10)-(D10))/((E10)-(C10))))</f>
        <v>3803273.6243441342</v>
      </c>
      <c r="F89" s="67">
        <f ca="1">(C11)+(E11-C11)*IF(RAND()&lt;((D11)-(C11))/((E11)-(C11)),SQRT(RAND()*((D11)-(C11))/((E11)-(C11))),1-SQRT(RAND()*((E11)-(D11))/((E11)-(C11))))</f>
        <v>1.6556923908414664E-2</v>
      </c>
      <c r="G89" s="67">
        <f ca="1">(C12)+(E12-C12)*IF(RAND()&lt;((D12)-(C12))/((E12)-(C12)),SQRT(RAND()*((D12)-(C12))/((E12)-(C12))),1-SQRT(RAND()*((E12)-(D12))/((E12)-(C12))))</f>
        <v>0.13022272532739279</v>
      </c>
      <c r="H89" s="68">
        <f t="shared" ca="1" si="2"/>
        <v>291772195.79105419</v>
      </c>
      <c r="I89" s="69">
        <f t="shared" ca="1" si="3"/>
        <v>273.82782579159436</v>
      </c>
    </row>
    <row r="90" spans="1:9" ht="16.05" customHeight="1" x14ac:dyDescent="0.3">
      <c r="A90" s="70">
        <v>74</v>
      </c>
      <c r="B90" s="71">
        <f ca="1">(C7)+(E7-C7)*IF(RAND()&lt;((D7)-(C7))/((E7)-(C7)),SQRT(RAND()*((D7)-(C7))/((E7)-(C7))),1-SQRT(RAND()*((E7)-(D7))/((E7)-(C7))))</f>
        <v>0.18915392610857718</v>
      </c>
      <c r="C90" s="71">
        <f ca="1">(C8)+(E8-C8)*IF(RAND()&lt;((D8)-(C8))/((E8)-(C8)),SQRT(RAND()*((D8)-(C8))/((E8)-(C8))),1-SQRT(RAND()*((E8)-(D8))/((E8)-(C8))))</f>
        <v>0.75396438134584942</v>
      </c>
      <c r="D90" s="72">
        <f ca="1">(C9)+(E9-C9)*IF(RAND()&lt;((D9)-(C9))/((E9)-(C9)),SQRT(RAND()*((D9)-(C9))/((E9)-(C9))),1-SQRT(RAND()*((E9)-(D9))/((E9)-(C9))))</f>
        <v>1272629.1574395364</v>
      </c>
      <c r="E90" s="72">
        <f ca="1">(C10)+(E10-C10)*IF(RAND()&lt;((D10)-(C10))/((E10)-(C10)),SQRT(RAND()*((D10)-(C10))/((E10)-(C10))),1-SQRT(RAND()*((E10)-(D10))/((E10)-(C10))))</f>
        <v>3970351.5427474882</v>
      </c>
      <c r="F90" s="71">
        <f ca="1">(C11)+(E11-C11)*IF(RAND()&lt;((D11)-(C11))/((E11)-(C11)),SQRT(RAND()*((D11)-(C11))/((E11)-(C11))),1-SQRT(RAND()*((E11)-(D11))/((E11)-(C11))))</f>
        <v>8.5299978644004289E-3</v>
      </c>
      <c r="G90" s="71">
        <f ca="1">(C12)+(E12-C12)*IF(RAND()&lt;((D12)-(C12))/((E12)-(C12)),SQRT(RAND()*((D12)-(C12))/((E12)-(C12))),1-SQRT(RAND()*((E12)-(D12))/((E12)-(C12))))</f>
        <v>0.17430530979924802</v>
      </c>
      <c r="H90" s="72">
        <f t="shared" ca="1" si="2"/>
        <v>200402390.24251658</v>
      </c>
      <c r="I90" s="73">
        <f t="shared" ca="1" si="3"/>
        <v>209.02146452458373</v>
      </c>
    </row>
    <row r="91" spans="1:9" ht="16.05" customHeight="1" x14ac:dyDescent="0.3">
      <c r="A91" s="66">
        <v>75</v>
      </c>
      <c r="B91" s="67">
        <f ca="1">(C7)+(E7-C7)*IF(RAND()&lt;((D7)-(C7))/((E7)-(C7)),SQRT(RAND()*((D7)-(C7))/((E7)-(C7))),1-SQRT(RAND()*((E7)-(D7))/((E7)-(C7))))</f>
        <v>0.23029620144277799</v>
      </c>
      <c r="C91" s="67">
        <f ca="1">(C8)+(E8-C8)*IF(RAND()&lt;((D8)-(C8))/((E8)-(C8)),SQRT(RAND()*((D8)-(C8))/((E8)-(C8))),1-SQRT(RAND()*((E8)-(D8))/((E8)-(C8))))</f>
        <v>0.60427870688964758</v>
      </c>
      <c r="D91" s="68">
        <f ca="1">(C9)+(E9-C9)*IF(RAND()&lt;((D9)-(C9))/((E9)-(C9)),SQRT(RAND()*((D9)-(C9))/((E9)-(C9))),1-SQRT(RAND()*((E9)-(D9))/((E9)-(C9))))</f>
        <v>1247816.3991785315</v>
      </c>
      <c r="E91" s="68">
        <f ca="1">(C10)+(E10-C10)*IF(RAND()&lt;((D10)-(C10))/((E10)-(C10)),SQRT(RAND()*((D10)-(C10))/((E10)-(C10))),1-SQRT(RAND()*((E10)-(D10))/((E10)-(C10))))</f>
        <v>3240945.8615781004</v>
      </c>
      <c r="F91" s="67">
        <f ca="1">(C11)+(E11-C11)*IF(RAND()&lt;((D11)-(C11))/((E11)-(C11)),SQRT(RAND()*((D11)-(C11))/((E11)-(C11))),1-SQRT(RAND()*((E11)-(D11))/((E11)-(C11))))</f>
        <v>5.7153228770358642E-3</v>
      </c>
      <c r="G91" s="67">
        <f ca="1">(C12)+(E12-C12)*IF(RAND()&lt;((D12)-(C12))/((E12)-(C12)),SQRT(RAND()*((D12)-(C12))/((E12)-(C12))),1-SQRT(RAND()*((E12)-(D12))/((E12)-(C12))))</f>
        <v>0.14658550125342512</v>
      </c>
      <c r="H91" s="68">
        <f t="shared" ca="1" si="2"/>
        <v>179120987.03010413</v>
      </c>
      <c r="I91" s="69">
        <f t="shared" ca="1" si="3"/>
        <v>190.65639780792677</v>
      </c>
    </row>
    <row r="92" spans="1:9" ht="16.05" customHeight="1" x14ac:dyDescent="0.3">
      <c r="A92" s="70">
        <v>76</v>
      </c>
      <c r="B92" s="71">
        <f ca="1">(C7)+(E7-C7)*IF(RAND()&lt;((D7)-(C7))/((E7)-(C7)),SQRT(RAND()*((D7)-(C7))/((E7)-(C7))),1-SQRT(RAND()*((E7)-(D7))/((E7)-(C7))))</f>
        <v>0.23761226681465708</v>
      </c>
      <c r="C92" s="71">
        <f ca="1">(C8)+(E8-C8)*IF(RAND()&lt;((D8)-(C8))/((E8)-(C8)),SQRT(RAND()*((D8)-(C8))/((E8)-(C8))),1-SQRT(RAND()*((E8)-(D8))/((E8)-(C8))))</f>
        <v>0.6537766446737896</v>
      </c>
      <c r="D92" s="72">
        <f ca="1">(C9)+(E9-C9)*IF(RAND()&lt;((D9)-(C9))/((E9)-(C9)),SQRT(RAND()*((D9)-(C9))/((E9)-(C9))),1-SQRT(RAND()*((E9)-(D9))/((E9)-(C9))))</f>
        <v>1312158.1650941262</v>
      </c>
      <c r="E92" s="72">
        <f ca="1">(C10)+(E10-C10)*IF(RAND()&lt;((D10)-(C10))/((E10)-(C10)),SQRT(RAND()*((D10)-(C10))/((E10)-(C10))),1-SQRT(RAND()*((E10)-(D10))/((E10)-(C10))))</f>
        <v>3116702.8736218722</v>
      </c>
      <c r="F92" s="71">
        <f ca="1">(C11)+(E11-C11)*IF(RAND()&lt;((D11)-(C11))/((E11)-(C11)),SQRT(RAND()*((D11)-(C11))/((E11)-(C11))),1-SQRT(RAND()*((E11)-(D11))/((E11)-(C11))))</f>
        <v>1.3592002033673238E-2</v>
      </c>
      <c r="G92" s="71">
        <f ca="1">(C12)+(E12-C12)*IF(RAND()&lt;((D12)-(C12))/((E12)-(C12)),SQRT(RAND()*((D12)-(C12))/((E12)-(C12))),1-SQRT(RAND()*((E12)-(D12))/((E12)-(C12))))</f>
        <v>0.19013095931217761</v>
      </c>
      <c r="H92" s="72">
        <f t="shared" ca="1" si="2"/>
        <v>253984383.70525938</v>
      </c>
      <c r="I92" s="73">
        <f t="shared" ca="1" si="3"/>
        <v>256.62525445695184</v>
      </c>
    </row>
    <row r="93" spans="1:9" ht="16.05" customHeight="1" x14ac:dyDescent="0.3">
      <c r="A93" s="66">
        <v>77</v>
      </c>
      <c r="B93" s="67">
        <f ca="1">(C7)+(E7-C7)*IF(RAND()&lt;((D7)-(C7))/((E7)-(C7)),SQRT(RAND()*((D7)-(C7))/((E7)-(C7))),1-SQRT(RAND()*((E7)-(D7))/((E7)-(C7))))</f>
        <v>0.35101239797909056</v>
      </c>
      <c r="C93" s="67">
        <f ca="1">(C8)+(E8-C8)*IF(RAND()&lt;((D8)-(C8))/((E8)-(C8)),SQRT(RAND()*((D8)-(C8))/((E8)-(C8))),1-SQRT(RAND()*((E8)-(D8))/((E8)-(C8))))</f>
        <v>0.84907881511032035</v>
      </c>
      <c r="D93" s="68">
        <f ca="1">(C9)+(E9-C9)*IF(RAND()&lt;((D9)-(C9))/((E9)-(C9)),SQRT(RAND()*((D9)-(C9))/((E9)-(C9))),1-SQRT(RAND()*((E9)-(D9))/((E9)-(C9))))</f>
        <v>1070741.3435435223</v>
      </c>
      <c r="E93" s="68">
        <f ca="1">(C10)+(E10-C10)*IF(RAND()&lt;((D10)-(C10))/((E10)-(C10)),SQRT(RAND()*((D10)-(C10))/((E10)-(C10))),1-SQRT(RAND()*((E10)-(D10))/((E10)-(C10))))</f>
        <v>2254771.925758624</v>
      </c>
      <c r="F93" s="67">
        <f ca="1">(C11)+(E11-C11)*IF(RAND()&lt;((D11)-(C11))/((E11)-(C11)),SQRT(RAND()*((D11)-(C11))/((E11)-(C11))),1-SQRT(RAND()*((E11)-(D11))/((E11)-(C11))))</f>
        <v>1.5000897096316848E-2</v>
      </c>
      <c r="G93" s="67">
        <f ca="1">(C12)+(E12-C12)*IF(RAND()&lt;((D12)-(C12))/((E12)-(C12)),SQRT(RAND()*((D12)-(C12))/((E12)-(C12))),1-SQRT(RAND()*((E12)-(D12))/((E12)-(C12))))</f>
        <v>0.15473023657339385</v>
      </c>
      <c r="H93" s="68">
        <f t="shared" ca="1" si="2"/>
        <v>422904535.50771868</v>
      </c>
      <c r="I93" s="69">
        <f t="shared" ca="1" si="3"/>
        <v>522.27183823163693</v>
      </c>
    </row>
    <row r="94" spans="1:9" ht="16.05" customHeight="1" x14ac:dyDescent="0.3">
      <c r="A94" s="70">
        <v>78</v>
      </c>
      <c r="B94" s="71">
        <f ca="1">(C7)+(E7-C7)*IF(RAND()&lt;((D7)-(C7))/((E7)-(C7)),SQRT(RAND()*((D7)-(C7))/((E7)-(C7))),1-SQRT(RAND()*((E7)-(D7))/((E7)-(C7))))</f>
        <v>0.2905854041593996</v>
      </c>
      <c r="C94" s="71">
        <f ca="1">(C8)+(E8-C8)*IF(RAND()&lt;((D8)-(C8))/((E8)-(C8)),SQRT(RAND()*((D8)-(C8))/((E8)-(C8))),1-SQRT(RAND()*((E8)-(D8))/((E8)-(C8))))</f>
        <v>0.65288461876062709</v>
      </c>
      <c r="D94" s="72">
        <f ca="1">(C9)+(E9-C9)*IF(RAND()&lt;((D9)-(C9))/((E9)-(C9)),SQRT(RAND()*((D9)-(C9))/((E9)-(C9))),1-SQRT(RAND()*((E9)-(D9))/((E9)-(C9))))</f>
        <v>1209062.8795003991</v>
      </c>
      <c r="E94" s="72">
        <f ca="1">(C10)+(E10-C10)*IF(RAND()&lt;((D10)-(C10))/((E10)-(C10)),SQRT(RAND()*((D10)-(C10))/((E10)-(C10))),1-SQRT(RAND()*((E10)-(D10))/((E10)-(C10))))</f>
        <v>4204964.1195099782</v>
      </c>
      <c r="F94" s="71">
        <f ca="1">(C11)+(E11-C11)*IF(RAND()&lt;((D11)-(C11))/((E11)-(C11)),SQRT(RAND()*((D11)-(C11))/((E11)-(C11))),1-SQRT(RAND()*((E11)-(D11))/((E11)-(C11))))</f>
        <v>1.7293866511908031E-2</v>
      </c>
      <c r="G94" s="71">
        <f ca="1">(C12)+(E12-C12)*IF(RAND()&lt;((D12)-(C12))/((E12)-(C12)),SQRT(RAND()*((D12)-(C12))/((E12)-(C12))),1-SQRT(RAND()*((E12)-(D12))/((E12)-(C12))))</f>
        <v>0.13908316321906228</v>
      </c>
      <c r="H94" s="72">
        <f t="shared" ca="1" si="2"/>
        <v>314077633.87604803</v>
      </c>
      <c r="I94" s="73">
        <f t="shared" ca="1" si="3"/>
        <v>343.95165769450369</v>
      </c>
    </row>
    <row r="95" spans="1:9" ht="16.05" customHeight="1" x14ac:dyDescent="0.3">
      <c r="A95" s="66">
        <v>79</v>
      </c>
      <c r="B95" s="67">
        <f ca="1">(C7)+(E7-C7)*IF(RAND()&lt;((D7)-(C7))/((E7)-(C7)),SQRT(RAND()*((D7)-(C7))/((E7)-(C7))),1-SQRT(RAND()*((E7)-(D7))/((E7)-(C7))))</f>
        <v>0.28460012040013338</v>
      </c>
      <c r="C95" s="67">
        <f ca="1">(C8)+(E8-C8)*IF(RAND()&lt;((D8)-(C8))/((E8)-(C8)),SQRT(RAND()*((D8)-(C8))/((E8)-(C8))),1-SQRT(RAND()*((E8)-(D8))/((E8)-(C8))))</f>
        <v>0.61028298855363927</v>
      </c>
      <c r="D95" s="68">
        <f ca="1">(C9)+(E9-C9)*IF(RAND()&lt;((D9)-(C9))/((E9)-(C9)),SQRT(RAND()*((D9)-(C9))/((E9)-(C9))),1-SQRT(RAND()*((E9)-(D9))/((E9)-(C9))))</f>
        <v>1281825.2140126647</v>
      </c>
      <c r="E95" s="68">
        <f ca="1">(C10)+(E10-C10)*IF(RAND()&lt;((D10)-(C10))/((E10)-(C10)),SQRT(RAND()*((D10)-(C10))/((E10)-(C10))),1-SQRT(RAND()*((E10)-(D10))/((E10)-(C10))))</f>
        <v>2944196.9366006227</v>
      </c>
      <c r="F95" s="67">
        <f ca="1">(C11)+(E11-C11)*IF(RAND()&lt;((D11)-(C11))/((E11)-(C11)),SQRT(RAND()*((D11)-(C11))/((E11)-(C11))),1-SQRT(RAND()*((E11)-(D11))/((E11)-(C11))))</f>
        <v>1.3140667768524451E-2</v>
      </c>
      <c r="G95" s="67">
        <f ca="1">(C12)+(E12-C12)*IF(RAND()&lt;((D12)-(C12))/((E12)-(C12)),SQRT(RAND()*((D12)-(C12))/((E12)-(C12))),1-SQRT(RAND()*((E12)-(D12))/((E12)-(C12))))</f>
        <v>0.17416985557762132</v>
      </c>
      <c r="H95" s="68">
        <f t="shared" ca="1" si="2"/>
        <v>271365555.3745876</v>
      </c>
      <c r="I95" s="69">
        <f t="shared" ca="1" si="3"/>
        <v>280.55186993633384</v>
      </c>
    </row>
    <row r="96" spans="1:9" ht="16.05" customHeight="1" x14ac:dyDescent="0.3">
      <c r="A96" s="70">
        <v>80</v>
      </c>
      <c r="B96" s="71">
        <f ca="1">(C7)+(E7-C7)*IF(RAND()&lt;((D7)-(C7))/((E7)-(C7)),SQRT(RAND()*((D7)-(C7))/((E7)-(C7))),1-SQRT(RAND()*((E7)-(D7))/((E7)-(C7))))</f>
        <v>0.2799851776676896</v>
      </c>
      <c r="C96" s="71">
        <f ca="1">(C8)+(E8-C8)*IF(RAND()&lt;((D8)-(C8))/((E8)-(C8)),SQRT(RAND()*((D8)-(C8))/((E8)-(C8))),1-SQRT(RAND()*((E8)-(D8))/((E8)-(C8))))</f>
        <v>0.71328108130241152</v>
      </c>
      <c r="D96" s="72">
        <f ca="1">(C9)+(E9-C9)*IF(RAND()&lt;((D9)-(C9))/((E9)-(C9)),SQRT(RAND()*((D9)-(C9))/((E9)-(C9))),1-SQRT(RAND()*((E9)-(D9))/((E9)-(C9))))</f>
        <v>1132628.6420425649</v>
      </c>
      <c r="E96" s="72">
        <f ca="1">(C10)+(E10-C10)*IF(RAND()&lt;((D10)-(C10))/((E10)-(C10)),SQRT(RAND()*((D10)-(C10))/((E10)-(C10))),1-SQRT(RAND()*((E10)-(D10))/((E10)-(C10))))</f>
        <v>3763427.9477441241</v>
      </c>
      <c r="F96" s="71">
        <f ca="1">(C11)+(E11-C11)*IF(RAND()&lt;((D11)-(C11))/((E11)-(C11)),SQRT(RAND()*((D11)-(C11))/((E11)-(C11))),1-SQRT(RAND()*((E11)-(D11))/((E11)-(C11))))</f>
        <v>1.3046552964754956E-2</v>
      </c>
      <c r="G96" s="71">
        <f ca="1">(C12)+(E12-C12)*IF(RAND()&lt;((D12)-(C12))/((E12)-(C12)),SQRT(RAND()*((D12)-(C12))/((E12)-(C12))),1-SQRT(RAND()*((E12)-(D12))/((E12)-(C12))))</f>
        <v>0.14501461298901014</v>
      </c>
      <c r="H96" s="72">
        <f t="shared" ca="1" si="2"/>
        <v>296040195.18489051</v>
      </c>
      <c r="I96" s="73">
        <f t="shared" ca="1" si="3"/>
        <v>346.06860261290967</v>
      </c>
    </row>
    <row r="97" spans="1:9" ht="16.05" customHeight="1" x14ac:dyDescent="0.3">
      <c r="A97" s="66">
        <v>81</v>
      </c>
      <c r="B97" s="67">
        <f ca="1">(C7)+(E7-C7)*IF(RAND()&lt;((D7)-(C7))/((E7)-(C7)),SQRT(RAND()*((D7)-(C7))/((E7)-(C7))),1-SQRT(RAND()*((E7)-(D7))/((E7)-(C7))))</f>
        <v>0.21035263040766392</v>
      </c>
      <c r="C97" s="67">
        <f ca="1">(C8)+(E8-C8)*IF(RAND()&lt;((D8)-(C8))/((E8)-(C8)),SQRT(RAND()*((D8)-(C8))/((E8)-(C8))),1-SQRT(RAND()*((E8)-(D8))/((E8)-(C8))))</f>
        <v>0.7331558183491147</v>
      </c>
      <c r="D97" s="68">
        <f ca="1">(C9)+(E9-C9)*IF(RAND()&lt;((D9)-(C9))/((E9)-(C9)),SQRT(RAND()*((D9)-(C9))/((E9)-(C9))),1-SQRT(RAND()*((E9)-(D9))/((E9)-(C9))))</f>
        <v>1068917.4485089823</v>
      </c>
      <c r="E97" s="68">
        <f ca="1">(C10)+(E10-C10)*IF(RAND()&lt;((D10)-(C10))/((E10)-(C10)),SQRT(RAND()*((D10)-(C10))/((E10)-(C10))),1-SQRT(RAND()*((E10)-(D10))/((E10)-(C10))))</f>
        <v>3899760.7590725357</v>
      </c>
      <c r="F97" s="67">
        <f ca="1">(C11)+(E11-C11)*IF(RAND()&lt;((D11)-(C11))/((E11)-(C11)),SQRT(RAND()*((D11)-(C11))/((E11)-(C11))),1-SQRT(RAND()*((E11)-(D11))/((E11)-(C11))))</f>
        <v>1.1633948230644238E-2</v>
      </c>
      <c r="G97" s="67">
        <f ca="1">(C12)+(E12-C12)*IF(RAND()&lt;((D12)-(C12))/((E12)-(C12)),SQRT(RAND()*((D12)-(C12))/((E12)-(C12))),1-SQRT(RAND()*((E12)-(D12))/((E12)-(C12))))</f>
        <v>0.15941727239815565</v>
      </c>
      <c r="H97" s="68">
        <f t="shared" ca="1" si="2"/>
        <v>235903689.85887587</v>
      </c>
      <c r="I97" s="69">
        <f t="shared" ca="1" si="3"/>
        <v>292.41162127275936</v>
      </c>
    </row>
    <row r="98" spans="1:9" ht="16.05" customHeight="1" x14ac:dyDescent="0.3">
      <c r="A98" s="70">
        <v>82</v>
      </c>
      <c r="B98" s="71">
        <f ca="1">(C7)+(E7-C7)*IF(RAND()&lt;((D7)-(C7))/((E7)-(C7)),SQRT(RAND()*((D7)-(C7))/((E7)-(C7))),1-SQRT(RAND()*((E7)-(D7))/((E7)-(C7))))</f>
        <v>0.30987513002985978</v>
      </c>
      <c r="C98" s="71">
        <f ca="1">(C8)+(E8-C8)*IF(RAND()&lt;((D8)-(C8))/((E8)-(C8)),SQRT(RAND()*((D8)-(C8))/((E8)-(C8))),1-SQRT(RAND()*((E8)-(D8))/((E8)-(C8))))</f>
        <v>0.60293702522222203</v>
      </c>
      <c r="D98" s="72">
        <f ca="1">(C9)+(E9-C9)*IF(RAND()&lt;((D9)-(C9))/((E9)-(C9)),SQRT(RAND()*((D9)-(C9))/((E9)-(C9))),1-SQRT(RAND()*((E9)-(D9))/((E9)-(C9))))</f>
        <v>1383611.0686333952</v>
      </c>
      <c r="E98" s="72">
        <f ca="1">(C10)+(E10-C10)*IF(RAND()&lt;((D10)-(C10))/((E10)-(C10)),SQRT(RAND()*((D10)-(C10))/((E10)-(C10))),1-SQRT(RAND()*((E10)-(D10))/((E10)-(C10))))</f>
        <v>3605973.632384724</v>
      </c>
      <c r="F98" s="71">
        <f ca="1">(C11)+(E11-C11)*IF(RAND()&lt;((D11)-(C11))/((E11)-(C11)),SQRT(RAND()*((D11)-(C11))/((E11)-(C11))),1-SQRT(RAND()*((E11)-(D11))/((E11)-(C11))))</f>
        <v>2.5408457172438923E-2</v>
      </c>
      <c r="G98" s="71">
        <f ca="1">(C12)+(E12-C12)*IF(RAND()&lt;((D12)-(C12))/((E12)-(C12)),SQRT(RAND()*((D12)-(C12))/((E12)-(C12))),1-SQRT(RAND()*((E12)-(D12))/((E12)-(C12))))</f>
        <v>0.15330896169768907</v>
      </c>
      <c r="H98" s="72">
        <f t="shared" ca="1" si="2"/>
        <v>371604894.34277856</v>
      </c>
      <c r="I98" s="73">
        <f t="shared" ca="1" si="3"/>
        <v>355.56750854165875</v>
      </c>
    </row>
    <row r="99" spans="1:9" ht="16.05" customHeight="1" x14ac:dyDescent="0.3">
      <c r="A99" s="66">
        <v>83</v>
      </c>
      <c r="B99" s="67">
        <f ca="1">(C7)+(E7-C7)*IF(RAND()&lt;((D7)-(C7))/((E7)-(C7)),SQRT(RAND()*((D7)-(C7))/((E7)-(C7))),1-SQRT(RAND()*((E7)-(D7))/((E7)-(C7))))</f>
        <v>0.23988490248859545</v>
      </c>
      <c r="C99" s="67">
        <f ca="1">(C8)+(E8-C8)*IF(RAND()&lt;((D8)-(C8))/((E8)-(C8)),SQRT(RAND()*((D8)-(C8))/((E8)-(C8))),1-SQRT(RAND()*((E8)-(D8))/((E8)-(C8))))</f>
        <v>0.64302234527033697</v>
      </c>
      <c r="D99" s="68">
        <f ca="1">(C9)+(E9-C9)*IF(RAND()&lt;((D9)-(C9))/((E9)-(C9)),SQRT(RAND()*((D9)-(C9))/((E9)-(C9))),1-SQRT(RAND()*((E9)-(D9))/((E9)-(C9))))</f>
        <v>1263112.2085114173</v>
      </c>
      <c r="E99" s="68">
        <f ca="1">(C10)+(E10-C10)*IF(RAND()&lt;((D10)-(C10))/((E10)-(C10)),SQRT(RAND()*((D10)-(C10))/((E10)-(C10))),1-SQRT(RAND()*((E10)-(D10))/((E10)-(C10))))</f>
        <v>3554002.9408818409</v>
      </c>
      <c r="F99" s="67">
        <f ca="1">(C11)+(E11-C11)*IF(RAND()&lt;((D11)-(C11))/((E11)-(C11)),SQRT(RAND()*((D11)-(C11))/((E11)-(C11))),1-SQRT(RAND()*((E11)-(D11))/((E11)-(C11))))</f>
        <v>7.9242858601564249E-3</v>
      </c>
      <c r="G99" s="67">
        <f ca="1">(C12)+(E12-C12)*IF(RAND()&lt;((D12)-(C12))/((E12)-(C12)),SQRT(RAND()*((D12)-(C12))/((E12)-(C12))),1-SQRT(RAND()*((E12)-(D12))/((E12)-(C12))))</f>
        <v>0.14016928135462781</v>
      </c>
      <c r="H99" s="68">
        <f t="shared" ca="1" si="2"/>
        <v>210277859.91515151</v>
      </c>
      <c r="I99" s="69">
        <f t="shared" ca="1" si="3"/>
        <v>220.898726000198</v>
      </c>
    </row>
    <row r="100" spans="1:9" ht="16.05" customHeight="1" x14ac:dyDescent="0.3">
      <c r="A100" s="70">
        <v>84</v>
      </c>
      <c r="B100" s="71">
        <f ca="1">(C7)+(E7-C7)*IF(RAND()&lt;((D7)-(C7))/((E7)-(C7)),SQRT(RAND()*((D7)-(C7))/((E7)-(C7))),1-SQRT(RAND()*((E7)-(D7))/((E7)-(C7))))</f>
        <v>0.23568759859407634</v>
      </c>
      <c r="C100" s="71">
        <f ca="1">(C8)+(E8-C8)*IF(RAND()&lt;((D8)-(C8))/((E8)-(C8)),SQRT(RAND()*((D8)-(C8))/((E8)-(C8))),1-SQRT(RAND()*((E8)-(D8))/((E8)-(C8))))</f>
        <v>0.62817197418901283</v>
      </c>
      <c r="D100" s="72">
        <f ca="1">(C9)+(E9-C9)*IF(RAND()&lt;((D9)-(C9))/((E9)-(C9)),SQRT(RAND()*((D9)-(C9))/((E9)-(C9))),1-SQRT(RAND()*((E9)-(D9))/((E9)-(C9))))</f>
        <v>1150680.1724601632</v>
      </c>
      <c r="E100" s="72">
        <f ca="1">(C10)+(E10-C10)*IF(RAND()&lt;((D10)-(C10))/((E10)-(C10)),SQRT(RAND()*((D10)-(C10))/((E10)-(C10))),1-SQRT(RAND()*((E10)-(D10))/((E10)-(C10))))</f>
        <v>5128513.5352656338</v>
      </c>
      <c r="F100" s="71">
        <f ca="1">(C11)+(E11-C11)*IF(RAND()&lt;((D11)-(C11))/((E11)-(C11)),SQRT(RAND()*((D11)-(C11))/((E11)-(C11))),1-SQRT(RAND()*((E11)-(D11))/((E11)-(C11))))</f>
        <v>7.4417299728615771E-3</v>
      </c>
      <c r="G100" s="71">
        <f ca="1">(C12)+(E12-C12)*IF(RAND()&lt;((D12)-(C12))/((E12)-(C12)),SQRT(RAND()*((D12)-(C12))/((E12)-(C12))),1-SQRT(RAND()*((E12)-(D12))/((E12)-(C12))))</f>
        <v>0.13924168594896652</v>
      </c>
      <c r="H100" s="72">
        <f t="shared" ca="1" si="2"/>
        <v>194194487.39592043</v>
      </c>
      <c r="I100" s="73">
        <f t="shared" ca="1" si="3"/>
        <v>223.91783713362889</v>
      </c>
    </row>
    <row r="101" spans="1:9" ht="16.05" customHeight="1" x14ac:dyDescent="0.3">
      <c r="A101" s="66">
        <v>85</v>
      </c>
      <c r="B101" s="67">
        <f ca="1">(C7)+(E7-C7)*IF(RAND()&lt;((D7)-(C7))/((E7)-(C7)),SQRT(RAND()*((D7)-(C7))/((E7)-(C7))),1-SQRT(RAND()*((E7)-(D7))/((E7)-(C7))))</f>
        <v>0.28896642495182723</v>
      </c>
      <c r="C101" s="67">
        <f ca="1">(C8)+(E8-C8)*IF(RAND()&lt;((D8)-(C8))/((E8)-(C8)),SQRT(RAND()*((D8)-(C8))/((E8)-(C8))),1-SQRT(RAND()*((E8)-(D8))/((E8)-(C8))))</f>
        <v>0.59684332458675349</v>
      </c>
      <c r="D101" s="68">
        <f ca="1">(C9)+(E9-C9)*IF(RAND()&lt;((D9)-(C9))/((E9)-(C9)),SQRT(RAND()*((D9)-(C9))/((E9)-(C9))),1-SQRT(RAND()*((E9)-(D9))/((E9)-(C9))))</f>
        <v>1163656.0641930902</v>
      </c>
      <c r="E101" s="68">
        <f ca="1">(C10)+(E10-C10)*IF(RAND()&lt;((D10)-(C10))/((E10)-(C10)),SQRT(RAND()*((D10)-(C10))/((E10)-(C10))),1-SQRT(RAND()*((E10)-(D10))/((E10)-(C10))))</f>
        <v>4176993.4102829634</v>
      </c>
      <c r="F101" s="67">
        <f ca="1">(C11)+(E11-C11)*IF(RAND()&lt;((D11)-(C11))/((E11)-(C11)),SQRT(RAND()*((D11)-(C11))/((E11)-(C11))),1-SQRT(RAND()*((E11)-(D11))/((E11)-(C11))))</f>
        <v>1.2625860183922276E-2</v>
      </c>
      <c r="G101" s="67">
        <f ca="1">(C12)+(E12-C12)*IF(RAND()&lt;((D12)-(C12))/((E12)-(C12)),SQRT(RAND()*((D12)-(C12))/((E12)-(C12))),1-SQRT(RAND()*((E12)-(D12))/((E12)-(C12))))</f>
        <v>0.13228672523792037</v>
      </c>
      <c r="H101" s="68">
        <f t="shared" ca="1" si="2"/>
        <v>261768608.62875044</v>
      </c>
      <c r="I101" s="69">
        <f t="shared" ca="1" si="3"/>
        <v>298.02993848423887</v>
      </c>
    </row>
    <row r="102" spans="1:9" ht="16.05" customHeight="1" x14ac:dyDescent="0.3">
      <c r="A102" s="70">
        <v>86</v>
      </c>
      <c r="B102" s="71">
        <f ca="1">(C7)+(E7-C7)*IF(RAND()&lt;((D7)-(C7))/((E7)-(C7)),SQRT(RAND()*((D7)-(C7))/((E7)-(C7))),1-SQRT(RAND()*((E7)-(D7))/((E7)-(C7))))</f>
        <v>0.24134502955592926</v>
      </c>
      <c r="C102" s="71">
        <f ca="1">(C8)+(E8-C8)*IF(RAND()&lt;((D8)-(C8))/((E8)-(C8)),SQRT(RAND()*((D8)-(C8))/((E8)-(C8))),1-SQRT(RAND()*((E8)-(D8))/((E8)-(C8))))</f>
        <v>0.81061725459347456</v>
      </c>
      <c r="D102" s="72">
        <f ca="1">(C9)+(E9-C9)*IF(RAND()&lt;((D9)-(C9))/((E9)-(C9)),SQRT(RAND()*((D9)-(C9))/((E9)-(C9))),1-SQRT(RAND()*((E9)-(D9))/((E9)-(C9))))</f>
        <v>1139040.8619618453</v>
      </c>
      <c r="E102" s="72">
        <f ca="1">(C10)+(E10-C10)*IF(RAND()&lt;((D10)-(C10))/((E10)-(C10)),SQRT(RAND()*((D10)-(C10))/((E10)-(C10))),1-SQRT(RAND()*((E10)-(D10))/((E10)-(C10))))</f>
        <v>2885228.7319502006</v>
      </c>
      <c r="F102" s="71">
        <f ca="1">(C11)+(E11-C11)*IF(RAND()&lt;((D11)-(C11))/((E11)-(C11)),SQRT(RAND()*((D11)-(C11))/((E11)-(C11))),1-SQRT(RAND()*((E11)-(D11))/((E11)-(C11))))</f>
        <v>6.4017817575639556E-3</v>
      </c>
      <c r="G102" s="71">
        <f ca="1">(C12)+(E12-C12)*IF(RAND()&lt;((D12)-(C12))/((E12)-(C12)),SQRT(RAND()*((D12)-(C12))/((E12)-(C12))),1-SQRT(RAND()*((E12)-(D12))/((E12)-(C12))))</f>
        <v>0.13499425232004844</v>
      </c>
      <c r="H102" s="72">
        <f t="shared" ca="1" si="2"/>
        <v>246975525.39279124</v>
      </c>
      <c r="I102" s="73">
        <f t="shared" ca="1" si="3"/>
        <v>287.31189420962681</v>
      </c>
    </row>
    <row r="103" spans="1:9" ht="16.05" customHeight="1" x14ac:dyDescent="0.3">
      <c r="A103" s="66">
        <v>87</v>
      </c>
      <c r="B103" s="67">
        <f ca="1">(C7)+(E7-C7)*IF(RAND()&lt;((D7)-(C7))/((E7)-(C7)),SQRT(RAND()*((D7)-(C7))/((E7)-(C7))),1-SQRT(RAND()*((E7)-(D7))/((E7)-(C7))))</f>
        <v>0.26988417483446997</v>
      </c>
      <c r="C103" s="67">
        <f ca="1">(C8)+(E8-C8)*IF(RAND()&lt;((D8)-(C8))/((E8)-(C8)),SQRT(RAND()*((D8)-(C8))/((E8)-(C8))),1-SQRT(RAND()*((E8)-(D8))/((E8)-(C8))))</f>
        <v>0.63660097479149036</v>
      </c>
      <c r="D103" s="68">
        <f ca="1">(C9)+(E9-C9)*IF(RAND()&lt;((D9)-(C9))/((E9)-(C9)),SQRT(RAND()*((D9)-(C9))/((E9)-(C9))),1-SQRT(RAND()*((E9)-(D9))/((E9)-(C9))))</f>
        <v>1185321.4150773447</v>
      </c>
      <c r="E103" s="68">
        <f ca="1">(C10)+(E10-C10)*IF(RAND()&lt;((D10)-(C10))/((E10)-(C10)),SQRT(RAND()*((D10)-(C10))/((E10)-(C10))),1-SQRT(RAND()*((E10)-(D10))/((E10)-(C10))))</f>
        <v>3475808.8518731464</v>
      </c>
      <c r="F103" s="67">
        <f ca="1">(C11)+(E11-C11)*IF(RAND()&lt;((D11)-(C11))/((E11)-(C11)),SQRT(RAND()*((D11)-(C11))/((E11)-(C11))),1-SQRT(RAND()*((E11)-(D11))/((E11)-(C11))))</f>
        <v>1.3836750425210462E-2</v>
      </c>
      <c r="G103" s="67">
        <f ca="1">(C12)+(E12-C12)*IF(RAND()&lt;((D12)-(C12))/((E12)-(C12)),SQRT(RAND()*((D12)-(C12))/((E12)-(C12))),1-SQRT(RAND()*((E12)-(D12))/((E12)-(C12))))</f>
        <v>0.17434313845398769</v>
      </c>
      <c r="H103" s="68">
        <f t="shared" ca="1" si="2"/>
        <v>272427646.76132709</v>
      </c>
      <c r="I103" s="69">
        <f t="shared" ca="1" si="3"/>
        <v>304.46767771000953</v>
      </c>
    </row>
    <row r="104" spans="1:9" ht="16.05" customHeight="1" x14ac:dyDescent="0.3">
      <c r="A104" s="70">
        <v>88</v>
      </c>
      <c r="B104" s="71">
        <f ca="1">(C7)+(E7-C7)*IF(RAND()&lt;((D7)-(C7))/((E7)-(C7)),SQRT(RAND()*((D7)-(C7))/((E7)-(C7))),1-SQRT(RAND()*((E7)-(D7))/((E7)-(C7))))</f>
        <v>0.29312558979906123</v>
      </c>
      <c r="C104" s="71">
        <f ca="1">(C8)+(E8-C8)*IF(RAND()&lt;((D8)-(C8))/((E8)-(C8)),SQRT(RAND()*((D8)-(C8))/((E8)-(C8))),1-SQRT(RAND()*((E8)-(D8))/((E8)-(C8))))</f>
        <v>0.63521641355956004</v>
      </c>
      <c r="D104" s="72">
        <f ca="1">(C9)+(E9-C9)*IF(RAND()&lt;((D9)-(C9))/((E9)-(C9)),SQRT(RAND()*((D9)-(C9))/((E9)-(C9))),1-SQRT(RAND()*((E9)-(D9))/((E9)-(C9))))</f>
        <v>1390695.7575851763</v>
      </c>
      <c r="E104" s="72">
        <f ca="1">(C10)+(E10-C10)*IF(RAND()&lt;((D10)-(C10))/((E10)-(C10)),SQRT(RAND()*((D10)-(C10))/((E10)-(C10))),1-SQRT(RAND()*((E10)-(D10))/((E10)-(C10))))</f>
        <v>2785348.9383686869</v>
      </c>
      <c r="F104" s="71">
        <f ca="1">(C11)+(E11-C11)*IF(RAND()&lt;((D11)-(C11))/((E11)-(C11)),SQRT(RAND()*((D11)-(C11))/((E11)-(C11))),1-SQRT(RAND()*((E11)-(D11))/((E11)-(C11))))</f>
        <v>1.5292398466338623E-2</v>
      </c>
      <c r="G104" s="71">
        <f ca="1">(C12)+(E12-C12)*IF(RAND()&lt;((D12)-(C12))/((E12)-(C12)),SQRT(RAND()*((D12)-(C12))/((E12)-(C12))),1-SQRT(RAND()*((E12)-(D12))/((E12)-(C12))))</f>
        <v>0.14733268408571606</v>
      </c>
      <c r="H104" s="72">
        <f t="shared" ca="1" si="2"/>
        <v>301001339.40230936</v>
      </c>
      <c r="I104" s="73">
        <f t="shared" ca="1" si="3"/>
        <v>286.79981459816344</v>
      </c>
    </row>
    <row r="105" spans="1:9" ht="16.05" customHeight="1" x14ac:dyDescent="0.3">
      <c r="A105" s="66">
        <v>89</v>
      </c>
      <c r="B105" s="67">
        <f ca="1">(C7)+(E7-C7)*IF(RAND()&lt;((D7)-(C7))/((E7)-(C7)),SQRT(RAND()*((D7)-(C7))/((E7)-(C7))),1-SQRT(RAND()*((E7)-(D7))/((E7)-(C7))))</f>
        <v>0.27071116887415947</v>
      </c>
      <c r="C105" s="67">
        <f ca="1">(C8)+(E8-C8)*IF(RAND()&lt;((D8)-(C8))/((E8)-(C8)),SQRT(RAND()*((D8)-(C8))/((E8)-(C8))),1-SQRT(RAND()*((E8)-(D8))/((E8)-(C8))))</f>
        <v>0.75696846438957865</v>
      </c>
      <c r="D105" s="68">
        <f ca="1">(C9)+(E9-C9)*IF(RAND()&lt;((D9)-(C9))/((E9)-(C9)),SQRT(RAND()*((D9)-(C9))/((E9)-(C9))),1-SQRT(RAND()*((E9)-(D9))/((E9)-(C9))))</f>
        <v>1159912.9263409828</v>
      </c>
      <c r="E105" s="68">
        <f ca="1">(C10)+(E10-C10)*IF(RAND()&lt;((D10)-(C10))/((E10)-(C10)),SQRT(RAND()*((D10)-(C10))/((E10)-(C10))),1-SQRT(RAND()*((E10)-(D10))/((E10)-(C10))))</f>
        <v>3845379.4594583502</v>
      </c>
      <c r="F105" s="67">
        <f ca="1">(C11)+(E11-C11)*IF(RAND()&lt;((D11)-(C11))/((E11)-(C11)),SQRT(RAND()*((D11)-(C11))/((E11)-(C11))),1-SQRT(RAND()*((E11)-(D11))/((E11)-(C11))))</f>
        <v>8.9578540268545215E-3</v>
      </c>
      <c r="G105" s="67">
        <f ca="1">(C12)+(E12-C12)*IF(RAND()&lt;((D12)-(C12))/((E12)-(C12)),SQRT(RAND()*((D12)-(C12))/((E12)-(C12))),1-SQRT(RAND()*((E12)-(D12))/((E12)-(C12))))</f>
        <v>0.13500611251382075</v>
      </c>
      <c r="H105" s="68">
        <f t="shared" ca="1" si="2"/>
        <v>271861505.2391364</v>
      </c>
      <c r="I105" s="69">
        <f t="shared" ca="1" si="3"/>
        <v>310.46452142860687</v>
      </c>
    </row>
    <row r="106" spans="1:9" ht="16.05" customHeight="1" x14ac:dyDescent="0.3">
      <c r="A106" s="70">
        <v>90</v>
      </c>
      <c r="B106" s="71">
        <f ca="1">(C7)+(E7-C7)*IF(RAND()&lt;((D7)-(C7))/((E7)-(C7)),SQRT(RAND()*((D7)-(C7))/((E7)-(C7))),1-SQRT(RAND()*((E7)-(D7))/((E7)-(C7))))</f>
        <v>0.23304543773682837</v>
      </c>
      <c r="C106" s="71">
        <f ca="1">(C8)+(E8-C8)*IF(RAND()&lt;((D8)-(C8))/((E8)-(C8)),SQRT(RAND()*((D8)-(C8))/((E8)-(C8))),1-SQRT(RAND()*((E8)-(D8))/((E8)-(C8))))</f>
        <v>0.66657862473757146</v>
      </c>
      <c r="D106" s="72">
        <f ca="1">(C9)+(E9-C9)*IF(RAND()&lt;((D9)-(C9))/((E9)-(C9)),SQRT(RAND()*((D9)-(C9))/((E9)-(C9))),1-SQRT(RAND()*((E9)-(D9))/((E9)-(C9))))</f>
        <v>1305085.4611997807</v>
      </c>
      <c r="E106" s="72">
        <f ca="1">(C10)+(E10-C10)*IF(RAND()&lt;((D10)-(C10))/((E10)-(C10)),SQRT(RAND()*((D10)-(C10))/((E10)-(C10))),1-SQRT(RAND()*((E10)-(D10))/((E10)-(C10))))</f>
        <v>3276406.9177129189</v>
      </c>
      <c r="F106" s="71">
        <f ca="1">(C11)+(E11-C11)*IF(RAND()&lt;((D11)-(C11))/((E11)-(C11)),SQRT(RAND()*((D11)-(C11))/((E11)-(C11))),1-SQRT(RAND()*((E11)-(D11))/((E11)-(C11))))</f>
        <v>1.7280974651724262E-2</v>
      </c>
      <c r="G106" s="71">
        <f ca="1">(C12)+(E12-C12)*IF(RAND()&lt;((D12)-(C12))/((E12)-(C12)),SQRT(RAND()*((D12)-(C12))/((E12)-(C12))),1-SQRT(RAND()*((E12)-(D12))/((E12)-(C12))))</f>
        <v>0.14622302448298785</v>
      </c>
      <c r="H106" s="72">
        <f t="shared" ca="1" si="2"/>
        <v>280009354.75235778</v>
      </c>
      <c r="I106" s="73">
        <f t="shared" ca="1" si="3"/>
        <v>284.31103880085476</v>
      </c>
    </row>
    <row r="107" spans="1:9" ht="16.05" customHeight="1" x14ac:dyDescent="0.3">
      <c r="A107" s="66">
        <v>91</v>
      </c>
      <c r="B107" s="67">
        <f ca="1">(C7)+(E7-C7)*IF(RAND()&lt;((D7)-(C7))/((E7)-(C7)),SQRT(RAND()*((D7)-(C7))/((E7)-(C7))),1-SQRT(RAND()*((E7)-(D7))/((E7)-(C7))))</f>
        <v>0.20860414559699114</v>
      </c>
      <c r="C107" s="67">
        <f ca="1">(C8)+(E8-C8)*IF(RAND()&lt;((D8)-(C8))/((E8)-(C8)),SQRT(RAND()*((D8)-(C8))/((E8)-(C8))),1-SQRT(RAND()*((E8)-(D8))/((E8)-(C8))))</f>
        <v>0.7457710081604032</v>
      </c>
      <c r="D107" s="68">
        <f ca="1">(C9)+(E9-C9)*IF(RAND()&lt;((D9)-(C9))/((E9)-(C9)),SQRT(RAND()*((D9)-(C9))/((E9)-(C9))),1-SQRT(RAND()*((E9)-(D9))/((E9)-(C9))))</f>
        <v>1196013.6832721764</v>
      </c>
      <c r="E107" s="68">
        <f ca="1">(C10)+(E10-C10)*IF(RAND()&lt;((D10)-(C10))/((E10)-(C10)),SQRT(RAND()*((D10)-(C10))/((E10)-(C10))),1-SQRT(RAND()*((E10)-(D10))/((E10)-(C10))))</f>
        <v>2695977.9730081782</v>
      </c>
      <c r="F107" s="67">
        <f ca="1">(C11)+(E11-C11)*IF(RAND()&lt;((D11)-(C11))/((E11)-(C11)),SQRT(RAND()*((D11)-(C11))/((E11)-(C11))),1-SQRT(RAND()*((E11)-(D11))/((E11)-(C11))))</f>
        <v>1.519252855518236E-2</v>
      </c>
      <c r="G107" s="67">
        <f ca="1">(C12)+(E12-C12)*IF(RAND()&lt;((D12)-(C12))/((E12)-(C12)),SQRT(RAND()*((D12)-(C12))/((E12)-(C12))),1-SQRT(RAND()*((E12)-(D12))/((E12)-(C12))))</f>
        <v>0.15791640809956864</v>
      </c>
      <c r="H107" s="68">
        <f t="shared" ca="1" si="2"/>
        <v>267492873.5700258</v>
      </c>
      <c r="I107" s="69">
        <f t="shared" ca="1" si="3"/>
        <v>296.31538738354601</v>
      </c>
    </row>
    <row r="108" spans="1:9" ht="16.05" customHeight="1" x14ac:dyDescent="0.3">
      <c r="A108" s="70">
        <v>92</v>
      </c>
      <c r="B108" s="71">
        <f ca="1">(C7)+(E7-C7)*IF(RAND()&lt;((D7)-(C7))/((E7)-(C7)),SQRT(RAND()*((D7)-(C7))/((E7)-(C7))),1-SQRT(RAND()*((E7)-(D7))/((E7)-(C7))))</f>
        <v>0.23735574578198632</v>
      </c>
      <c r="C108" s="71">
        <f ca="1">(C8)+(E8-C8)*IF(RAND()&lt;((D8)-(C8))/((E8)-(C8)),SQRT(RAND()*((D8)-(C8))/((E8)-(C8))),1-SQRT(RAND()*((E8)-(D8))/((E8)-(C8))))</f>
        <v>0.70152592352107568</v>
      </c>
      <c r="D108" s="72">
        <f ca="1">(C9)+(E9-C9)*IF(RAND()&lt;((D9)-(C9))/((E9)-(C9)),SQRT(RAND()*((D9)-(C9))/((E9)-(C9))),1-SQRT(RAND()*((E9)-(D9))/((E9)-(C9))))</f>
        <v>1320254.9726198681</v>
      </c>
      <c r="E108" s="72">
        <f ca="1">(C10)+(E10-C10)*IF(RAND()&lt;((D10)-(C10))/((E10)-(C10)),SQRT(RAND()*((D10)-(C10))/((E10)-(C10))),1-SQRT(RAND()*((E10)-(D10))/((E10)-(C10))))</f>
        <v>4609951.568573093</v>
      </c>
      <c r="F108" s="71">
        <f ca="1">(C11)+(E11-C11)*IF(RAND()&lt;((D11)-(C11))/((E11)-(C11)),SQRT(RAND()*((D11)-(C11))/((E11)-(C11))),1-SQRT(RAND()*((E11)-(D11))/((E11)-(C11))))</f>
        <v>1.2244607878086483E-2</v>
      </c>
      <c r="G108" s="71">
        <f ca="1">(C12)+(E12-C12)*IF(RAND()&lt;((D12)-(C12))/((E12)-(C12)),SQRT(RAND()*((D12)-(C12))/((E12)-(C12))),1-SQRT(RAND()*((E12)-(D12))/((E12)-(C12))))</f>
        <v>0.1626626386077572</v>
      </c>
      <c r="H108" s="72">
        <f t="shared" ca="1" si="2"/>
        <v>250738629.53942254</v>
      </c>
      <c r="I108" s="73">
        <f t="shared" ca="1" si="3"/>
        <v>251.81688433358067</v>
      </c>
    </row>
    <row r="109" spans="1:9" ht="16.05" customHeight="1" x14ac:dyDescent="0.3">
      <c r="A109" s="66">
        <v>93</v>
      </c>
      <c r="B109" s="67">
        <f ca="1">(C7)+(E7-C7)*IF(RAND()&lt;((D7)-(C7))/((E7)-(C7)),SQRT(RAND()*((D7)-(C7))/((E7)-(C7))),1-SQRT(RAND()*((E7)-(D7))/((E7)-(C7))))</f>
        <v>0.20933911900102192</v>
      </c>
      <c r="C109" s="67">
        <f ca="1">(C8)+(E8-C8)*IF(RAND()&lt;((D8)-(C8))/((E8)-(C8)),SQRT(RAND()*((D8)-(C8))/((E8)-(C8))),1-SQRT(RAND()*((E8)-(D8))/((E8)-(C8))))</f>
        <v>0.86008323700793832</v>
      </c>
      <c r="D109" s="68">
        <f ca="1">(C9)+(E9-C9)*IF(RAND()&lt;((D9)-(C9))/((E9)-(C9)),SQRT(RAND()*((D9)-(C9))/((E9)-(C9))),1-SQRT(RAND()*((E9)-(D9))/((E9)-(C9))))</f>
        <v>1106430.1799145767</v>
      </c>
      <c r="E109" s="68">
        <f ca="1">(C10)+(E10-C10)*IF(RAND()&lt;((D10)-(C10))/((E10)-(C10)),SQRT(RAND()*((D10)-(C10))/((E10)-(C10))),1-SQRT(RAND()*((E10)-(D10))/((E10)-(C10))))</f>
        <v>4146514.7835014691</v>
      </c>
      <c r="F109" s="67">
        <f ca="1">(C11)+(E11-C11)*IF(RAND()&lt;((D11)-(C11))/((E11)-(C11)),SQRT(RAND()*((D11)-(C11))/((E11)-(C11))),1-SQRT(RAND()*((E11)-(D11))/((E11)-(C11))))</f>
        <v>7.0809761976357629E-3</v>
      </c>
      <c r="G109" s="67">
        <f ca="1">(C12)+(E12-C12)*IF(RAND()&lt;((D12)-(C12))/((E12)-(C12)),SQRT(RAND()*((D12)-(C12))/((E12)-(C12))),1-SQRT(RAND()*((E12)-(D12))/((E12)-(C12))))</f>
        <v>0.15301440930029006</v>
      </c>
      <c r="H109" s="68">
        <f t="shared" ca="1" si="2"/>
        <v>230168508.35055512</v>
      </c>
      <c r="I109" s="69">
        <f t="shared" ca="1" si="3"/>
        <v>275.70535973633594</v>
      </c>
    </row>
    <row r="110" spans="1:9" ht="16.05" customHeight="1" x14ac:dyDescent="0.3">
      <c r="A110" s="70">
        <v>94</v>
      </c>
      <c r="B110" s="71">
        <f ca="1">(C7)+(E7-C7)*IF(RAND()&lt;((D7)-(C7))/((E7)-(C7)),SQRT(RAND()*((D7)-(C7))/((E7)-(C7))),1-SQRT(RAND()*((E7)-(D7))/((E7)-(C7))))</f>
        <v>0.24096147244836985</v>
      </c>
      <c r="C110" s="71">
        <f ca="1">(C8)+(E8-C8)*IF(RAND()&lt;((D8)-(C8))/((E8)-(C8)),SQRT(RAND()*((D8)-(C8))/((E8)-(C8))),1-SQRT(RAND()*((E8)-(D8))/((E8)-(C8))))</f>
        <v>0.72168351915904128</v>
      </c>
      <c r="D110" s="72">
        <f ca="1">(C9)+(E9-C9)*IF(RAND()&lt;((D9)-(C9))/((E9)-(C9)),SQRT(RAND()*((D9)-(C9))/((E9)-(C9))),1-SQRT(RAND()*((E9)-(D9))/((E9)-(C9))))</f>
        <v>1188087.6287345893</v>
      </c>
      <c r="E110" s="72">
        <f ca="1">(C10)+(E10-C10)*IF(RAND()&lt;((D10)-(C10))/((E10)-(C10)),SQRT(RAND()*((D10)-(C10))/((E10)-(C10))),1-SQRT(RAND()*((E10)-(D10))/((E10)-(C10))))</f>
        <v>4108523.6979650431</v>
      </c>
      <c r="F110" s="71">
        <f ca="1">(C11)+(E11-C11)*IF(RAND()&lt;((D11)-(C11))/((E11)-(C11)),SQRT(RAND()*((D11)-(C11))/((E11)-(C11))),1-SQRT(RAND()*((E11)-(D11))/((E11)-(C11))))</f>
        <v>1.9788450849849388E-2</v>
      </c>
      <c r="G110" s="71">
        <f ca="1">(C12)+(E12-C12)*IF(RAND()&lt;((D12)-(C12))/((E12)-(C12)),SQRT(RAND()*((D12)-(C12))/((E12)-(C12))),1-SQRT(RAND()*((E12)-(D12))/((E12)-(C12))))</f>
        <v>0.15085361912243178</v>
      </c>
      <c r="H110" s="72">
        <f t="shared" ca="1" si="2"/>
        <v>315256900.73772949</v>
      </c>
      <c r="I110" s="73">
        <f t="shared" ca="1" si="3"/>
        <v>351.30990645069647</v>
      </c>
    </row>
    <row r="111" spans="1:9" ht="16.05" customHeight="1" x14ac:dyDescent="0.3">
      <c r="A111" s="66">
        <v>95</v>
      </c>
      <c r="B111" s="67">
        <f ca="1">(C7)+(E7-C7)*IF(RAND()&lt;((D7)-(C7))/((E7)-(C7)),SQRT(RAND()*((D7)-(C7))/((E7)-(C7))),1-SQRT(RAND()*((E7)-(D7))/((E7)-(C7))))</f>
        <v>0.25724373846763349</v>
      </c>
      <c r="C111" s="67">
        <f ca="1">(C8)+(E8-C8)*IF(RAND()&lt;((D8)-(C8))/((E8)-(C8)),SQRT(RAND()*((D8)-(C8))/((E8)-(C8))),1-SQRT(RAND()*((E8)-(D8))/((E8)-(C8))))</f>
        <v>0.86147880971927848</v>
      </c>
      <c r="D111" s="68">
        <f ca="1">(C9)+(E9-C9)*IF(RAND()&lt;((D9)-(C9))/((E9)-(C9)),SQRT(RAND()*((D9)-(C9))/((E9)-(C9))),1-SQRT(RAND()*((E9)-(D9))/((E9)-(C9))))</f>
        <v>1256257.2856257348</v>
      </c>
      <c r="E111" s="68">
        <f ca="1">(C10)+(E10-C10)*IF(RAND()&lt;((D10)-(C10))/((E10)-(C10)),SQRT(RAND()*((D10)-(C10))/((E10)-(C10))),1-SQRT(RAND()*((E10)-(D10))/((E10)-(C10))))</f>
        <v>3972016.4258419732</v>
      </c>
      <c r="F111" s="67">
        <f ca="1">(C11)+(E11-C11)*IF(RAND()&lt;((D11)-(C11))/((E11)-(C11)),SQRT(RAND()*((D11)-(C11))/((E11)-(C11))),1-SQRT(RAND()*((E11)-(D11))/((E11)-(C11))))</f>
        <v>9.5412551857018968E-3</v>
      </c>
      <c r="G111" s="67">
        <f ca="1">(C12)+(E12-C12)*IF(RAND()&lt;((D12)-(C12))/((E12)-(C12)),SQRT(RAND()*((D12)-(C12))/((E12)-(C12))),1-SQRT(RAND()*((E12)-(D12))/((E12)-(C12))))</f>
        <v>0.14538507726187569</v>
      </c>
      <c r="H111" s="68">
        <f t="shared" ca="1" si="2"/>
        <v>293654109.99729621</v>
      </c>
      <c r="I111" s="69">
        <f t="shared" ca="1" si="3"/>
        <v>309.63646077776895</v>
      </c>
    </row>
    <row r="112" spans="1:9" ht="16.05" customHeight="1" x14ac:dyDescent="0.3">
      <c r="A112" s="70">
        <v>96</v>
      </c>
      <c r="B112" s="71">
        <f ca="1">(C7)+(E7-C7)*IF(RAND()&lt;((D7)-(C7))/((E7)-(C7)),SQRT(RAND()*((D7)-(C7))/((E7)-(C7))),1-SQRT(RAND()*((E7)-(D7))/((E7)-(C7))))</f>
        <v>0.22105490493469188</v>
      </c>
      <c r="C112" s="71">
        <f ca="1">(C8)+(E8-C8)*IF(RAND()&lt;((D8)-(C8))/((E8)-(C8)),SQRT(RAND()*((D8)-(C8))/((E8)-(C8))),1-SQRT(RAND()*((E8)-(D8))/((E8)-(C8))))</f>
        <v>0.7488107487525818</v>
      </c>
      <c r="D112" s="72">
        <f ca="1">(C9)+(E9-C9)*IF(RAND()&lt;((D9)-(C9))/((E9)-(C9)),SQRT(RAND()*((D9)-(C9))/((E9)-(C9))),1-SQRT(RAND()*((E9)-(D9))/((E9)-(C9))))</f>
        <v>1080201.2281978817</v>
      </c>
      <c r="E112" s="72">
        <f ca="1">(C10)+(E10-C10)*IF(RAND()&lt;((D10)-(C10))/((E10)-(C10)),SQRT(RAND()*((D10)-(C10))/((E10)-(C10))),1-SQRT(RAND()*((E10)-(D10))/((E10)-(C10))))</f>
        <v>3954379.354513274</v>
      </c>
      <c r="F112" s="71">
        <f ca="1">(C11)+(E11-C11)*IF(RAND()&lt;((D11)-(C11))/((E11)-(C11)),SQRT(RAND()*((D11)-(C11))/((E11)-(C11))),1-SQRT(RAND()*((E11)-(D11))/((E11)-(C11))))</f>
        <v>2.1084794061638924E-2</v>
      </c>
      <c r="G112" s="71">
        <f ca="1">(C12)+(E12-C12)*IF(RAND()&lt;((D12)-(C12))/((E12)-(C12)),SQRT(RAND()*((D12)-(C12))/((E12)-(C12))),1-SQRT(RAND()*((E12)-(D12))/((E12)-(C12))))</f>
        <v>0.14736675990841785</v>
      </c>
      <c r="H112" s="72">
        <f t="shared" ca="1" si="2"/>
        <v>316199884.97705746</v>
      </c>
      <c r="I112" s="73">
        <f t="shared" ca="1" si="3"/>
        <v>387.41710924972858</v>
      </c>
    </row>
    <row r="113" spans="1:9" ht="16.05" customHeight="1" x14ac:dyDescent="0.3">
      <c r="A113" s="66">
        <v>97</v>
      </c>
      <c r="B113" s="67">
        <f ca="1">(C7)+(E7-C7)*IF(RAND()&lt;((D7)-(C7))/((E7)-(C7)),SQRT(RAND()*((D7)-(C7))/((E7)-(C7))),1-SQRT(RAND()*((E7)-(D7))/((E7)-(C7))))</f>
        <v>0.31628468067511928</v>
      </c>
      <c r="C113" s="67">
        <f ca="1">(C8)+(E8-C8)*IF(RAND()&lt;((D8)-(C8))/((E8)-(C8)),SQRT(RAND()*((D8)-(C8))/((E8)-(C8))),1-SQRT(RAND()*((E8)-(D8))/((E8)-(C8))))</f>
        <v>0.62699595842124656</v>
      </c>
      <c r="D113" s="68">
        <f ca="1">(C9)+(E9-C9)*IF(RAND()&lt;((D9)-(C9))/((E9)-(C9)),SQRT(RAND()*((D9)-(C9))/((E9)-(C9))),1-SQRT(RAND()*((E9)-(D9))/((E9)-(C9))))</f>
        <v>1075231.1857394062</v>
      </c>
      <c r="E113" s="68">
        <f ca="1">(C10)+(E10-C10)*IF(RAND()&lt;((D10)-(C10))/((E10)-(C10)),SQRT(RAND()*((D10)-(C10))/((E10)-(C10))),1-SQRT(RAND()*((E10)-(D10))/((E10)-(C10))))</f>
        <v>2375275.0521520237</v>
      </c>
      <c r="F113" s="67">
        <f ca="1">(C11)+(E11-C11)*IF(RAND()&lt;((D11)-(C11))/((E11)-(C11)),SQRT(RAND()*((D11)-(C11))/((E11)-(C11))),1-SQRT(RAND()*((E11)-(D11))/((E11)-(C11))))</f>
        <v>8.594519483446519E-3</v>
      </c>
      <c r="G113" s="67">
        <f ca="1">(C12)+(E12-C12)*IF(RAND()&lt;((D12)-(C12))/((E12)-(C12)),SQRT(RAND()*((D12)-(C12))/((E12)-(C12))),1-SQRT(RAND()*((E12)-(D12))/((E12)-(C12))))</f>
        <v>0.13423513193951322</v>
      </c>
      <c r="H113" s="68">
        <f t="shared" ca="1" si="2"/>
        <v>267704572.79288417</v>
      </c>
      <c r="I113" s="69">
        <f t="shared" ca="1" si="3"/>
        <v>329.71251261331327</v>
      </c>
    </row>
    <row r="114" spans="1:9" ht="16.05" customHeight="1" x14ac:dyDescent="0.3">
      <c r="A114" s="70">
        <v>98</v>
      </c>
      <c r="B114" s="71">
        <f ca="1">(C7)+(E7-C7)*IF(RAND()&lt;((D7)-(C7))/((E7)-(C7)),SQRT(RAND()*((D7)-(C7))/((E7)-(C7))),1-SQRT(RAND()*((E7)-(D7))/((E7)-(C7))))</f>
        <v>0.20845130237951806</v>
      </c>
      <c r="C114" s="71">
        <f ca="1">(C8)+(E8-C8)*IF(RAND()&lt;((D8)-(C8))/((E8)-(C8)),SQRT(RAND()*((D8)-(C8))/((E8)-(C8))),1-SQRT(RAND()*((E8)-(D8))/((E8)-(C8))))</f>
        <v>0.7732443673359285</v>
      </c>
      <c r="D114" s="72">
        <f ca="1">(C9)+(E9-C9)*IF(RAND()&lt;((D9)-(C9))/((E9)-(C9)),SQRT(RAND()*((D9)-(C9))/((E9)-(C9))),1-SQRT(RAND()*((E9)-(D9))/((E9)-(C9))))</f>
        <v>1211556.0023954657</v>
      </c>
      <c r="E114" s="72">
        <f ca="1">(C10)+(E10-C10)*IF(RAND()&lt;((D10)-(C10))/((E10)-(C10)),SQRT(RAND()*((D10)-(C10))/((E10)-(C10))),1-SQRT(RAND()*((E10)-(D10))/((E10)-(C10))))</f>
        <v>2832026.1420404762</v>
      </c>
      <c r="F114" s="71">
        <f ca="1">(C11)+(E11-C11)*IF(RAND()&lt;((D11)-(C11))/((E11)-(C11)),SQRT(RAND()*((D11)-(C11))/((E11)-(C11))),1-SQRT(RAND()*((E11)-(D11))/((E11)-(C11))))</f>
        <v>1.5714949364422665E-2</v>
      </c>
      <c r="G114" s="71">
        <f ca="1">(C12)+(E12-C12)*IF(RAND()&lt;((D12)-(C12))/((E12)-(C12)),SQRT(RAND()*((D12)-(C12))/((E12)-(C12))),1-SQRT(RAND()*((E12)-(D12))/((E12)-(C12))))</f>
        <v>0.15733861397693893</v>
      </c>
      <c r="H114" s="72">
        <f t="shared" ca="1" si="2"/>
        <v>276838812.46551752</v>
      </c>
      <c r="I114" s="73">
        <f t="shared" ca="1" si="3"/>
        <v>302.70572136517774</v>
      </c>
    </row>
    <row r="115" spans="1:9" ht="16.05" customHeight="1" x14ac:dyDescent="0.3">
      <c r="A115" s="66">
        <v>99</v>
      </c>
      <c r="B115" s="67">
        <f ca="1">(C7)+(E7-C7)*IF(RAND()&lt;((D7)-(C7))/((E7)-(C7)),SQRT(RAND()*((D7)-(C7))/((E7)-(C7))),1-SQRT(RAND()*((E7)-(D7))/((E7)-(C7))))</f>
        <v>0.21222383677498025</v>
      </c>
      <c r="C115" s="67">
        <f ca="1">(C8)+(E8-C8)*IF(RAND()&lt;((D8)-(C8))/((E8)-(C8)),SQRT(RAND()*((D8)-(C8))/((E8)-(C8))),1-SQRT(RAND()*((E8)-(D8))/((E8)-(C8))))</f>
        <v>0.67380818125588193</v>
      </c>
      <c r="D115" s="68">
        <f ca="1">(C9)+(E9-C9)*IF(RAND()&lt;((D9)-(C9))/((E9)-(C9)),SQRT(RAND()*((D9)-(C9))/((E9)-(C9))),1-SQRT(RAND()*((E9)-(D9))/((E9)-(C9))))</f>
        <v>1291935.0291789696</v>
      </c>
      <c r="E115" s="68">
        <f ca="1">(C10)+(E10-C10)*IF(RAND()&lt;((D10)-(C10))/((E10)-(C10)),SQRT(RAND()*((D10)-(C10))/((E10)-(C10))),1-SQRT(RAND()*((E10)-(D10))/((E10)-(C10))))</f>
        <v>2599514.4310851134</v>
      </c>
      <c r="F115" s="67">
        <f ca="1">(C11)+(E11-C11)*IF(RAND()&lt;((D11)-(C11))/((E11)-(C11)),SQRT(RAND()*((D11)-(C11))/((E11)-(C11))),1-SQRT(RAND()*((E11)-(D11))/((E11)-(C11))))</f>
        <v>2.5439529218941086E-2</v>
      </c>
      <c r="G115" s="67">
        <f ca="1">(C12)+(E12-C12)*IF(RAND()&lt;((D12)-(C12))/((E12)-(C12)),SQRT(RAND()*((D12)-(C12))/((E12)-(C12))),1-SQRT(RAND()*((E12)-(D12))/((E12)-(C12))))</f>
        <v>0.15147781087226897</v>
      </c>
      <c r="H115" s="68">
        <f t="shared" ca="1" si="2"/>
        <v>328043357.08883148</v>
      </c>
      <c r="I115" s="69">
        <f t="shared" ca="1" si="3"/>
        <v>336.23138329465343</v>
      </c>
    </row>
    <row r="116" spans="1:9" ht="16.05" customHeight="1" x14ac:dyDescent="0.3">
      <c r="A116" s="70">
        <v>100</v>
      </c>
      <c r="B116" s="71">
        <f ca="1">(C7)+(E7-C7)*IF(RAND()&lt;((D7)-(C7))/((E7)-(C7)),SQRT(RAND()*((D7)-(C7))/((E7)-(C7))),1-SQRT(RAND()*((E7)-(D7))/((E7)-(C7))))</f>
        <v>0.35183198545122252</v>
      </c>
      <c r="C116" s="71">
        <f ca="1">(C8)+(E8-C8)*IF(RAND()&lt;((D8)-(C8))/((E8)-(C8)),SQRT(RAND()*((D8)-(C8))/((E8)-(C8))),1-SQRT(RAND()*((E8)-(D8))/((E8)-(C8))))</f>
        <v>0.74113451838702971</v>
      </c>
      <c r="D116" s="72">
        <f ca="1">(C9)+(E9-C9)*IF(RAND()&lt;((D9)-(C9))/((E9)-(C9)),SQRT(RAND()*((D9)-(C9))/((E9)-(C9))),1-SQRT(RAND()*((E9)-(D9))/((E9)-(C9))))</f>
        <v>1202901.2316479799</v>
      </c>
      <c r="E116" s="72">
        <f ca="1">(C10)+(E10-C10)*IF(RAND()&lt;((D10)-(C10))/((E10)-(C10)),SQRT(RAND()*((D10)-(C10))/((E10)-(C10))),1-SQRT(RAND()*((E10)-(D10))/((E10)-(C10))))</f>
        <v>3672549.7894040393</v>
      </c>
      <c r="F116" s="71">
        <f ca="1">(C11)+(E11-C11)*IF(RAND()&lt;((D11)-(C11))/((E11)-(C11)),SQRT(RAND()*((D11)-(C11))/((E11)-(C11))),1-SQRT(RAND()*((E11)-(D11))/((E11)-(C11))))</f>
        <v>1.1207299290309421E-2</v>
      </c>
      <c r="G116" s="71">
        <f ca="1">(C12)+(E12-C12)*IF(RAND()&lt;((D12)-(C12))/((E12)-(C12)),SQRT(RAND()*((D12)-(C12))/((E12)-(C12))),1-SQRT(RAND()*((E12)-(D12))/((E12)-(C12))))</f>
        <v>0.11328743199142129</v>
      </c>
      <c r="H116" s="72">
        <f t="shared" ca="1" si="2"/>
        <v>349455428.5205819</v>
      </c>
      <c r="I116" s="73">
        <f t="shared" ca="1" si="3"/>
        <v>384.49866695041158</v>
      </c>
    </row>
    <row r="117" spans="1:9" ht="16.05" customHeight="1" x14ac:dyDescent="0.3">
      <c r="A117" s="66">
        <v>101</v>
      </c>
      <c r="B117" s="67">
        <f ca="1">(C7)+(E7-C7)*IF(RAND()&lt;((D7)-(C7))/((E7)-(C7)),SQRT(RAND()*((D7)-(C7))/((E7)-(C7))),1-SQRT(RAND()*((E7)-(D7))/((E7)-(C7))))</f>
        <v>0.29840915498276865</v>
      </c>
      <c r="C117" s="67">
        <f ca="1">(C8)+(E8-C8)*IF(RAND()&lt;((D8)-(C8))/((E8)-(C8)),SQRT(RAND()*((D8)-(C8))/((E8)-(C8))),1-SQRT(RAND()*((E8)-(D8))/((E8)-(C8))))</f>
        <v>0.74068183752973749</v>
      </c>
      <c r="D117" s="68">
        <f ca="1">(C9)+(E9-C9)*IF(RAND()&lt;((D9)-(C9))/((E9)-(C9)),SQRT(RAND()*((D9)-(C9))/((E9)-(C9))),1-SQRT(RAND()*((E9)-(D9))/((E9)-(C9))))</f>
        <v>1175859.881893948</v>
      </c>
      <c r="E117" s="68">
        <f ca="1">(C10)+(E10-C10)*IF(RAND()&lt;((D10)-(C10))/((E10)-(C10)),SQRT(RAND()*((D10)-(C10))/((E10)-(C10))),1-SQRT(RAND()*((E10)-(D10))/((E10)-(C10))))</f>
        <v>3145183.6157012759</v>
      </c>
      <c r="F117" s="67">
        <f ca="1">(C11)+(E11-C11)*IF(RAND()&lt;((D11)-(C11))/((E11)-(C11)),SQRT(RAND()*((D11)-(C11))/((E11)-(C11))),1-SQRT(RAND()*((E11)-(D11))/((E11)-(C11))))</f>
        <v>2.2398975301067273E-2</v>
      </c>
      <c r="G117" s="67">
        <f ca="1">(C12)+(E12-C12)*IF(RAND()&lt;((D12)-(C12))/((E12)-(C12)),SQRT(RAND()*((D12)-(C12))/((E12)-(C12))),1-SQRT(RAND()*((E12)-(D12))/((E12)-(C12))))</f>
        <v>0.14202888670316402</v>
      </c>
      <c r="H117" s="68">
        <f t="shared" ca="1" si="2"/>
        <v>389036344.89611679</v>
      </c>
      <c r="I117" s="69">
        <f t="shared" ca="1" si="3"/>
        <v>437.70945067877767</v>
      </c>
    </row>
    <row r="118" spans="1:9" ht="16.05" customHeight="1" x14ac:dyDescent="0.3">
      <c r="A118" s="70">
        <v>102</v>
      </c>
      <c r="B118" s="71">
        <f ca="1">(C7)+(E7-C7)*IF(RAND()&lt;((D7)-(C7))/((E7)-(C7)),SQRT(RAND()*((D7)-(C7))/((E7)-(C7))),1-SQRT(RAND()*((E7)-(D7))/((E7)-(C7))))</f>
        <v>0.25978097773226472</v>
      </c>
      <c r="C118" s="71">
        <f ca="1">(C8)+(E8-C8)*IF(RAND()&lt;((D8)-(C8))/((E8)-(C8)),SQRT(RAND()*((D8)-(C8))/((E8)-(C8))),1-SQRT(RAND()*((E8)-(D8))/((E8)-(C8))))</f>
        <v>0.75769400724751401</v>
      </c>
      <c r="D118" s="72">
        <f ca="1">(C9)+(E9-C9)*IF(RAND()&lt;((D9)-(C9))/((E9)-(C9)),SQRT(RAND()*((D9)-(C9))/((E9)-(C9))),1-SQRT(RAND()*((E9)-(D9))/((E9)-(C9))))</f>
        <v>1213632.6924118132</v>
      </c>
      <c r="E118" s="72">
        <f ca="1">(C10)+(E10-C10)*IF(RAND()&lt;((D10)-(C10))/((E10)-(C10)),SQRT(RAND()*((D10)-(C10))/((E10)-(C10))),1-SQRT(RAND()*((E10)-(D10))/((E10)-(C10))))</f>
        <v>4488752.5586776603</v>
      </c>
      <c r="F118" s="71">
        <f ca="1">(C11)+(E11-C11)*IF(RAND()&lt;((D11)-(C11))/((E11)-(C11)),SQRT(RAND()*((D11)-(C11))/((E11)-(C11))),1-SQRT(RAND()*((E11)-(D11))/((E11)-(C11))))</f>
        <v>1.6217472709089971E-2</v>
      </c>
      <c r="G118" s="71">
        <f ca="1">(C12)+(E12-C12)*IF(RAND()&lt;((D12)-(C12))/((E12)-(C12)),SQRT(RAND()*((D12)-(C12))/((E12)-(C12))),1-SQRT(RAND()*((E12)-(D12))/((E12)-(C12))))</f>
        <v>0.15179206536798631</v>
      </c>
      <c r="H118" s="72">
        <f t="shared" ca="1" si="2"/>
        <v>312969860.89821911</v>
      </c>
      <c r="I118" s="73">
        <f t="shared" ca="1" si="3"/>
        <v>341.45757046060635</v>
      </c>
    </row>
    <row r="119" spans="1:9" ht="16.05" customHeight="1" x14ac:dyDescent="0.3">
      <c r="A119" s="66">
        <v>103</v>
      </c>
      <c r="B119" s="67">
        <f ca="1">(C7)+(E7-C7)*IF(RAND()&lt;((D7)-(C7))/((E7)-(C7)),SQRT(RAND()*((D7)-(C7))/((E7)-(C7))),1-SQRT(RAND()*((E7)-(D7))/((E7)-(C7))))</f>
        <v>0.32572822651881067</v>
      </c>
      <c r="C119" s="67">
        <f ca="1">(C8)+(E8-C8)*IF(RAND()&lt;((D8)-(C8))/((E8)-(C8)),SQRT(RAND()*((D8)-(C8))/((E8)-(C8))),1-SQRT(RAND()*((E8)-(D8))/((E8)-(C8))))</f>
        <v>0.75822083120640893</v>
      </c>
      <c r="D119" s="68">
        <f ca="1">(C9)+(E9-C9)*IF(RAND()&lt;((D9)-(C9))/((E9)-(C9)),SQRT(RAND()*((D9)-(C9))/((E9)-(C9))),1-SQRT(RAND()*((E9)-(D9))/((E9)-(C9))))</f>
        <v>1277911.8203027619</v>
      </c>
      <c r="E119" s="68">
        <f ca="1">(C10)+(E10-C10)*IF(RAND()&lt;((D10)-(C10))/((E10)-(C10)),SQRT(RAND()*((D10)-(C10))/((E10)-(C10))),1-SQRT(RAND()*((E10)-(D10))/((E10)-(C10))))</f>
        <v>4005873.1302349409</v>
      </c>
      <c r="F119" s="67">
        <f ca="1">(C11)+(E11-C11)*IF(RAND()&lt;((D11)-(C11))/((E11)-(C11)),SQRT(RAND()*((D11)-(C11))/((E11)-(C11))),1-SQRT(RAND()*((E11)-(D11))/((E11)-(C11))))</f>
        <v>1.0677083405346436E-2</v>
      </c>
      <c r="G119" s="67">
        <f ca="1">(C12)+(E12-C12)*IF(RAND()&lt;((D12)-(C12))/((E12)-(C12)),SQRT(RAND()*((D12)-(C12))/((E12)-(C12))),1-SQRT(RAND()*((E12)-(D12))/((E12)-(C12))))</f>
        <v>0.16634247709666128</v>
      </c>
      <c r="H119" s="68">
        <f t="shared" ca="1" si="2"/>
        <v>329296930.52393132</v>
      </c>
      <c r="I119" s="69">
        <f t="shared" ca="1" si="3"/>
        <v>341.2004225920241</v>
      </c>
    </row>
    <row r="120" spans="1:9" ht="16.05" customHeight="1" x14ac:dyDescent="0.3">
      <c r="A120" s="70">
        <v>104</v>
      </c>
      <c r="B120" s="71">
        <f ca="1">(C7)+(E7-C7)*IF(RAND()&lt;((D7)-(C7))/((E7)-(C7)),SQRT(RAND()*((D7)-(C7))/((E7)-(C7))),1-SQRT(RAND()*((E7)-(D7))/((E7)-(C7))))</f>
        <v>0.21758547603705411</v>
      </c>
      <c r="C120" s="71">
        <f ca="1">(C8)+(E8-C8)*IF(RAND()&lt;((D8)-(C8))/((E8)-(C8)),SQRT(RAND()*((D8)-(C8))/((E8)-(C8))),1-SQRT(RAND()*((E8)-(D8))/((E8)-(C8))))</f>
        <v>0.77126943676805837</v>
      </c>
      <c r="D120" s="72">
        <f ca="1">(C9)+(E9-C9)*IF(RAND()&lt;((D9)-(C9))/((E9)-(C9)),SQRT(RAND()*((D9)-(C9))/((E9)-(C9))),1-SQRT(RAND()*((E9)-(D9))/((E9)-(C9))))</f>
        <v>1289166.8682712372</v>
      </c>
      <c r="E120" s="72">
        <f ca="1">(C10)+(E10-C10)*IF(RAND()&lt;((D10)-(C10))/((E10)-(C10)),SQRT(RAND()*((D10)-(C10))/((E10)-(C10))),1-SQRT(RAND()*((E10)-(D10))/((E10)-(C10))))</f>
        <v>4257138.1671414413</v>
      </c>
      <c r="F120" s="71">
        <f ca="1">(C11)+(E11-C11)*IF(RAND()&lt;((D11)-(C11))/((E11)-(C11)),SQRT(RAND()*((D11)-(C11))/((E11)-(C11))),1-SQRT(RAND()*((E11)-(D11))/((E11)-(C11))))</f>
        <v>7.8461647662892847E-3</v>
      </c>
      <c r="G120" s="71">
        <f ca="1">(C12)+(E12-C12)*IF(RAND()&lt;((D12)-(C12))/((E12)-(C12)),SQRT(RAND()*((D12)-(C12))/((E12)-(C12))),1-SQRT(RAND()*((E12)-(D12))/((E12)-(C12))))</f>
        <v>0.14744341774126149</v>
      </c>
      <c r="H120" s="72">
        <f t="shared" ca="1" si="2"/>
        <v>221781372.99441272</v>
      </c>
      <c r="I120" s="73">
        <f t="shared" ca="1" si="3"/>
        <v>228.23052586749733</v>
      </c>
    </row>
    <row r="121" spans="1:9" ht="16.05" customHeight="1" x14ac:dyDescent="0.3">
      <c r="A121" s="66">
        <v>105</v>
      </c>
      <c r="B121" s="67">
        <f ca="1">(C7)+(E7-C7)*IF(RAND()&lt;((D7)-(C7))/((E7)-(C7)),SQRT(RAND()*((D7)-(C7))/((E7)-(C7))),1-SQRT(RAND()*((E7)-(D7))/((E7)-(C7))))</f>
        <v>0.23640416159870375</v>
      </c>
      <c r="C121" s="67">
        <f ca="1">(C8)+(E8-C8)*IF(RAND()&lt;((D8)-(C8))/((E8)-(C8)),SQRT(RAND()*((D8)-(C8))/((E8)-(C8))),1-SQRT(RAND()*((E8)-(D8))/((E8)-(C8))))</f>
        <v>0.60690879294883771</v>
      </c>
      <c r="D121" s="68">
        <f ca="1">(C9)+(E9-C9)*IF(RAND()&lt;((D9)-(C9))/((E9)-(C9)),SQRT(RAND()*((D9)-(C9))/((E9)-(C9))),1-SQRT(RAND()*((E9)-(D9))/((E9)-(C9))))</f>
        <v>1330845.6222857882</v>
      </c>
      <c r="E121" s="68">
        <f ca="1">(C10)+(E10-C10)*IF(RAND()&lt;((D10)-(C10))/((E10)-(C10)),SQRT(RAND()*((D10)-(C10))/((E10)-(C10))),1-SQRT(RAND()*((E10)-(D10))/((E10)-(C10))))</f>
        <v>3682252.4701716388</v>
      </c>
      <c r="F121" s="67">
        <f ca="1">(C11)+(E11-C11)*IF(RAND()&lt;((D11)-(C11))/((E11)-(C11)),SQRT(RAND()*((D11)-(C11))/((E11)-(C11))),1-SQRT(RAND()*((E11)-(D11))/((E11)-(C11))))</f>
        <v>8.1039941866633113E-3</v>
      </c>
      <c r="G121" s="67">
        <f ca="1">(C12)+(E12-C12)*IF(RAND()&lt;((D12)-(C12))/((E12)-(C12)),SQRT(RAND()*((D12)-(C12))/((E12)-(C12))),1-SQRT(RAND()*((E12)-(D12))/((E12)-(C12))))</f>
        <v>0.13955755545288517</v>
      </c>
      <c r="H121" s="68">
        <f t="shared" ca="1" si="2"/>
        <v>199297669.38187864</v>
      </c>
      <c r="I121" s="69">
        <f t="shared" ca="1" si="3"/>
        <v>198.84085707396966</v>
      </c>
    </row>
    <row r="122" spans="1:9" ht="16.05" customHeight="1" x14ac:dyDescent="0.3">
      <c r="A122" s="70">
        <v>106</v>
      </c>
      <c r="B122" s="71">
        <f ca="1">(C7)+(E7-C7)*IF(RAND()&lt;((D7)-(C7))/((E7)-(C7)),SQRT(RAND()*((D7)-(C7))/((E7)-(C7))),1-SQRT(RAND()*((E7)-(D7))/((E7)-(C7))))</f>
        <v>0.20924784839382995</v>
      </c>
      <c r="C122" s="71">
        <f ca="1">(C8)+(E8-C8)*IF(RAND()&lt;((D8)-(C8))/((E8)-(C8)),SQRT(RAND()*((D8)-(C8))/((E8)-(C8))),1-SQRT(RAND()*((E8)-(D8))/((E8)-(C8))))</f>
        <v>0.63890856359918358</v>
      </c>
      <c r="D122" s="72">
        <f ca="1">(C9)+(E9-C9)*IF(RAND()&lt;((D9)-(C9))/((E9)-(C9)),SQRT(RAND()*((D9)-(C9))/((E9)-(C9))),1-SQRT(RAND()*((E9)-(D9))/((E9)-(C9))))</f>
        <v>1348323.7868844972</v>
      </c>
      <c r="E122" s="72">
        <f ca="1">(C10)+(E10-C10)*IF(RAND()&lt;((D10)-(C10))/((E10)-(C10)),SQRT(RAND()*((D10)-(C10))/((E10)-(C10))),1-SQRT(RAND()*((E10)-(D10))/((E10)-(C10))))</f>
        <v>3315151.9290369805</v>
      </c>
      <c r="F122" s="71">
        <f ca="1">(C11)+(E11-C11)*IF(RAND()&lt;((D11)-(C11))/((E11)-(C11)),SQRT(RAND()*((D11)-(C11))/((E11)-(C11))),1-SQRT(RAND()*((E11)-(D11))/((E11)-(C11))))</f>
        <v>2.1887598255223201E-2</v>
      </c>
      <c r="G122" s="71">
        <f ca="1">(C12)+(E12-C12)*IF(RAND()&lt;((D12)-(C12))/((E12)-(C12)),SQRT(RAND()*((D12)-(C12))/((E12)-(C12))),1-SQRT(RAND()*((E12)-(D12))/((E12)-(C12))))</f>
        <v>0.12814496522599286</v>
      </c>
      <c r="H122" s="72">
        <f t="shared" ca="1" si="2"/>
        <v>289510915.82567638</v>
      </c>
      <c r="I122" s="73">
        <f t="shared" ca="1" si="3"/>
        <v>284.53082049735264</v>
      </c>
    </row>
    <row r="123" spans="1:9" ht="16.05" customHeight="1" x14ac:dyDescent="0.3">
      <c r="A123" s="66">
        <v>107</v>
      </c>
      <c r="B123" s="67">
        <f ca="1">(C7)+(E7-C7)*IF(RAND()&lt;((D7)-(C7))/((E7)-(C7)),SQRT(RAND()*((D7)-(C7))/((E7)-(C7))),1-SQRT(RAND()*((E7)-(D7))/((E7)-(C7))))</f>
        <v>0.23125375507577156</v>
      </c>
      <c r="C123" s="67">
        <f ca="1">(C8)+(E8-C8)*IF(RAND()&lt;((D8)-(C8))/((E8)-(C8)),SQRT(RAND()*((D8)-(C8))/((E8)-(C8))),1-SQRT(RAND()*((E8)-(D8))/((E8)-(C8))))</f>
        <v>0.7694891558901269</v>
      </c>
      <c r="D123" s="68">
        <f ca="1">(C9)+(E9-C9)*IF(RAND()&lt;((D9)-(C9))/((E9)-(C9)),SQRT(RAND()*((D9)-(C9))/((E9)-(C9))),1-SQRT(RAND()*((E9)-(D9))/((E9)-(C9))))</f>
        <v>1149083.1055771676</v>
      </c>
      <c r="E123" s="68">
        <f ca="1">(C10)+(E10-C10)*IF(RAND()&lt;((D10)-(C10))/((E10)-(C10)),SQRT(RAND()*((D10)-(C10))/((E10)-(C10))),1-SQRT(RAND()*((E10)-(D10))/((E10)-(C10))))</f>
        <v>2941130.8919320893</v>
      </c>
      <c r="F123" s="67">
        <f ca="1">(C11)+(E11-C11)*IF(RAND()&lt;((D11)-(C11))/((E11)-(C11)),SQRT(RAND()*((D11)-(C11))/((E11)-(C11))),1-SQRT(RAND()*((E11)-(D11))/((E11)-(C11))))</f>
        <v>9.8894770296152727E-3</v>
      </c>
      <c r="G123" s="67">
        <f ca="1">(C12)+(E12-C12)*IF(RAND()&lt;((D12)-(C12))/((E12)-(C12)),SQRT(RAND()*((D12)-(C12))/((E12)-(C12))),1-SQRT(RAND()*((E12)-(D12))/((E12)-(C12))))</f>
        <v>0.14909434765684806</v>
      </c>
      <c r="H123" s="68">
        <f t="shared" ca="1" si="2"/>
        <v>252679330.52962488</v>
      </c>
      <c r="I123" s="69">
        <f t="shared" ca="1" si="3"/>
        <v>291.35967514490687</v>
      </c>
    </row>
    <row r="124" spans="1:9" ht="16.05" customHeight="1" x14ac:dyDescent="0.3">
      <c r="A124" s="70">
        <v>108</v>
      </c>
      <c r="B124" s="71">
        <f ca="1">(C7)+(E7-C7)*IF(RAND()&lt;((D7)-(C7))/((E7)-(C7)),SQRT(RAND()*((D7)-(C7))/((E7)-(C7))),1-SQRT(RAND()*((E7)-(D7))/((E7)-(C7))))</f>
        <v>0.24372238689850376</v>
      </c>
      <c r="C124" s="71">
        <f ca="1">(C8)+(E8-C8)*IF(RAND()&lt;((D8)-(C8))/((E8)-(C8)),SQRT(RAND()*((D8)-(C8))/((E8)-(C8))),1-SQRT(RAND()*((E8)-(D8))/((E8)-(C8))))</f>
        <v>0.66002181184201314</v>
      </c>
      <c r="D124" s="72">
        <f ca="1">(C9)+(E9-C9)*IF(RAND()&lt;((D9)-(C9))/((E9)-(C9)),SQRT(RAND()*((D9)-(C9))/((E9)-(C9))),1-SQRT(RAND()*((E9)-(D9))/((E9)-(C9))))</f>
        <v>1289238.2554328484</v>
      </c>
      <c r="E124" s="72">
        <f ca="1">(C10)+(E10-C10)*IF(RAND()&lt;((D10)-(C10))/((E10)-(C10)),SQRT(RAND()*((D10)-(C10))/((E10)-(C10))),1-SQRT(RAND()*((E10)-(D10))/((E10)-(C10))))</f>
        <v>3203914.2013696623</v>
      </c>
      <c r="F124" s="71">
        <f ca="1">(C11)+(E11-C11)*IF(RAND()&lt;((D11)-(C11))/((E11)-(C11)),SQRT(RAND()*((D11)-(C11))/((E11)-(C11))),1-SQRT(RAND()*((E11)-(D11))/((E11)-(C11))))</f>
        <v>1.2464617104833313E-2</v>
      </c>
      <c r="G124" s="71">
        <f ca="1">(C12)+(E12-C12)*IF(RAND()&lt;((D12)-(C12))/((E12)-(C12)),SQRT(RAND()*((D12)-(C12))/((E12)-(C12))),1-SQRT(RAND()*((E12)-(D12))/((E12)-(C12))))</f>
        <v>0.14164254550276817</v>
      </c>
      <c r="H124" s="72">
        <f t="shared" ca="1" si="2"/>
        <v>251541595.43344963</v>
      </c>
      <c r="I124" s="73">
        <f t="shared" ca="1" si="3"/>
        <v>258.66490042978847</v>
      </c>
    </row>
    <row r="125" spans="1:9" ht="16.05" customHeight="1" x14ac:dyDescent="0.3">
      <c r="A125" s="66">
        <v>109</v>
      </c>
      <c r="B125" s="67">
        <f ca="1">(C7)+(E7-C7)*IF(RAND()&lt;((D7)-(C7))/((E7)-(C7)),SQRT(RAND()*((D7)-(C7))/((E7)-(C7))),1-SQRT(RAND()*((E7)-(D7))/((E7)-(C7))))</f>
        <v>0.25324126154793292</v>
      </c>
      <c r="C125" s="67">
        <f ca="1">(C8)+(E8-C8)*IF(RAND()&lt;((D8)-(C8))/((E8)-(C8)),SQRT(RAND()*((D8)-(C8))/((E8)-(C8))),1-SQRT(RAND()*((E8)-(D8))/((E8)-(C8))))</f>
        <v>0.68093074932438646</v>
      </c>
      <c r="D125" s="68">
        <f ca="1">(C9)+(E9-C9)*IF(RAND()&lt;((D9)-(C9))/((E9)-(C9)),SQRT(RAND()*((D9)-(C9))/((E9)-(C9))),1-SQRT(RAND()*((E9)-(D9))/((E9)-(C9))))</f>
        <v>1101973.2493572715</v>
      </c>
      <c r="E125" s="68">
        <f ca="1">(C10)+(E10-C10)*IF(RAND()&lt;((D10)-(C10))/((E10)-(C10)),SQRT(RAND()*((D10)-(C10))/((E10)-(C10))),1-SQRT(RAND()*((E10)-(D10))/((E10)-(C10))))</f>
        <v>2965966.0343608381</v>
      </c>
      <c r="F125" s="67">
        <f ca="1">(C11)+(E11-C11)*IF(RAND()&lt;((D11)-(C11))/((E11)-(C11)),SQRT(RAND()*((D11)-(C11))/((E11)-(C11))),1-SQRT(RAND()*((E11)-(D11))/((E11)-(C11))))</f>
        <v>7.1560753594151925E-3</v>
      </c>
      <c r="G125" s="67">
        <f ca="1">(C12)+(E12-C12)*IF(RAND()&lt;((D12)-(C12))/((E12)-(C12)),SQRT(RAND()*((D12)-(C12))/((E12)-(C12))),1-SQRT(RAND()*((E12)-(D12))/((E12)-(C12))))</f>
        <v>0.17716480854360867</v>
      </c>
      <c r="H125" s="68">
        <f t="shared" ca="1" si="2"/>
        <v>226911626.26889855</v>
      </c>
      <c r="I125" s="69">
        <f t="shared" ca="1" si="3"/>
        <v>272.91684791323252</v>
      </c>
    </row>
    <row r="126" spans="1:9" ht="16.05" customHeight="1" x14ac:dyDescent="0.3">
      <c r="A126" s="70">
        <v>110</v>
      </c>
      <c r="B126" s="71">
        <f ca="1">(C7)+(E7-C7)*IF(RAND()&lt;((D7)-(C7))/((E7)-(C7)),SQRT(RAND()*((D7)-(C7))/((E7)-(C7))),1-SQRT(RAND()*((E7)-(D7))/((E7)-(C7))))</f>
        <v>0.27997098171777757</v>
      </c>
      <c r="C126" s="71">
        <f ca="1">(C8)+(E8-C8)*IF(RAND()&lt;((D8)-(C8))/((E8)-(C8)),SQRT(RAND()*((D8)-(C8))/((E8)-(C8))),1-SQRT(RAND()*((E8)-(D8))/((E8)-(C8))))</f>
        <v>0.63668690942032691</v>
      </c>
      <c r="D126" s="72">
        <f ca="1">(C9)+(E9-C9)*IF(RAND()&lt;((D9)-(C9))/((E9)-(C9)),SQRT(RAND()*((D9)-(C9))/((E9)-(C9))),1-SQRT(RAND()*((E9)-(D9))/((E9)-(C9))))</f>
        <v>1307586.064320422</v>
      </c>
      <c r="E126" s="72">
        <f ca="1">(C10)+(E10-C10)*IF(RAND()&lt;((D10)-(C10))/((E10)-(C10)),SQRT(RAND()*((D10)-(C10))/((E10)-(C10))),1-SQRT(RAND()*((E10)-(D10))/((E10)-(C10))))</f>
        <v>3319019.8916391176</v>
      </c>
      <c r="F126" s="71">
        <f ca="1">(C11)+(E11-C11)*IF(RAND()&lt;((D11)-(C11))/((E11)-(C11)),SQRT(RAND()*((D11)-(C11))/((E11)-(C11))),1-SQRT(RAND()*((E11)-(D11))/((E11)-(C11))))</f>
        <v>1.4504016235378113E-2</v>
      </c>
      <c r="G126" s="71">
        <f ca="1">(C12)+(E12-C12)*IF(RAND()&lt;((D12)-(C12))/((E12)-(C12)),SQRT(RAND()*((D12)-(C12))/((E12)-(C12))),1-SQRT(RAND()*((E12)-(D12))/((E12)-(C12))))</f>
        <v>0.17313875795621808</v>
      </c>
      <c r="H126" s="72">
        <f t="shared" ca="1" si="2"/>
        <v>284728066.54453266</v>
      </c>
      <c r="I126" s="73">
        <f t="shared" ca="1" si="3"/>
        <v>288.52970613032664</v>
      </c>
    </row>
    <row r="127" spans="1:9" ht="16.05" customHeight="1" x14ac:dyDescent="0.3">
      <c r="A127" s="66">
        <v>111</v>
      </c>
      <c r="B127" s="67">
        <f ca="1">(C7)+(E7-C7)*IF(RAND()&lt;((D7)-(C7))/((E7)-(C7)),SQRT(RAND()*((D7)-(C7))/((E7)-(C7))),1-SQRT(RAND()*((E7)-(D7))/((E7)-(C7))))</f>
        <v>0.30044448261985446</v>
      </c>
      <c r="C127" s="67">
        <f ca="1">(C8)+(E8-C8)*IF(RAND()&lt;((D8)-(C8))/((E8)-(C8)),SQRT(RAND()*((D8)-(C8))/((E8)-(C8))),1-SQRT(RAND()*((E8)-(D8))/((E8)-(C8))))</f>
        <v>0.78410449102761159</v>
      </c>
      <c r="D127" s="68">
        <f ca="1">(C9)+(E9-C9)*IF(RAND()&lt;((D9)-(C9))/((E9)-(C9)),SQRT(RAND()*((D9)-(C9))/((E9)-(C9))),1-SQRT(RAND()*((E9)-(D9))/((E9)-(C9))))</f>
        <v>1078678.2058445241</v>
      </c>
      <c r="E127" s="68">
        <f ca="1">(C10)+(E10-C10)*IF(RAND()&lt;((D10)-(C10))/((E10)-(C10)),SQRT(RAND()*((D10)-(C10))/((E10)-(C10))),1-SQRT(RAND()*((E10)-(D10))/((E10)-(C10))))</f>
        <v>3038272.2721783426</v>
      </c>
      <c r="F127" s="67">
        <f ca="1">(C11)+(E11-C11)*IF(RAND()&lt;((D11)-(C11))/((E11)-(C11)),SQRT(RAND()*((D11)-(C11))/((E11)-(C11))),1-SQRT(RAND()*((E11)-(D11))/((E11)-(C11))))</f>
        <v>1.3986656218792354E-2</v>
      </c>
      <c r="G127" s="67">
        <f ca="1">(C12)+(E12-C12)*IF(RAND()&lt;((D12)-(C12))/((E12)-(C12)),SQRT(RAND()*((D12)-(C12))/((E12)-(C12))),1-SQRT(RAND()*((E12)-(D12))/((E12)-(C12))))</f>
        <v>0.17683106086128167</v>
      </c>
      <c r="H127" s="68">
        <f t="shared" ca="1" si="2"/>
        <v>344655265.29503131</v>
      </c>
      <c r="I127" s="69">
        <f t="shared" ca="1" si="3"/>
        <v>422.75695766634186</v>
      </c>
    </row>
    <row r="128" spans="1:9" ht="16.05" customHeight="1" x14ac:dyDescent="0.3">
      <c r="A128" s="70">
        <v>112</v>
      </c>
      <c r="B128" s="71">
        <f ca="1">(C7)+(E7-C7)*IF(RAND()&lt;((D7)-(C7))/((E7)-(C7)),SQRT(RAND()*((D7)-(C7))/((E7)-(C7))),1-SQRT(RAND()*((E7)-(D7))/((E7)-(C7))))</f>
        <v>0.28723272668257016</v>
      </c>
      <c r="C128" s="71">
        <f ca="1">(C8)+(E8-C8)*IF(RAND()&lt;((D8)-(C8))/((E8)-(C8)),SQRT(RAND()*((D8)-(C8))/((E8)-(C8))),1-SQRT(RAND()*((E8)-(D8))/((E8)-(C8))))</f>
        <v>0.73873226956220606</v>
      </c>
      <c r="D128" s="72">
        <f ca="1">(C9)+(E9-C9)*IF(RAND()&lt;((D9)-(C9))/((E9)-(C9)),SQRT(RAND()*((D9)-(C9))/((E9)-(C9))),1-SQRT(RAND()*((E9)-(D9))/((E9)-(C9))))</f>
        <v>1106852.2385367525</v>
      </c>
      <c r="E128" s="72">
        <f ca="1">(C10)+(E10-C10)*IF(RAND()&lt;((D10)-(C10))/((E10)-(C10)),SQRT(RAND()*((D10)-(C10))/((E10)-(C10))),1-SQRT(RAND()*((E10)-(D10))/((E10)-(C10))))</f>
        <v>4567929.2711624233</v>
      </c>
      <c r="F128" s="71">
        <f ca="1">(C11)+(E11-C11)*IF(RAND()&lt;((D11)-(C11))/((E11)-(C11)),SQRT(RAND()*((D11)-(C11))/((E11)-(C11))),1-SQRT(RAND()*((E11)-(D11))/((E11)-(C11))))</f>
        <v>2.5442977846319031E-2</v>
      </c>
      <c r="G128" s="71">
        <f ca="1">(C12)+(E12-C12)*IF(RAND()&lt;((D12)-(C12))/((E12)-(C12)),SQRT(RAND()*((D12)-(C12))/((E12)-(C12))),1-SQRT(RAND()*((E12)-(D12))/((E12)-(C12))))</f>
        <v>0.13373828268663746</v>
      </c>
      <c r="H128" s="72">
        <f t="shared" ca="1" si="2"/>
        <v>396067072.09929949</v>
      </c>
      <c r="I128" s="73">
        <f t="shared" ca="1" si="3"/>
        <v>473.29479504957874</v>
      </c>
    </row>
    <row r="129" spans="1:9" ht="16.05" customHeight="1" x14ac:dyDescent="0.3">
      <c r="A129" s="66">
        <v>113</v>
      </c>
      <c r="B129" s="67">
        <f ca="1">(C7)+(E7-C7)*IF(RAND()&lt;((D7)-(C7))/((E7)-(C7)),SQRT(RAND()*((D7)-(C7))/((E7)-(C7))),1-SQRT(RAND()*((E7)-(D7))/((E7)-(C7))))</f>
        <v>0.3948755803357662</v>
      </c>
      <c r="C129" s="67">
        <f ca="1">(C8)+(E8-C8)*IF(RAND()&lt;((D8)-(C8))/((E8)-(C8)),SQRT(RAND()*((D8)-(C8))/((E8)-(C8))),1-SQRT(RAND()*((E8)-(D8))/((E8)-(C8))))</f>
        <v>0.68067727375572606</v>
      </c>
      <c r="D129" s="68">
        <f ca="1">(C9)+(E9-C9)*IF(RAND()&lt;((D9)-(C9))/((E9)-(C9)),SQRT(RAND()*((D9)-(C9))/((E9)-(C9))),1-SQRT(RAND()*((E9)-(D9))/((E9)-(C9))))</f>
        <v>1309226.4554403014</v>
      </c>
      <c r="E129" s="68">
        <f ca="1">(C10)+(E10-C10)*IF(RAND()&lt;((D10)-(C10))/((E10)-(C10)),SQRT(RAND()*((D10)-(C10))/((E10)-(C10))),1-SQRT(RAND()*((E10)-(D10))/((E10)-(C10))))</f>
        <v>3602880.6816869453</v>
      </c>
      <c r="F129" s="67">
        <f ca="1">(C11)+(E11-C11)*IF(RAND()&lt;((D11)-(C11))/((E11)-(C11)),SQRT(RAND()*((D11)-(C11))/((E11)-(C11))),1-SQRT(RAND()*((E11)-(D11))/((E11)-(C11))))</f>
        <v>9.8313440098623823E-3</v>
      </c>
      <c r="G129" s="67">
        <f ca="1">(C12)+(E12-C12)*IF(RAND()&lt;((D12)-(C12))/((E12)-(C12)),SQRT(RAND()*((D12)-(C12))/((E12)-(C12))),1-SQRT(RAND()*((E12)-(D12))/((E12)-(C12))))</f>
        <v>0.13978145943850728</v>
      </c>
      <c r="H129" s="68">
        <f t="shared" ca="1" si="2"/>
        <v>348416143.35629082</v>
      </c>
      <c r="I129" s="69">
        <f t="shared" ca="1" si="3"/>
        <v>352.33275016322057</v>
      </c>
    </row>
    <row r="130" spans="1:9" ht="16.05" customHeight="1" x14ac:dyDescent="0.3">
      <c r="A130" s="70">
        <v>114</v>
      </c>
      <c r="B130" s="71">
        <f ca="1">(C7)+(E7-C7)*IF(RAND()&lt;((D7)-(C7))/((E7)-(C7)),SQRT(RAND()*((D7)-(C7))/((E7)-(C7))),1-SQRT(RAND()*((E7)-(D7))/((E7)-(C7))))</f>
        <v>0.19706731840618469</v>
      </c>
      <c r="C130" s="71">
        <f ca="1">(C8)+(E8-C8)*IF(RAND()&lt;((D8)-(C8))/((E8)-(C8)),SQRT(RAND()*((D8)-(C8))/((E8)-(C8))),1-SQRT(RAND()*((E8)-(D8))/((E8)-(C8))))</f>
        <v>0.67202940679870016</v>
      </c>
      <c r="D130" s="72">
        <f ca="1">(C9)+(E9-C9)*IF(RAND()&lt;((D9)-(C9))/((E9)-(C9)),SQRT(RAND()*((D9)-(C9))/((E9)-(C9))),1-SQRT(RAND()*((E9)-(D9))/((E9)-(C9))))</f>
        <v>1081642.9581120929</v>
      </c>
      <c r="E130" s="72">
        <f ca="1">(C10)+(E10-C10)*IF(RAND()&lt;((D10)-(C10))/((E10)-(C10)),SQRT(RAND()*((D10)-(C10))/((E10)-(C10))),1-SQRT(RAND()*((E10)-(D10))/((E10)-(C10))))</f>
        <v>3871186.8586790389</v>
      </c>
      <c r="F130" s="71">
        <f ca="1">(C11)+(E11-C11)*IF(RAND()&lt;((D11)-(C11))/((E11)-(C11)),SQRT(RAND()*((D11)-(C11))/((E11)-(C11))),1-SQRT(RAND()*((E11)-(D11))/((E11)-(C11))))</f>
        <v>1.5658344438363662E-2</v>
      </c>
      <c r="G130" s="71">
        <f ca="1">(C12)+(E12-C12)*IF(RAND()&lt;((D12)-(C12))/((E12)-(C12)),SQRT(RAND()*((D12)-(C12))/((E12)-(C12))),1-SQRT(RAND()*((E12)-(D12))/((E12)-(C12))))</f>
        <v>0.21217105573854789</v>
      </c>
      <c r="H130" s="72">
        <f t="shared" ca="1" si="2"/>
        <v>241343551.00330037</v>
      </c>
      <c r="I130" s="73">
        <f t="shared" ca="1" si="3"/>
        <v>295.62044928309274</v>
      </c>
    </row>
    <row r="131" spans="1:9" ht="16.05" customHeight="1" x14ac:dyDescent="0.3">
      <c r="A131" s="66">
        <v>115</v>
      </c>
      <c r="B131" s="67">
        <f ca="1">(C7)+(E7-C7)*IF(RAND()&lt;((D7)-(C7))/((E7)-(C7)),SQRT(RAND()*((D7)-(C7))/((E7)-(C7))),1-SQRT(RAND()*((E7)-(D7))/((E7)-(C7))))</f>
        <v>0.22265199308509931</v>
      </c>
      <c r="C131" s="67">
        <f ca="1">(C8)+(E8-C8)*IF(RAND()&lt;((D8)-(C8))/((E8)-(C8)),SQRT(RAND()*((D8)-(C8))/((E8)-(C8))),1-SQRT(RAND()*((E8)-(D8))/((E8)-(C8))))</f>
        <v>0.83674367247456316</v>
      </c>
      <c r="D131" s="68">
        <f ca="1">(C9)+(E9-C9)*IF(RAND()&lt;((D9)-(C9))/((E9)-(C9)),SQRT(RAND()*((D9)-(C9))/((E9)-(C9))),1-SQRT(RAND()*((E9)-(D9))/((E9)-(C9))))</f>
        <v>1302411.8139506928</v>
      </c>
      <c r="E131" s="68">
        <f ca="1">(C10)+(E10-C10)*IF(RAND()&lt;((D10)-(C10))/((E10)-(C10)),SQRT(RAND()*((D10)-(C10))/((E10)-(C10))),1-SQRT(RAND()*((E10)-(D10))/((E10)-(C10))))</f>
        <v>3072703.6966858199</v>
      </c>
      <c r="F131" s="67">
        <f ca="1">(C11)+(E11-C11)*IF(RAND()&lt;((D11)-(C11))/((E11)-(C11)),SQRT(RAND()*((D11)-(C11))/((E11)-(C11))),1-SQRT(RAND()*((E11)-(D11))/((E11)-(C11))))</f>
        <v>1.2300438398657828E-2</v>
      </c>
      <c r="G131" s="67">
        <f ca="1">(C12)+(E12-C12)*IF(RAND()&lt;((D12)-(C12))/((E12)-(C12)),SQRT(RAND()*((D12)-(C12))/((E12)-(C12))),1-SQRT(RAND()*((E12)-(D12))/((E12)-(C12))))</f>
        <v>0.14155768200499427</v>
      </c>
      <c r="H131" s="68">
        <f t="shared" ca="1" si="2"/>
        <v>278519026.59555399</v>
      </c>
      <c r="I131" s="69">
        <f t="shared" ca="1" si="3"/>
        <v>283.38268178356634</v>
      </c>
    </row>
    <row r="132" spans="1:9" ht="16.05" customHeight="1" x14ac:dyDescent="0.3">
      <c r="A132" s="70">
        <v>116</v>
      </c>
      <c r="B132" s="71">
        <f ca="1">(C7)+(E7-C7)*IF(RAND()&lt;((D7)-(C7))/((E7)-(C7)),SQRT(RAND()*((D7)-(C7))/((E7)-(C7))),1-SQRT(RAND()*((E7)-(D7))/((E7)-(C7))))</f>
        <v>0.22595799343560763</v>
      </c>
      <c r="C132" s="71">
        <f ca="1">(C8)+(E8-C8)*IF(RAND()&lt;((D8)-(C8))/((E8)-(C8)),SQRT(RAND()*((D8)-(C8))/((E8)-(C8))),1-SQRT(RAND()*((E8)-(D8))/((E8)-(C8))))</f>
        <v>0.63554355142873831</v>
      </c>
      <c r="D132" s="72">
        <f ca="1">(C9)+(E9-C9)*IF(RAND()&lt;((D9)-(C9))/((E9)-(C9)),SQRT(RAND()*((D9)-(C9))/((E9)-(C9))),1-SQRT(RAND()*((E9)-(D9))/((E9)-(C9))))</f>
        <v>1238434.8826002076</v>
      </c>
      <c r="E132" s="72">
        <f ca="1">(C10)+(E10-C10)*IF(RAND()&lt;((D10)-(C10))/((E10)-(C10)),SQRT(RAND()*((D10)-(C10))/((E10)-(C10))),1-SQRT(RAND()*((E10)-(D10))/((E10)-(C10))))</f>
        <v>4025954.4535807194</v>
      </c>
      <c r="F132" s="71">
        <f ca="1">(C11)+(E11-C11)*IF(RAND()&lt;((D11)-(C11))/((E11)-(C11)),SQRT(RAND()*((D11)-(C11))/((E11)-(C11))),1-SQRT(RAND()*((E11)-(D11))/((E11)-(C11))))</f>
        <v>1.015046556590574E-2</v>
      </c>
      <c r="G132" s="71">
        <f ca="1">(C12)+(E12-C12)*IF(RAND()&lt;((D12)-(C12))/((E12)-(C12)),SQRT(RAND()*((D12)-(C12))/((E12)-(C12))),1-SQRT(RAND()*((E12)-(D12))/((E12)-(C12))))</f>
        <v>0.16321196703751001</v>
      </c>
      <c r="H132" s="72">
        <f t="shared" ca="1" si="2"/>
        <v>212999758.77675244</v>
      </c>
      <c r="I132" s="73">
        <f t="shared" ca="1" si="3"/>
        <v>228.17306170629871</v>
      </c>
    </row>
    <row r="133" spans="1:9" ht="16.05" customHeight="1" x14ac:dyDescent="0.3">
      <c r="A133" s="66">
        <v>117</v>
      </c>
      <c r="B133" s="67">
        <f ca="1">(C7)+(E7-C7)*IF(RAND()&lt;((D7)-(C7))/((E7)-(C7)),SQRT(RAND()*((D7)-(C7))/((E7)-(C7))),1-SQRT(RAND()*((E7)-(D7))/((E7)-(C7))))</f>
        <v>0.2769862401102664</v>
      </c>
      <c r="C133" s="67">
        <f ca="1">(C8)+(E8-C8)*IF(RAND()&lt;((D8)-(C8))/((E8)-(C8)),SQRT(RAND()*((D8)-(C8))/((E8)-(C8))),1-SQRT(RAND()*((E8)-(D8))/((E8)-(C8))))</f>
        <v>0.64411245170464571</v>
      </c>
      <c r="D133" s="68">
        <f ca="1">(C9)+(E9-C9)*IF(RAND()&lt;((D9)-(C9))/((E9)-(C9)),SQRT(RAND()*((D9)-(C9))/((E9)-(C9))),1-SQRT(RAND()*((E9)-(D9))/((E9)-(C9))))</f>
        <v>1169522.8231109842</v>
      </c>
      <c r="E133" s="68">
        <f ca="1">(C10)+(E10-C10)*IF(RAND()&lt;((D10)-(C10))/((E10)-(C10)),SQRT(RAND()*((D10)-(C10))/((E10)-(C10))),1-SQRT(RAND()*((E10)-(D10))/((E10)-(C10))))</f>
        <v>3159531.1477187434</v>
      </c>
      <c r="F133" s="67">
        <f ca="1">(C11)+(E11-C11)*IF(RAND()&lt;((D11)-(C11))/((E11)-(C11)),SQRT(RAND()*((D11)-(C11))/((E11)-(C11))),1-SQRT(RAND()*((E11)-(D11))/((E11)-(C11))))</f>
        <v>6.275129772486422E-3</v>
      </c>
      <c r="G133" s="67">
        <f ca="1">(C12)+(E12-C12)*IF(RAND()&lt;((D12)-(C12))/((E12)-(C12)),SQRT(RAND()*((D12)-(C12))/((E12)-(C12))),1-SQRT(RAND()*((E12)-(D12))/((E12)-(C12))))</f>
        <v>0.17172524089670282</v>
      </c>
      <c r="H133" s="68">
        <f t="shared" ca="1" si="2"/>
        <v>226247615.12469259</v>
      </c>
      <c r="I133" s="69">
        <f t="shared" ca="1" si="3"/>
        <v>256.480963409504</v>
      </c>
    </row>
    <row r="134" spans="1:9" ht="16.05" customHeight="1" x14ac:dyDescent="0.3">
      <c r="A134" s="70">
        <v>118</v>
      </c>
      <c r="B134" s="71">
        <f ca="1">(C7)+(E7-C7)*IF(RAND()&lt;((D7)-(C7))/((E7)-(C7)),SQRT(RAND()*((D7)-(C7))/((E7)-(C7))),1-SQRT(RAND()*((E7)-(D7))/((E7)-(C7))))</f>
        <v>0.29331385813042776</v>
      </c>
      <c r="C134" s="71">
        <f ca="1">(C8)+(E8-C8)*IF(RAND()&lt;((D8)-(C8))/((E8)-(C8)),SQRT(RAND()*((D8)-(C8))/((E8)-(C8))),1-SQRT(RAND()*((E8)-(D8))/((E8)-(C8))))</f>
        <v>0.75102181964921577</v>
      </c>
      <c r="D134" s="72">
        <f ca="1">(C9)+(E9-C9)*IF(RAND()&lt;((D9)-(C9))/((E9)-(C9)),SQRT(RAND()*((D9)-(C9))/((E9)-(C9))),1-SQRT(RAND()*((E9)-(D9))/((E9)-(C9))))</f>
        <v>1346401.8875523757</v>
      </c>
      <c r="E134" s="72">
        <f ca="1">(C10)+(E10-C10)*IF(RAND()&lt;((D10)-(C10))/((E10)-(C10)),SQRT(RAND()*((D10)-(C10))/((E10)-(C10))),1-SQRT(RAND()*((E10)-(D10))/((E10)-(C10))))</f>
        <v>3262329.0247993544</v>
      </c>
      <c r="F134" s="71">
        <f ca="1">(C11)+(E11-C11)*IF(RAND()&lt;((D11)-(C11))/((E11)-(C11)),SQRT(RAND()*((D11)-(C11))/((E11)-(C11))),1-SQRT(RAND()*((E11)-(D11))/((E11)-(C11))))</f>
        <v>8.0491961434275231E-3</v>
      </c>
      <c r="G134" s="71">
        <f ca="1">(C12)+(E12-C12)*IF(RAND()&lt;((D12)-(C12))/((E12)-(C12)),SQRT(RAND()*((D12)-(C12))/((E12)-(C12))),1-SQRT(RAND()*((E12)-(D12))/((E12)-(C12))))</f>
        <v>0.17310566500144164</v>
      </c>
      <c r="H134" s="72">
        <f t="shared" ca="1" si="2"/>
        <v>284043610.35558677</v>
      </c>
      <c r="I134" s="73">
        <f t="shared" ca="1" si="3"/>
        <v>279.57910253149794</v>
      </c>
    </row>
    <row r="135" spans="1:9" ht="16.05" customHeight="1" x14ac:dyDescent="0.3">
      <c r="A135" s="66">
        <v>119</v>
      </c>
      <c r="B135" s="67">
        <f ca="1">(C7)+(E7-C7)*IF(RAND()&lt;((D7)-(C7))/((E7)-(C7)),SQRT(RAND()*((D7)-(C7))/((E7)-(C7))),1-SQRT(RAND()*((E7)-(D7))/((E7)-(C7))))</f>
        <v>0.28237439970316924</v>
      </c>
      <c r="C135" s="67">
        <f ca="1">(C8)+(E8-C8)*IF(RAND()&lt;((D8)-(C8))/((E8)-(C8)),SQRT(RAND()*((D8)-(C8))/((E8)-(C8))),1-SQRT(RAND()*((E8)-(D8))/((E8)-(C8))))</f>
        <v>0.57864315048764392</v>
      </c>
      <c r="D135" s="68">
        <f ca="1">(C9)+(E9-C9)*IF(RAND()&lt;((D9)-(C9))/((E9)-(C9)),SQRT(RAND()*((D9)-(C9))/((E9)-(C9))),1-SQRT(RAND()*((E9)-(D9))/((E9)-(C9))))</f>
        <v>1064612.9376149336</v>
      </c>
      <c r="E135" s="68">
        <f ca="1">(C10)+(E10-C10)*IF(RAND()&lt;((D10)-(C10))/((E10)-(C10)),SQRT(RAND()*((D10)-(C10))/((E10)-(C10))),1-SQRT(RAND()*((E10)-(D10))/((E10)-(C10))))</f>
        <v>3973644.5369650628</v>
      </c>
      <c r="F135" s="67">
        <f ca="1">(C11)+(E11-C11)*IF(RAND()&lt;((D11)-(C11))/((E11)-(C11)),SQRT(RAND()*((D11)-(C11))/((E11)-(C11))),1-SQRT(RAND()*((E11)-(D11))/((E11)-(C11))))</f>
        <v>1.7154744407499496E-2</v>
      </c>
      <c r="G135" s="67">
        <f ca="1">(C12)+(E12-C12)*IF(RAND()&lt;((D12)-(C12))/((E12)-(C12)),SQRT(RAND()*((D12)-(C12))/((E12)-(C12))),1-SQRT(RAND()*((E12)-(D12))/((E12)-(C12))))</f>
        <v>0.19565164954007086</v>
      </c>
      <c r="H135" s="68">
        <f t="shared" ca="1" si="2"/>
        <v>285454690.07542741</v>
      </c>
      <c r="I135" s="69">
        <f t="shared" ca="1" si="3"/>
        <v>354.97910866665103</v>
      </c>
    </row>
    <row r="136" spans="1:9" ht="16.05" customHeight="1" x14ac:dyDescent="0.3">
      <c r="A136" s="70">
        <v>120</v>
      </c>
      <c r="B136" s="71">
        <f ca="1">(C7)+(E7-C7)*IF(RAND()&lt;((D7)-(C7))/((E7)-(C7)),SQRT(RAND()*((D7)-(C7))/((E7)-(C7))),1-SQRT(RAND()*((E7)-(D7))/((E7)-(C7))))</f>
        <v>0.30120190906324823</v>
      </c>
      <c r="C136" s="71">
        <f ca="1">(C8)+(E8-C8)*IF(RAND()&lt;((D8)-(C8))/((E8)-(C8)),SQRT(RAND()*((D8)-(C8))/((E8)-(C8))),1-SQRT(RAND()*((E8)-(D8))/((E8)-(C8))))</f>
        <v>0.75459298664619689</v>
      </c>
      <c r="D136" s="72">
        <f ca="1">(C9)+(E9-C9)*IF(RAND()&lt;((D9)-(C9))/((E9)-(C9)),SQRT(RAND()*((D9)-(C9))/((E9)-(C9))),1-SQRT(RAND()*((E9)-(D9))/((E9)-(C9))))</f>
        <v>1171213.1741301406</v>
      </c>
      <c r="E136" s="72">
        <f ca="1">(C10)+(E10-C10)*IF(RAND()&lt;((D10)-(C10))/((E10)-(C10)),SQRT(RAND()*((D10)-(C10))/((E10)-(C10))),1-SQRT(RAND()*((E10)-(D10))/((E10)-(C10))))</f>
        <v>3983116.741593522</v>
      </c>
      <c r="F136" s="71">
        <f ca="1">(C11)+(E11-C11)*IF(RAND()&lt;((D11)-(C11))/((E11)-(C11)),SQRT(RAND()*((D11)-(C11))/((E11)-(C11))),1-SQRT(RAND()*((E11)-(D11))/((E11)-(C11))))</f>
        <v>5.9808954937849088E-3</v>
      </c>
      <c r="G136" s="71">
        <f ca="1">(C12)+(E12-C12)*IF(RAND()&lt;((D12)-(C12))/((E12)-(C12)),SQRT(RAND()*((D12)-(C12))/((E12)-(C12))),1-SQRT(RAND()*((E12)-(D12))/((E12)-(C12))))</f>
        <v>0.14599659372561369</v>
      </c>
      <c r="H136" s="72">
        <f t="shared" ca="1" si="2"/>
        <v>274173568.27317309</v>
      </c>
      <c r="I136" s="73">
        <f t="shared" ca="1" si="3"/>
        <v>310.08556469544698</v>
      </c>
    </row>
    <row r="137" spans="1:9" ht="16.05" customHeight="1" x14ac:dyDescent="0.3">
      <c r="A137" s="66">
        <v>121</v>
      </c>
      <c r="B137" s="67">
        <f ca="1">(C7)+(E7-C7)*IF(RAND()&lt;((D7)-(C7))/((E7)-(C7)),SQRT(RAND()*((D7)-(C7))/((E7)-(C7))),1-SQRT(RAND()*((E7)-(D7))/((E7)-(C7))))</f>
        <v>0.25607710754990515</v>
      </c>
      <c r="C137" s="67">
        <f ca="1">(C8)+(E8-C8)*IF(RAND()&lt;((D8)-(C8))/((E8)-(C8)),SQRT(RAND()*((D8)-(C8))/((E8)-(C8))),1-SQRT(RAND()*((E8)-(D8))/((E8)-(C8))))</f>
        <v>0.66356361551952014</v>
      </c>
      <c r="D137" s="68">
        <f ca="1">(C9)+(E9-C9)*IF(RAND()&lt;((D9)-(C9))/((E9)-(C9)),SQRT(RAND()*((D9)-(C9))/((E9)-(C9))),1-SQRT(RAND()*((E9)-(D9))/((E9)-(C9))))</f>
        <v>1203712.0928597911</v>
      </c>
      <c r="E137" s="68">
        <f ca="1">(C10)+(E10-C10)*IF(RAND()&lt;((D10)-(C10))/((E10)-(C10)),SQRT(RAND()*((D10)-(C10))/((E10)-(C10))),1-SQRT(RAND()*((E10)-(D10))/((E10)-(C10))))</f>
        <v>3064710.3327061841</v>
      </c>
      <c r="F137" s="67">
        <f ca="1">(C11)+(E11-C11)*IF(RAND()&lt;((D11)-(C11))/((E11)-(C11)),SQRT(RAND()*((D11)-(C11))/((E11)-(C11))),1-SQRT(RAND()*((E11)-(D11))/((E11)-(C11))))</f>
        <v>2.502588962573167E-2</v>
      </c>
      <c r="G137" s="67">
        <f ca="1">(C12)+(E12-C12)*IF(RAND()&lt;((D12)-(C12))/((E12)-(C12)),SQRT(RAND()*((D12)-(C12))/((E12)-(C12))),1-SQRT(RAND()*((E12)-(D12))/((E12)-(C12))))</f>
        <v>0.14138044777767295</v>
      </c>
      <c r="H137" s="68">
        <f t="shared" ca="1" si="2"/>
        <v>352676142.13217926</v>
      </c>
      <c r="I137" s="69">
        <f t="shared" ca="1" si="3"/>
        <v>387.76969427460403</v>
      </c>
    </row>
    <row r="138" spans="1:9" ht="16.05" customHeight="1" x14ac:dyDescent="0.3">
      <c r="A138" s="70">
        <v>122</v>
      </c>
      <c r="B138" s="71">
        <f ca="1">(C7)+(E7-C7)*IF(RAND()&lt;((D7)-(C7))/((E7)-(C7)),SQRT(RAND()*((D7)-(C7))/((E7)-(C7))),1-SQRT(RAND()*((E7)-(D7))/((E7)-(C7))))</f>
        <v>0.21682531952135523</v>
      </c>
      <c r="C138" s="71">
        <f ca="1">(C8)+(E8-C8)*IF(RAND()&lt;((D8)-(C8))/((E8)-(C8)),SQRT(RAND()*((D8)-(C8))/((E8)-(C8))),1-SQRT(RAND()*((E8)-(D8))/((E8)-(C8))))</f>
        <v>0.60656246245167589</v>
      </c>
      <c r="D138" s="72">
        <f ca="1">(C9)+(E9-C9)*IF(RAND()&lt;((D9)-(C9))/((E9)-(C9)),SQRT(RAND()*((D9)-(C9))/((E9)-(C9))),1-SQRT(RAND()*((E9)-(D9))/((E9)-(C9))))</f>
        <v>1159531.0243895468</v>
      </c>
      <c r="E138" s="72">
        <f ca="1">(C10)+(E10-C10)*IF(RAND()&lt;((D10)-(C10))/((E10)-(C10)),SQRT(RAND()*((D10)-(C10))/((E10)-(C10))),1-SQRT(RAND()*((E10)-(D10))/((E10)-(C10))))</f>
        <v>3998485.5041477284</v>
      </c>
      <c r="F138" s="71">
        <f ca="1">(C11)+(E11-C11)*IF(RAND()&lt;((D11)-(C11))/((E11)-(C11)),SQRT(RAND()*((D11)-(C11))/((E11)-(C11))),1-SQRT(RAND()*((E11)-(D11))/((E11)-(C11))))</f>
        <v>1.3839285662904401E-2</v>
      </c>
      <c r="G138" s="71">
        <f ca="1">(C12)+(E12-C12)*IF(RAND()&lt;((D12)-(C12))/((E12)-(C12)),SQRT(RAND()*((D12)-(C12))/((E12)-(C12))),1-SQRT(RAND()*((E12)-(D12))/((E12)-(C12))))</f>
        <v>0.13748455199329948</v>
      </c>
      <c r="H138" s="72">
        <f t="shared" ca="1" si="2"/>
        <v>226656173.80982843</v>
      </c>
      <c r="I138" s="73">
        <f t="shared" ca="1" si="3"/>
        <v>259.14446339365986</v>
      </c>
    </row>
    <row r="139" spans="1:9" ht="16.05" customHeight="1" x14ac:dyDescent="0.3">
      <c r="A139" s="66">
        <v>123</v>
      </c>
      <c r="B139" s="67">
        <f ca="1">(C7)+(E7-C7)*IF(RAND()&lt;((D7)-(C7))/((E7)-(C7)),SQRT(RAND()*((D7)-(C7))/((E7)-(C7))),1-SQRT(RAND()*((E7)-(D7))/((E7)-(C7))))</f>
        <v>0.31020486826396343</v>
      </c>
      <c r="C139" s="67">
        <f ca="1">(C8)+(E8-C8)*IF(RAND()&lt;((D8)-(C8))/((E8)-(C8)),SQRT(RAND()*((D8)-(C8))/((E8)-(C8))),1-SQRT(RAND()*((E8)-(D8))/((E8)-(C8))))</f>
        <v>0.75231130553598846</v>
      </c>
      <c r="D139" s="68">
        <f ca="1">(C9)+(E9-C9)*IF(RAND()&lt;((D9)-(C9))/((E9)-(C9)),SQRT(RAND()*((D9)-(C9))/((E9)-(C9))),1-SQRT(RAND()*((E9)-(D9))/((E9)-(C9))))</f>
        <v>1347994.3128996291</v>
      </c>
      <c r="E139" s="68">
        <f ca="1">(C10)+(E10-C10)*IF(RAND()&lt;((D10)-(C10))/((E10)-(C10)),SQRT(RAND()*((D10)-(C10))/((E10)-(C10))),1-SQRT(RAND()*((E10)-(D10))/((E10)-(C10))))</f>
        <v>3314960.2225428987</v>
      </c>
      <c r="F139" s="67">
        <f ca="1">(C11)+(E11-C11)*IF(RAND()&lt;((D11)-(C11))/((E11)-(C11)),SQRT(RAND()*((D11)-(C11))/((E11)-(C11))),1-SQRT(RAND()*((E11)-(D11))/((E11)-(C11))))</f>
        <v>8.2709758666259757E-3</v>
      </c>
      <c r="G139" s="67">
        <f ca="1">(C12)+(E12-C12)*IF(RAND()&lt;((D12)-(C12))/((E12)-(C12)),SQRT(RAND()*((D12)-(C12))/((E12)-(C12))),1-SQRT(RAND()*((E12)-(D12))/((E12)-(C12))))</f>
        <v>0.14338044278914452</v>
      </c>
      <c r="H139" s="68">
        <f t="shared" ca="1" si="2"/>
        <v>299679704.03320456</v>
      </c>
      <c r="I139" s="69">
        <f t="shared" ca="1" si="3"/>
        <v>294.55001298308758</v>
      </c>
    </row>
    <row r="140" spans="1:9" ht="16.05" customHeight="1" x14ac:dyDescent="0.3">
      <c r="A140" s="70">
        <v>124</v>
      </c>
      <c r="B140" s="71">
        <f ca="1">(C7)+(E7-C7)*IF(RAND()&lt;((D7)-(C7))/((E7)-(C7)),SQRT(RAND()*((D7)-(C7))/((E7)-(C7))),1-SQRT(RAND()*((E7)-(D7))/((E7)-(C7))))</f>
        <v>0.22872530977017189</v>
      </c>
      <c r="C140" s="71">
        <f ca="1">(C8)+(E8-C8)*IF(RAND()&lt;((D8)-(C8))/((E8)-(C8)),SQRT(RAND()*((D8)-(C8))/((E8)-(C8))),1-SQRT(RAND()*((E8)-(D8))/((E8)-(C8))))</f>
        <v>0.66131342780692781</v>
      </c>
      <c r="D140" s="72">
        <f ca="1">(C9)+(E9-C9)*IF(RAND()&lt;((D9)-(C9))/((E9)-(C9)),SQRT(RAND()*((D9)-(C9))/((E9)-(C9))),1-SQRT(RAND()*((E9)-(D9))/((E9)-(C9))))</f>
        <v>1359710.1593594758</v>
      </c>
      <c r="E140" s="72">
        <f ca="1">(C10)+(E10-C10)*IF(RAND()&lt;((D10)-(C10))/((E10)-(C10)),SQRT(RAND()*((D10)-(C10))/((E10)-(C10))),1-SQRT(RAND()*((E10)-(D10))/((E10)-(C10))))</f>
        <v>2752750.9388327952</v>
      </c>
      <c r="F140" s="71">
        <f ca="1">(C11)+(E11-C11)*IF(RAND()&lt;((D11)-(C11))/((E11)-(C11)),SQRT(RAND()*((D11)-(C11))/((E11)-(C11))),1-SQRT(RAND()*((E11)-(D11))/((E11)-(C11))))</f>
        <v>1.0300133888879197E-2</v>
      </c>
      <c r="G140" s="71">
        <f ca="1">(C12)+(E12-C12)*IF(RAND()&lt;((D12)-(C12))/((E12)-(C12)),SQRT(RAND()*((D12)-(C12))/((E12)-(C12))),1-SQRT(RAND()*((E12)-(D12))/((E12)-(C12))))</f>
        <v>0.15813359564758769</v>
      </c>
      <c r="H140" s="72">
        <f t="shared" ca="1" si="2"/>
        <v>227111277.7019234</v>
      </c>
      <c r="I140" s="73">
        <f t="shared" ca="1" si="3"/>
        <v>221.62837652432086</v>
      </c>
    </row>
    <row r="141" spans="1:9" ht="16.05" customHeight="1" x14ac:dyDescent="0.3">
      <c r="A141" s="66">
        <v>125</v>
      </c>
      <c r="B141" s="67">
        <f ca="1">(C7)+(E7-C7)*IF(RAND()&lt;((D7)-(C7))/((E7)-(C7)),SQRT(RAND()*((D7)-(C7))/((E7)-(C7))),1-SQRT(RAND()*((E7)-(D7))/((E7)-(C7))))</f>
        <v>0.21632883873457112</v>
      </c>
      <c r="C141" s="67">
        <f ca="1">(C8)+(E8-C8)*IF(RAND()&lt;((D8)-(C8))/((E8)-(C8)),SQRT(RAND()*((D8)-(C8))/((E8)-(C8))),1-SQRT(RAND()*((E8)-(D8))/((E8)-(C8))))</f>
        <v>0.78912233607175608</v>
      </c>
      <c r="D141" s="68">
        <f ca="1">(C9)+(E9-C9)*IF(RAND()&lt;((D9)-(C9))/((E9)-(C9)),SQRT(RAND()*((D9)-(C9))/((E9)-(C9))),1-SQRT(RAND()*((E9)-(D9))/((E9)-(C9))))</f>
        <v>1280293.9614263005</v>
      </c>
      <c r="E141" s="68">
        <f ca="1">(C10)+(E10-C10)*IF(RAND()&lt;((D10)-(C10))/((E10)-(C10)),SQRT(RAND()*((D10)-(C10))/((E10)-(C10))),1-SQRT(RAND()*((E10)-(D10))/((E10)-(C10))))</f>
        <v>3646300.8284692313</v>
      </c>
      <c r="F141" s="67">
        <f ca="1">(C11)+(E11-C11)*IF(RAND()&lt;((D11)-(C11))/((E11)-(C11)),SQRT(RAND()*((D11)-(C11))/((E11)-(C11))),1-SQRT(RAND()*((E11)-(D11))/((E11)-(C11))))</f>
        <v>1.6490289194468939E-2</v>
      </c>
      <c r="G141" s="67">
        <f ca="1">(C12)+(E12-C12)*IF(RAND()&lt;((D12)-(C12))/((E12)-(C12)),SQRT(RAND()*((D12)-(C12))/((E12)-(C12))),1-SQRT(RAND()*((E12)-(D12))/((E12)-(C12))))</f>
        <v>0.16313176514556604</v>
      </c>
      <c r="H141" s="68">
        <f t="shared" ca="1" si="2"/>
        <v>289643471.49531323</v>
      </c>
      <c r="I141" s="69">
        <f t="shared" ca="1" si="3"/>
        <v>299.71615403587532</v>
      </c>
    </row>
    <row r="142" spans="1:9" ht="16.05" customHeight="1" x14ac:dyDescent="0.3">
      <c r="A142" s="70">
        <v>126</v>
      </c>
      <c r="B142" s="71">
        <f ca="1">(C7)+(E7-C7)*IF(RAND()&lt;((D7)-(C7))/((E7)-(C7)),SQRT(RAND()*((D7)-(C7))/((E7)-(C7))),1-SQRT(RAND()*((E7)-(D7))/((E7)-(C7))))</f>
        <v>0.3011550219397558</v>
      </c>
      <c r="C142" s="71">
        <f ca="1">(C8)+(E8-C8)*IF(RAND()&lt;((D8)-(C8))/((E8)-(C8)),SQRT(RAND()*((D8)-(C8))/((E8)-(C8))),1-SQRT(RAND()*((E8)-(D8))/((E8)-(C8))))</f>
        <v>0.60213548232087444</v>
      </c>
      <c r="D142" s="72">
        <f ca="1">(C9)+(E9-C9)*IF(RAND()&lt;((D9)-(C9))/((E9)-(C9)),SQRT(RAND()*((D9)-(C9))/((E9)-(C9))),1-SQRT(RAND()*((E9)-(D9))/((E9)-(C9))))</f>
        <v>1063583.3927106075</v>
      </c>
      <c r="E142" s="72">
        <f ca="1">(C10)+(E10-C10)*IF(RAND()&lt;((D10)-(C10))/((E10)-(C10)),SQRT(RAND()*((D10)-(C10))/((E10)-(C10))),1-SQRT(RAND()*((E10)-(D10))/((E10)-(C10))))</f>
        <v>3670589.8828686154</v>
      </c>
      <c r="F142" s="71">
        <f ca="1">(C11)+(E11-C11)*IF(RAND()&lt;((D11)-(C11))/((E11)-(C11)),SQRT(RAND()*((D11)-(C11))/((E11)-(C11))),1-SQRT(RAND()*((E11)-(D11))/((E11)-(C11))))</f>
        <v>2.0125019951523156E-2</v>
      </c>
      <c r="G142" s="71">
        <f ca="1">(C12)+(E12-C12)*IF(RAND()&lt;((D12)-(C12))/((E12)-(C12)),SQRT(RAND()*((D12)-(C12))/((E12)-(C12))),1-SQRT(RAND()*((E12)-(D12))/((E12)-(C12))))</f>
        <v>0.17428292882286947</v>
      </c>
      <c r="H142" s="72">
        <f t="shared" ca="1" si="2"/>
        <v>327563193.26684582</v>
      </c>
      <c r="I142" s="73">
        <f t="shared" ca="1" si="3"/>
        <v>407.54169536039507</v>
      </c>
    </row>
    <row r="143" spans="1:9" ht="16.05" customHeight="1" x14ac:dyDescent="0.3">
      <c r="A143" s="66">
        <v>127</v>
      </c>
      <c r="B143" s="67">
        <f ca="1">(C7)+(E7-C7)*IF(RAND()&lt;((D7)-(C7))/((E7)-(C7)),SQRT(RAND()*((D7)-(C7))/((E7)-(C7))),1-SQRT(RAND()*((E7)-(D7))/((E7)-(C7))))</f>
        <v>0.21959868241068284</v>
      </c>
      <c r="C143" s="67">
        <f ca="1">(C8)+(E8-C8)*IF(RAND()&lt;((D8)-(C8))/((E8)-(C8)),SQRT(RAND()*((D8)-(C8))/((E8)-(C8))),1-SQRT(RAND()*((E8)-(D8))/((E8)-(C8))))</f>
        <v>0.61591810177349904</v>
      </c>
      <c r="D143" s="68">
        <f ca="1">(C9)+(E9-C9)*IF(RAND()&lt;((D9)-(C9))/((E9)-(C9)),SQRT(RAND()*((D9)-(C9))/((E9)-(C9))),1-SQRT(RAND()*((E9)-(D9))/((E9)-(C9))))</f>
        <v>1353098.7532072281</v>
      </c>
      <c r="E143" s="68">
        <f ca="1">(C10)+(E10-C10)*IF(RAND()&lt;((D10)-(C10))/((E10)-(C10)),SQRT(RAND()*((D10)-(C10))/((E10)-(C10))),1-SQRT(RAND()*((E10)-(D10))/((E10)-(C10))))</f>
        <v>4003200.0488001099</v>
      </c>
      <c r="F143" s="67">
        <f ca="1">(C11)+(E11-C11)*IF(RAND()&lt;((D11)-(C11))/((E11)-(C11)),SQRT(RAND()*((D11)-(C11))/((E11)-(C11))),1-SQRT(RAND()*((E11)-(D11))/((E11)-(C11))))</f>
        <v>1.3079141622375525E-2</v>
      </c>
      <c r="G143" s="67">
        <f ca="1">(C12)+(E12-C12)*IF(RAND()&lt;((D12)-(C12))/((E12)-(C12)),SQRT(RAND()*((D12)-(C12))/((E12)-(C12))),1-SQRT(RAND()*((E12)-(D12))/((E12)-(C12))))</f>
        <v>0.11605664858080492</v>
      </c>
      <c r="H143" s="68">
        <f t="shared" ca="1" si="2"/>
        <v>225023643.20772919</v>
      </c>
      <c r="I143" s="69">
        <f t="shared" ca="1" si="3"/>
        <v>220.66982952378538</v>
      </c>
    </row>
    <row r="144" spans="1:9" ht="16.05" customHeight="1" x14ac:dyDescent="0.3">
      <c r="A144" s="70">
        <v>128</v>
      </c>
      <c r="B144" s="71">
        <f ca="1">(C7)+(E7-C7)*IF(RAND()&lt;((D7)-(C7))/((E7)-(C7)),SQRT(RAND()*((D7)-(C7))/((E7)-(C7))),1-SQRT(RAND()*((E7)-(D7))/((E7)-(C7))))</f>
        <v>0.20644569487841882</v>
      </c>
      <c r="C144" s="71">
        <f ca="1">(C8)+(E8-C8)*IF(RAND()&lt;((D8)-(C8))/((E8)-(C8)),SQRT(RAND()*((D8)-(C8))/((E8)-(C8))),1-SQRT(RAND()*((E8)-(D8))/((E8)-(C8))))</f>
        <v>0.81313192865958961</v>
      </c>
      <c r="D144" s="72">
        <f ca="1">(C9)+(E9-C9)*IF(RAND()&lt;((D9)-(C9))/((E9)-(C9)),SQRT(RAND()*((D9)-(C9))/((E9)-(C9))),1-SQRT(RAND()*((E9)-(D9))/((E9)-(C9))))</f>
        <v>1436535.8101129478</v>
      </c>
      <c r="E144" s="72">
        <f ca="1">(C10)+(E10-C10)*IF(RAND()&lt;((D10)-(C10))/((E10)-(C10)),SQRT(RAND()*((D10)-(C10))/((E10)-(C10))),1-SQRT(RAND()*((E10)-(D10))/((E10)-(C10))))</f>
        <v>4408866.9263669085</v>
      </c>
      <c r="F144" s="71">
        <f ca="1">(C11)+(E11-C11)*IF(RAND()&lt;((D11)-(C11))/((E11)-(C11)),SQRT(RAND()*((D11)-(C11))/((E11)-(C11))),1-SQRT(RAND()*((E11)-(D11))/((E11)-(C11))))</f>
        <v>1.4753136768532635E-2</v>
      </c>
      <c r="G144" s="71">
        <f ca="1">(C12)+(E12-C12)*IF(RAND()&lt;((D12)-(C12))/((E12)-(C12)),SQRT(RAND()*((D12)-(C12))/((E12)-(C12))),1-SQRT(RAND()*((E12)-(D12))/((E12)-(C12))))</f>
        <v>0.15009497014798126</v>
      </c>
      <c r="H144" s="72">
        <f t="shared" ca="1" si="2"/>
        <v>270965999.86951721</v>
      </c>
      <c r="I144" s="73">
        <f t="shared" ca="1" si="3"/>
        <v>250.11246558739523</v>
      </c>
    </row>
    <row r="145" spans="1:9" ht="16.05" customHeight="1" x14ac:dyDescent="0.3">
      <c r="A145" s="66">
        <v>129</v>
      </c>
      <c r="B145" s="67">
        <f ca="1">(C7)+(E7-C7)*IF(RAND()&lt;((D7)-(C7))/((E7)-(C7)),SQRT(RAND()*((D7)-(C7))/((E7)-(C7))),1-SQRT(RAND()*((E7)-(D7))/((E7)-(C7))))</f>
        <v>0.20658938688953629</v>
      </c>
      <c r="C145" s="67">
        <f ca="1">(C8)+(E8-C8)*IF(RAND()&lt;((D8)-(C8))/((E8)-(C8)),SQRT(RAND()*((D8)-(C8))/((E8)-(C8))),1-SQRT(RAND()*((E8)-(D8))/((E8)-(C8))))</f>
        <v>0.77610751454963212</v>
      </c>
      <c r="D145" s="68">
        <f ca="1">(C9)+(E9-C9)*IF(RAND()&lt;((D9)-(C9))/((E9)-(C9)),SQRT(RAND()*((D9)-(C9))/((E9)-(C9))),1-SQRT(RAND()*((E9)-(D9))/((E9)-(C9))))</f>
        <v>1162831.684880245</v>
      </c>
      <c r="E145" s="68">
        <f ca="1">(C10)+(E10-C10)*IF(RAND()&lt;((D10)-(C10))/((E10)-(C10)),SQRT(RAND()*((D10)-(C10))/((E10)-(C10))),1-SQRT(RAND()*((E10)-(D10))/((E10)-(C10))))</f>
        <v>2989589.7297975104</v>
      </c>
      <c r="F145" s="67">
        <f ca="1">(C11)+(E11-C11)*IF(RAND()&lt;((D11)-(C11))/((E11)-(C11)),SQRT(RAND()*((D11)-(C11))/((E11)-(C11))),1-SQRT(RAND()*((E11)-(D11))/((E11)-(C11))))</f>
        <v>1.4678121572294553E-2</v>
      </c>
      <c r="G145" s="67">
        <f ca="1">(C12)+(E12-C12)*IF(RAND()&lt;((D12)-(C12))/((E12)-(C12)),SQRT(RAND()*((D12)-(C12))/((E12)-(C12))),1-SQRT(RAND()*((E12)-(D12))/((E12)-(C12))))</f>
        <v>0.16585791610162742</v>
      </c>
      <c r="H145" s="68">
        <f t="shared" ref="H145:H208" ca="1" si="4">-D145+($L$1*B145*C145+$M$1*F145-E145)*(1-(1+$N$1)^-5)/$N$1</f>
        <v>267883952.70704633</v>
      </c>
      <c r="I145" s="69">
        <f t="shared" ref="I145:I208" ca="1" si="5">($L$1*B145*C145+$M$1*F145-E145)*5/D145</f>
        <v>305.17685775747719</v>
      </c>
    </row>
    <row r="146" spans="1:9" ht="16.05" customHeight="1" x14ac:dyDescent="0.3">
      <c r="A146" s="70">
        <v>130</v>
      </c>
      <c r="B146" s="71">
        <f ca="1">(C7)+(E7-C7)*IF(RAND()&lt;((D7)-(C7))/((E7)-(C7)),SQRT(RAND()*((D7)-(C7))/((E7)-(C7))),1-SQRT(RAND()*((E7)-(D7))/((E7)-(C7))))</f>
        <v>0.23075697258554481</v>
      </c>
      <c r="C146" s="71">
        <f ca="1">(C8)+(E8-C8)*IF(RAND()&lt;((D8)-(C8))/((E8)-(C8)),SQRT(RAND()*((D8)-(C8))/((E8)-(C8))),1-SQRT(RAND()*((E8)-(D8))/((E8)-(C8))))</f>
        <v>0.62259560159276728</v>
      </c>
      <c r="D146" s="72">
        <f ca="1">(C9)+(E9-C9)*IF(RAND()&lt;((D9)-(C9))/((E9)-(C9)),SQRT(RAND()*((D9)-(C9))/((E9)-(C9))),1-SQRT(RAND()*((E9)-(D9))/((E9)-(C9))))</f>
        <v>1200670.6201592756</v>
      </c>
      <c r="E146" s="72">
        <f ca="1">(C10)+(E10-C10)*IF(RAND()&lt;((D10)-(C10))/((E10)-(C10)),SQRT(RAND()*((D10)-(C10))/((E10)-(C10))),1-SQRT(RAND()*((E10)-(D10))/((E10)-(C10))))</f>
        <v>3488167.4714915212</v>
      </c>
      <c r="F146" s="71">
        <f ca="1">(C11)+(E11-C11)*IF(RAND()&lt;((D11)-(C11))/((E11)-(C11)),SQRT(RAND()*((D11)-(C11))/((E11)-(C11))),1-SQRT(RAND()*((E11)-(D11))/((E11)-(C11))))</f>
        <v>2.3255054023504144E-2</v>
      </c>
      <c r="G146" s="71">
        <f ca="1">(C12)+(E12-C12)*IF(RAND()&lt;((D12)-(C12))/((E12)-(C12)),SQRT(RAND()*((D12)-(C12))/((E12)-(C12))),1-SQRT(RAND()*((E12)-(D12))/((E12)-(C12))))</f>
        <v>0.16126953154495202</v>
      </c>
      <c r="H146" s="72">
        <f t="shared" ca="1" si="4"/>
        <v>309728191.93965721</v>
      </c>
      <c r="I146" s="73">
        <f t="shared" ca="1" si="5"/>
        <v>341.56849210974474</v>
      </c>
    </row>
    <row r="147" spans="1:9" ht="16.05" customHeight="1" x14ac:dyDescent="0.3">
      <c r="A147" s="66">
        <v>131</v>
      </c>
      <c r="B147" s="67">
        <f ca="1">(C7)+(E7-C7)*IF(RAND()&lt;((D7)-(C7))/((E7)-(C7)),SQRT(RAND()*((D7)-(C7))/((E7)-(C7))),1-SQRT(RAND()*((E7)-(D7))/((E7)-(C7))))</f>
        <v>0.24819372161329389</v>
      </c>
      <c r="C147" s="67">
        <f ca="1">(C8)+(E8-C8)*IF(RAND()&lt;((D8)-(C8))/((E8)-(C8)),SQRT(RAND()*((D8)-(C8))/((E8)-(C8))),1-SQRT(RAND()*((E8)-(D8))/((E8)-(C8))))</f>
        <v>0.56216181698039336</v>
      </c>
      <c r="D147" s="68">
        <f ca="1">(C9)+(E9-C9)*IF(RAND()&lt;((D9)-(C9))/((E9)-(C9)),SQRT(RAND()*((D9)-(C9))/((E9)-(C9))),1-SQRT(RAND()*((E9)-(D9))/((E9)-(C9))))</f>
        <v>1264247.9382564952</v>
      </c>
      <c r="E147" s="68">
        <f ca="1">(C10)+(E10-C10)*IF(RAND()&lt;((D10)-(C10))/((E10)-(C10)),SQRT(RAND()*((D10)-(C10))/((E10)-(C10))),1-SQRT(RAND()*((E10)-(D10))/((E10)-(C10))))</f>
        <v>2918384.6725798766</v>
      </c>
      <c r="F147" s="67">
        <f ca="1">(C11)+(E11-C11)*IF(RAND()&lt;((D11)-(C11))/((E11)-(C11)),SQRT(RAND()*((D11)-(C11))/((E11)-(C11))),1-SQRT(RAND()*((E11)-(D11))/((E11)-(C11))))</f>
        <v>1.4069055756164512E-2</v>
      </c>
      <c r="G147" s="67">
        <f ca="1">(C12)+(E12-C12)*IF(RAND()&lt;((D12)-(C12))/((E12)-(C12)),SQRT(RAND()*((D12)-(C12))/((E12)-(C12))),1-SQRT(RAND()*((E12)-(D12))/((E12)-(C12))))</f>
        <v>0.1730263498654582</v>
      </c>
      <c r="H147" s="68">
        <f t="shared" ca="1" si="4"/>
        <v>241015480.85450888</v>
      </c>
      <c r="I147" s="69">
        <f t="shared" ca="1" si="5"/>
        <v>252.76996769837226</v>
      </c>
    </row>
    <row r="148" spans="1:9" ht="16.05" customHeight="1" x14ac:dyDescent="0.3">
      <c r="A148" s="70">
        <v>132</v>
      </c>
      <c r="B148" s="71">
        <f ca="1">(C7)+(E7-C7)*IF(RAND()&lt;((D7)-(C7))/((E7)-(C7)),SQRT(RAND()*((D7)-(C7))/((E7)-(C7))),1-SQRT(RAND()*((E7)-(D7))/((E7)-(C7))))</f>
        <v>0.31733555248285628</v>
      </c>
      <c r="C148" s="71">
        <f ca="1">(C8)+(E8-C8)*IF(RAND()&lt;((D8)-(C8))/((E8)-(C8)),SQRT(RAND()*((D8)-(C8))/((E8)-(C8))),1-SQRT(RAND()*((E8)-(D8))/((E8)-(C8))))</f>
        <v>0.6534836917833694</v>
      </c>
      <c r="D148" s="72">
        <f ca="1">(C9)+(E9-C9)*IF(RAND()&lt;((D9)-(C9))/((E9)-(C9)),SQRT(RAND()*((D9)-(C9))/((E9)-(C9))),1-SQRT(RAND()*((E9)-(D9))/((E9)-(C9))))</f>
        <v>1215413.7080019435</v>
      </c>
      <c r="E148" s="72">
        <f ca="1">(C10)+(E10-C10)*IF(RAND()&lt;((D10)-(C10))/((E10)-(C10)),SQRT(RAND()*((D10)-(C10))/((E10)-(C10))),1-SQRT(RAND()*((E10)-(D10))/((E10)-(C10))))</f>
        <v>4249577.3809650512</v>
      </c>
      <c r="F148" s="71">
        <f ca="1">(C11)+(E11-C11)*IF(RAND()&lt;((D11)-(C11))/((E11)-(C11)),SQRT(RAND()*((D11)-(C11))/((E11)-(C11))),1-SQRT(RAND()*((E11)-(D11))/((E11)-(C11))))</f>
        <v>1.5344127971815329E-2</v>
      </c>
      <c r="G148" s="71">
        <f ca="1">(C12)+(E12-C12)*IF(RAND()&lt;((D12)-(C12))/((E12)-(C12)),SQRT(RAND()*((D12)-(C12))/((E12)-(C12))),1-SQRT(RAND()*((E12)-(D12))/((E12)-(C12))))</f>
        <v>0.12902405814940263</v>
      </c>
      <c r="H148" s="72">
        <f t="shared" ca="1" si="4"/>
        <v>319037333.30541778</v>
      </c>
      <c r="I148" s="73">
        <f t="shared" ca="1" si="5"/>
        <v>347.54366897268</v>
      </c>
    </row>
    <row r="149" spans="1:9" ht="16.05" customHeight="1" x14ac:dyDescent="0.3">
      <c r="A149" s="66">
        <v>133</v>
      </c>
      <c r="B149" s="67">
        <f ca="1">(C7)+(E7-C7)*IF(RAND()&lt;((D7)-(C7))/((E7)-(C7)),SQRT(RAND()*((D7)-(C7))/((E7)-(C7))),1-SQRT(RAND()*((E7)-(D7))/((E7)-(C7))))</f>
        <v>0.22168690689446149</v>
      </c>
      <c r="C149" s="67">
        <f ca="1">(C8)+(E8-C8)*IF(RAND()&lt;((D8)-(C8))/((E8)-(C8)),SQRT(RAND()*((D8)-(C8))/((E8)-(C8))),1-SQRT(RAND()*((E8)-(D8))/((E8)-(C8))))</f>
        <v>0.62876160747134291</v>
      </c>
      <c r="D149" s="68">
        <f ca="1">(C9)+(E9-C9)*IF(RAND()&lt;((D9)-(C9))/((E9)-(C9)),SQRT(RAND()*((D9)-(C9))/((E9)-(C9))),1-SQRT(RAND()*((E9)-(D9))/((E9)-(C9))))</f>
        <v>1351456.1460480858</v>
      </c>
      <c r="E149" s="68">
        <f ca="1">(C10)+(E10-C10)*IF(RAND()&lt;((D10)-(C10))/((E10)-(C10)),SQRT(RAND()*((D10)-(C10))/((E10)-(C10))),1-SQRT(RAND()*((E10)-(D10))/((E10)-(C10))))</f>
        <v>3698597.33645018</v>
      </c>
      <c r="F149" s="67">
        <f ca="1">(C11)+(E11-C11)*IF(RAND()&lt;((D11)-(C11))/((E11)-(C11)),SQRT(RAND()*((D11)-(C11))/((E11)-(C11))),1-SQRT(RAND()*((E11)-(D11))/((E11)-(C11))))</f>
        <v>6.5980561651967995E-3</v>
      </c>
      <c r="G149" s="67">
        <f ca="1">(C12)+(E12-C12)*IF(RAND()&lt;((D12)-(C12))/((E12)-(C12)),SQRT(RAND()*((D12)-(C12))/((E12)-(C12))),1-SQRT(RAND()*((E12)-(D12))/((E12)-(C12))))</f>
        <v>0.14136619887981788</v>
      </c>
      <c r="H149" s="68">
        <f t="shared" ca="1" si="4"/>
        <v>183898681.30031899</v>
      </c>
      <c r="I149" s="69">
        <f t="shared" ca="1" si="5"/>
        <v>180.79950177492907</v>
      </c>
    </row>
    <row r="150" spans="1:9" ht="16.05" customHeight="1" x14ac:dyDescent="0.3">
      <c r="A150" s="70">
        <v>134</v>
      </c>
      <c r="B150" s="71">
        <f ca="1">(C7)+(E7-C7)*IF(RAND()&lt;((D7)-(C7))/((E7)-(C7)),SQRT(RAND()*((D7)-(C7))/((E7)-(C7))),1-SQRT(RAND()*((E7)-(D7))/((E7)-(C7))))</f>
        <v>0.21021408790406196</v>
      </c>
      <c r="C150" s="71">
        <f ca="1">(C8)+(E8-C8)*IF(RAND()&lt;((D8)-(C8))/((E8)-(C8)),SQRT(RAND()*((D8)-(C8))/((E8)-(C8))),1-SQRT(RAND()*((E8)-(D8))/((E8)-(C8))))</f>
        <v>0.72293945901175849</v>
      </c>
      <c r="D150" s="72">
        <f ca="1">(C9)+(E9-C9)*IF(RAND()&lt;((D9)-(C9))/((E9)-(C9)),SQRT(RAND()*((D9)-(C9))/((E9)-(C9))),1-SQRT(RAND()*((E9)-(D9))/((E9)-(C9))))</f>
        <v>1232679.3961618356</v>
      </c>
      <c r="E150" s="72">
        <f ca="1">(C10)+(E10-C10)*IF(RAND()&lt;((D10)-(C10))/((E10)-(C10)),SQRT(RAND()*((D10)-(C10))/((E10)-(C10))),1-SQRT(RAND()*((E10)-(D10))/((E10)-(C10))))</f>
        <v>2981831.6274645138</v>
      </c>
      <c r="F150" s="71">
        <f ca="1">(C11)+(E11-C11)*IF(RAND()&lt;((D11)-(C11))/((E11)-(C11)),SQRT(RAND()*((D11)-(C11))/((E11)-(C11))),1-SQRT(RAND()*((E11)-(D11))/((E11)-(C11))))</f>
        <v>1.1757316757453897E-2</v>
      </c>
      <c r="G150" s="71">
        <f ca="1">(C12)+(E12-C12)*IF(RAND()&lt;((D12)-(C12))/((E12)-(C12)),SQRT(RAND()*((D12)-(C12))/((E12)-(C12))),1-SQRT(RAND()*((E12)-(D12))/((E12)-(C12))))</f>
        <v>0.18908861946554689</v>
      </c>
      <c r="H150" s="72">
        <f t="shared" ca="1" si="4"/>
        <v>237663007.62045473</v>
      </c>
      <c r="I150" s="73">
        <f t="shared" ca="1" si="5"/>
        <v>255.62234837354097</v>
      </c>
    </row>
    <row r="151" spans="1:9" ht="16.05" customHeight="1" x14ac:dyDescent="0.3">
      <c r="A151" s="66">
        <v>135</v>
      </c>
      <c r="B151" s="67">
        <f ca="1">(C7)+(E7-C7)*IF(RAND()&lt;((D7)-(C7))/((E7)-(C7)),SQRT(RAND()*((D7)-(C7))/((E7)-(C7))),1-SQRT(RAND()*((E7)-(D7))/((E7)-(C7))))</f>
        <v>0.23961341829014948</v>
      </c>
      <c r="C151" s="67">
        <f ca="1">(C8)+(E8-C8)*IF(RAND()&lt;((D8)-(C8))/((E8)-(C8)),SQRT(RAND()*((D8)-(C8))/((E8)-(C8))),1-SQRT(RAND()*((E8)-(D8))/((E8)-(C8))))</f>
        <v>0.60581396820835598</v>
      </c>
      <c r="D151" s="68">
        <f ca="1">(C9)+(E9-C9)*IF(RAND()&lt;((D9)-(C9))/((E9)-(C9)),SQRT(RAND()*((D9)-(C9))/((E9)-(C9))),1-SQRT(RAND()*((E9)-(D9))/((E9)-(C9))))</f>
        <v>1288604.050559904</v>
      </c>
      <c r="E151" s="68">
        <f ca="1">(C10)+(E10-C10)*IF(RAND()&lt;((D10)-(C10))/((E10)-(C10)),SQRT(RAND()*((D10)-(C10))/((E10)-(C10))),1-SQRT(RAND()*((E10)-(D10))/((E10)-(C10))))</f>
        <v>3165361.0014144201</v>
      </c>
      <c r="F151" s="67">
        <f ca="1">(C11)+(E11-C11)*IF(RAND()&lt;((D11)-(C11))/((E11)-(C11)),SQRT(RAND()*((D11)-(C11))/((E11)-(C11))),1-SQRT(RAND()*((E11)-(D11))/((E11)-(C11))))</f>
        <v>1.2085196294772726E-2</v>
      </c>
      <c r="G151" s="67">
        <f ca="1">(C12)+(E12-C12)*IF(RAND()&lt;((D12)-(C12))/((E12)-(C12)),SQRT(RAND()*((D12)-(C12))/((E12)-(C12))),1-SQRT(RAND()*((E12)-(D12))/((E12)-(C12))))</f>
        <v>0.15937489096470875</v>
      </c>
      <c r="H151" s="68">
        <f t="shared" ca="1" si="4"/>
        <v>231867922.93603539</v>
      </c>
      <c r="I151" s="69">
        <f t="shared" ca="1" si="5"/>
        <v>238.65400866616557</v>
      </c>
    </row>
    <row r="152" spans="1:9" ht="16.05" customHeight="1" x14ac:dyDescent="0.3">
      <c r="A152" s="70">
        <v>136</v>
      </c>
      <c r="B152" s="71">
        <f ca="1">(C7)+(E7-C7)*IF(RAND()&lt;((D7)-(C7))/((E7)-(C7)),SQRT(RAND()*((D7)-(C7))/((E7)-(C7))),1-SQRT(RAND()*((E7)-(D7))/((E7)-(C7))))</f>
        <v>0.24718042610936175</v>
      </c>
      <c r="C152" s="71">
        <f ca="1">(C8)+(E8-C8)*IF(RAND()&lt;((D8)-(C8))/((E8)-(C8)),SQRT(RAND()*((D8)-(C8))/((E8)-(C8))),1-SQRT(RAND()*((E8)-(D8))/((E8)-(C8))))</f>
        <v>0.79943797810867312</v>
      </c>
      <c r="D152" s="72">
        <f ca="1">(C9)+(E9-C9)*IF(RAND()&lt;((D9)-(C9))/((E9)-(C9)),SQRT(RAND()*((D9)-(C9))/((E9)-(C9))),1-SQRT(RAND()*((E9)-(D9))/((E9)-(C9))))</f>
        <v>1182939.3665979558</v>
      </c>
      <c r="E152" s="72">
        <f ca="1">(C10)+(E10-C10)*IF(RAND()&lt;((D10)-(C10))/((E10)-(C10)),SQRT(RAND()*((D10)-(C10))/((E10)-(C10))),1-SQRT(RAND()*((E10)-(D10))/((E10)-(C10))))</f>
        <v>3611424.971304012</v>
      </c>
      <c r="F152" s="71">
        <f ca="1">(C11)+(E11-C11)*IF(RAND()&lt;((D11)-(C11))/((E11)-(C11)),SQRT(RAND()*((D11)-(C11))/((E11)-(C11))),1-SQRT(RAND()*((E11)-(D11))/((E11)-(C11))))</f>
        <v>2.2791138113938694E-2</v>
      </c>
      <c r="G152" s="71">
        <f ca="1">(C12)+(E12-C12)*IF(RAND()&lt;((D12)-(C12))/((E12)-(C12)),SQRT(RAND()*((D12)-(C12))/((E12)-(C12))),1-SQRT(RAND()*((E12)-(D12))/((E12)-(C12))))</f>
        <v>0.1897944778464899</v>
      </c>
      <c r="H152" s="72">
        <f t="shared" ca="1" si="4"/>
        <v>364611522.61611158</v>
      </c>
      <c r="I152" s="73">
        <f t="shared" ca="1" si="5"/>
        <v>407.86392052038224</v>
      </c>
    </row>
    <row r="153" spans="1:9" ht="16.05" customHeight="1" x14ac:dyDescent="0.3">
      <c r="A153" s="66">
        <v>137</v>
      </c>
      <c r="B153" s="67">
        <f ca="1">(C7)+(E7-C7)*IF(RAND()&lt;((D7)-(C7))/((E7)-(C7)),SQRT(RAND()*((D7)-(C7))/((E7)-(C7))),1-SQRT(RAND()*((E7)-(D7))/((E7)-(C7))))</f>
        <v>0.27753952717852509</v>
      </c>
      <c r="C153" s="67">
        <f ca="1">(C8)+(E8-C8)*IF(RAND()&lt;((D8)-(C8))/((E8)-(C8)),SQRT(RAND()*((D8)-(C8))/((E8)-(C8))),1-SQRT(RAND()*((E8)-(D8))/((E8)-(C8))))</f>
        <v>0.71025522276480291</v>
      </c>
      <c r="D153" s="68">
        <f ca="1">(C9)+(E9-C9)*IF(RAND()&lt;((D9)-(C9))/((E9)-(C9)),SQRT(RAND()*((D9)-(C9))/((E9)-(C9))),1-SQRT(RAND()*((E9)-(D9))/((E9)-(C9))))</f>
        <v>1153827.9140945955</v>
      </c>
      <c r="E153" s="68">
        <f ca="1">(C10)+(E10-C10)*IF(RAND()&lt;((D10)-(C10))/((E10)-(C10)),SQRT(RAND()*((D10)-(C10))/((E10)-(C10))),1-SQRT(RAND()*((E10)-(D10))/((E10)-(C10))))</f>
        <v>3960672.2631353415</v>
      </c>
      <c r="F153" s="67">
        <f ca="1">(C11)+(E11-C11)*IF(RAND()&lt;((D11)-(C11))/((E11)-(C11)),SQRT(RAND()*((D11)-(C11))/((E11)-(C11))),1-SQRT(RAND()*((E11)-(D11))/((E11)-(C11))))</f>
        <v>2.3220225709711433E-2</v>
      </c>
      <c r="G153" s="67">
        <f ca="1">(C12)+(E12-C12)*IF(RAND()&lt;((D12)-(C12))/((E12)-(C12)),SQRT(RAND()*((D12)-(C12))/((E12)-(C12))),1-SQRT(RAND()*((E12)-(D12))/((E12)-(C12))))</f>
        <v>0.14269944085472613</v>
      </c>
      <c r="H153" s="68">
        <f t="shared" ca="1" si="4"/>
        <v>365889845.60388815</v>
      </c>
      <c r="I153" s="69">
        <f t="shared" ca="1" si="5"/>
        <v>419.58248380422987</v>
      </c>
    </row>
    <row r="154" spans="1:9" ht="16.05" customHeight="1" x14ac:dyDescent="0.3">
      <c r="A154" s="70">
        <v>138</v>
      </c>
      <c r="B154" s="71">
        <f ca="1">(C7)+(E7-C7)*IF(RAND()&lt;((D7)-(C7))/((E7)-(C7)),SQRT(RAND()*((D7)-(C7))/((E7)-(C7))),1-SQRT(RAND()*((E7)-(D7))/((E7)-(C7))))</f>
        <v>0.21147687024772083</v>
      </c>
      <c r="C154" s="71">
        <f ca="1">(C8)+(E8-C8)*IF(RAND()&lt;((D8)-(C8))/((E8)-(C8)),SQRT(RAND()*((D8)-(C8))/((E8)-(C8))),1-SQRT(RAND()*((E8)-(D8))/((E8)-(C8))))</f>
        <v>0.76309668383099782</v>
      </c>
      <c r="D154" s="72">
        <f ca="1">(C9)+(E9-C9)*IF(RAND()&lt;((D9)-(C9))/((E9)-(C9)),SQRT(RAND()*((D9)-(C9))/((E9)-(C9))),1-SQRT(RAND()*((E9)-(D9))/((E9)-(C9))))</f>
        <v>1332502.4340171597</v>
      </c>
      <c r="E154" s="72">
        <f ca="1">(C10)+(E10-C10)*IF(RAND()&lt;((D10)-(C10))/((E10)-(C10)),SQRT(RAND()*((D10)-(C10))/((E10)-(C10))),1-SQRT(RAND()*((E10)-(D10))/((E10)-(C10))))</f>
        <v>3783378.6535643814</v>
      </c>
      <c r="F154" s="71">
        <f ca="1">(C11)+(E11-C11)*IF(RAND()&lt;((D11)-(C11))/((E11)-(C11)),SQRT(RAND()*((D11)-(C11))/((E11)-(C11))),1-SQRT(RAND()*((E11)-(D11))/((E11)-(C11))))</f>
        <v>1.5517848528400303E-2</v>
      </c>
      <c r="G154" s="71">
        <f ca="1">(C12)+(E12-C12)*IF(RAND()&lt;((D12)-(C12))/((E12)-(C12)),SQRT(RAND()*((D12)-(C12))/((E12)-(C12))),1-SQRT(RAND()*((E12)-(D12))/((E12)-(C12))))</f>
        <v>0.19353086562092708</v>
      </c>
      <c r="H154" s="72">
        <f t="shared" ca="1" si="4"/>
        <v>271899407.76523608</v>
      </c>
      <c r="I154" s="73">
        <f t="shared" ca="1" si="5"/>
        <v>270.46063010182411</v>
      </c>
    </row>
    <row r="155" spans="1:9" ht="16.05" customHeight="1" x14ac:dyDescent="0.3">
      <c r="A155" s="66">
        <v>139</v>
      </c>
      <c r="B155" s="67">
        <f ca="1">(C7)+(E7-C7)*IF(RAND()&lt;((D7)-(C7))/((E7)-(C7)),SQRT(RAND()*((D7)-(C7))/((E7)-(C7))),1-SQRT(RAND()*((E7)-(D7))/((E7)-(C7))))</f>
        <v>0.26322807661062619</v>
      </c>
      <c r="C155" s="67">
        <f ca="1">(C8)+(E8-C8)*IF(RAND()&lt;((D8)-(C8))/((E8)-(C8)),SQRT(RAND()*((D8)-(C8))/((E8)-(C8))),1-SQRT(RAND()*((E8)-(D8))/((E8)-(C8))))</f>
        <v>0.73282023687799747</v>
      </c>
      <c r="D155" s="68">
        <f ca="1">(C9)+(E9-C9)*IF(RAND()&lt;((D9)-(C9))/((E9)-(C9)),SQRT(RAND()*((D9)-(C9))/((E9)-(C9))),1-SQRT(RAND()*((E9)-(D9))/((E9)-(C9))))</f>
        <v>1256535.2927579447</v>
      </c>
      <c r="E155" s="68">
        <f ca="1">(C10)+(E10-C10)*IF(RAND()&lt;((D10)-(C10))/((E10)-(C10)),SQRT(RAND()*((D10)-(C10))/((E10)-(C10))),1-SQRT(RAND()*((E10)-(D10))/((E10)-(C10))))</f>
        <v>4219597.527645953</v>
      </c>
      <c r="F155" s="67">
        <f ca="1">(C11)+(E11-C11)*IF(RAND()&lt;((D11)-(C11))/((E11)-(C11)),SQRT(RAND()*((D11)-(C11))/((E11)-(C11))),1-SQRT(RAND()*((E11)-(D11))/((E11)-(C11))))</f>
        <v>7.4442619169038356E-3</v>
      </c>
      <c r="G155" s="67">
        <f ca="1">(C12)+(E12-C12)*IF(RAND()&lt;((D12)-(C12))/((E12)-(C12)),SQRT(RAND()*((D12)-(C12))/((E12)-(C12))),1-SQRT(RAND()*((E12)-(D12))/((E12)-(C12))))</f>
        <v>0.13961714372252873</v>
      </c>
      <c r="H155" s="68">
        <f t="shared" ca="1" si="4"/>
        <v>246343442.54960078</v>
      </c>
      <c r="I155" s="69">
        <f t="shared" ca="1" si="5"/>
        <v>259.90615136757367</v>
      </c>
    </row>
    <row r="156" spans="1:9" ht="16.05" customHeight="1" x14ac:dyDescent="0.3">
      <c r="A156" s="70">
        <v>140</v>
      </c>
      <c r="B156" s="71">
        <f ca="1">(C7)+(E7-C7)*IF(RAND()&lt;((D7)-(C7))/((E7)-(C7)),SQRT(RAND()*((D7)-(C7))/((E7)-(C7))),1-SQRT(RAND()*((E7)-(D7))/((E7)-(C7))))</f>
        <v>0.17212344434492724</v>
      </c>
      <c r="C156" s="71">
        <f ca="1">(C8)+(E8-C8)*IF(RAND()&lt;((D8)-(C8))/((E8)-(C8)),SQRT(RAND()*((D8)-(C8))/((E8)-(C8))),1-SQRT(RAND()*((E8)-(D8))/((E8)-(C8))))</f>
        <v>0.6328456615764021</v>
      </c>
      <c r="D156" s="72">
        <f ca="1">(C9)+(E9-C9)*IF(RAND()&lt;((D9)-(C9))/((E9)-(C9)),SQRT(RAND()*((D9)-(C9))/((E9)-(C9))),1-SQRT(RAND()*((E9)-(D9))/((E9)-(C9))))</f>
        <v>1097285.8216616274</v>
      </c>
      <c r="E156" s="72">
        <f ca="1">(C10)+(E10-C10)*IF(RAND()&lt;((D10)-(C10))/((E10)-(C10)),SQRT(RAND()*((D10)-(C10))/((E10)-(C10))),1-SQRT(RAND()*((E10)-(D10))/((E10)-(C10))))</f>
        <v>4517836.2718281765</v>
      </c>
      <c r="F156" s="71">
        <f ca="1">(C11)+(E11-C11)*IF(RAND()&lt;((D11)-(C11))/((E11)-(C11)),SQRT(RAND()*((D11)-(C11))/((E11)-(C11))),1-SQRT(RAND()*((E11)-(D11))/((E11)-(C11))))</f>
        <v>7.1574657678649505E-3</v>
      </c>
      <c r="G156" s="71">
        <f ca="1">(C12)+(E12-C12)*IF(RAND()&lt;((D12)-(C12))/((E12)-(C12)),SQRT(RAND()*((D12)-(C12))/((E12)-(C12))),1-SQRT(RAND()*((E12)-(D12))/((E12)-(C12))))</f>
        <v>0.16812345874055207</v>
      </c>
      <c r="H156" s="72">
        <f t="shared" ca="1" si="4"/>
        <v>151945087.65445641</v>
      </c>
      <c r="I156" s="73">
        <f t="shared" ca="1" si="5"/>
        <v>183.96388516490893</v>
      </c>
    </row>
    <row r="157" spans="1:9" ht="16.05" customHeight="1" x14ac:dyDescent="0.3">
      <c r="A157" s="66">
        <v>141</v>
      </c>
      <c r="B157" s="67">
        <f ca="1">(C7)+(E7-C7)*IF(RAND()&lt;((D7)-(C7))/((E7)-(C7)),SQRT(RAND()*((D7)-(C7))/((E7)-(C7))),1-SQRT(RAND()*((E7)-(D7))/((E7)-(C7))))</f>
        <v>0.38201053007240066</v>
      </c>
      <c r="C157" s="67">
        <f ca="1">(C8)+(E8-C8)*IF(RAND()&lt;((D8)-(C8))/((E8)-(C8)),SQRT(RAND()*((D8)-(C8))/((E8)-(C8))),1-SQRT(RAND()*((E8)-(D8))/((E8)-(C8))))</f>
        <v>0.65130303081486995</v>
      </c>
      <c r="D157" s="68">
        <f ca="1">(C9)+(E9-C9)*IF(RAND()&lt;((D9)-(C9))/((E9)-(C9)),SQRT(RAND()*((D9)-(C9))/((E9)-(C9))),1-SQRT(RAND()*((E9)-(D9))/((E9)-(C9))))</f>
        <v>1286785.8950261427</v>
      </c>
      <c r="E157" s="68">
        <f ca="1">(C10)+(E10-C10)*IF(RAND()&lt;((D10)-(C10))/((E10)-(C10)),SQRT(RAND()*((D10)-(C10))/((E10)-(C10))),1-SQRT(RAND()*((E10)-(D10))/((E10)-(C10))))</f>
        <v>4068501.6669378951</v>
      </c>
      <c r="F157" s="67">
        <f ca="1">(C11)+(E11-C11)*IF(RAND()&lt;((D11)-(C11))/((E11)-(C11)),SQRT(RAND()*((D11)-(C11))/((E11)-(C11))),1-SQRT(RAND()*((E11)-(D11))/((E11)-(C11))))</f>
        <v>1.6167473859025588E-2</v>
      </c>
      <c r="G157" s="67">
        <f ca="1">(C12)+(E12-C12)*IF(RAND()&lt;((D12)-(C12))/((E12)-(C12)),SQRT(RAND()*((D12)-(C12))/((E12)-(C12))),1-SQRT(RAND()*((E12)-(D12))/((E12)-(C12))))</f>
        <v>0.17603582409970353</v>
      </c>
      <c r="H157" s="68">
        <f t="shared" ca="1" si="4"/>
        <v>370670114.78624338</v>
      </c>
      <c r="I157" s="69">
        <f t="shared" ca="1" si="5"/>
        <v>381.2650330688723</v>
      </c>
    </row>
    <row r="158" spans="1:9" ht="16.05" customHeight="1" x14ac:dyDescent="0.3">
      <c r="A158" s="70">
        <v>142</v>
      </c>
      <c r="B158" s="71">
        <f ca="1">(C7)+(E7-C7)*IF(RAND()&lt;((D7)-(C7))/((E7)-(C7)),SQRT(RAND()*((D7)-(C7))/((E7)-(C7))),1-SQRT(RAND()*((E7)-(D7))/((E7)-(C7))))</f>
        <v>0.30510581098519624</v>
      </c>
      <c r="C158" s="71">
        <f ca="1">(C8)+(E8-C8)*IF(RAND()&lt;((D8)-(C8))/((E8)-(C8)),SQRT(RAND()*((D8)-(C8))/((E8)-(C8))),1-SQRT(RAND()*((E8)-(D8))/((E8)-(C8))))</f>
        <v>0.68456190048085586</v>
      </c>
      <c r="D158" s="72">
        <f ca="1">(C9)+(E9-C9)*IF(RAND()&lt;((D9)-(C9))/((E9)-(C9)),SQRT(RAND()*((D9)-(C9))/((E9)-(C9))),1-SQRT(RAND()*((E9)-(D9))/((E9)-(C9))))</f>
        <v>1214850.8270404907</v>
      </c>
      <c r="E158" s="72">
        <f ca="1">(C10)+(E10-C10)*IF(RAND()&lt;((D10)-(C10))/((E10)-(C10)),SQRT(RAND()*((D10)-(C10))/((E10)-(C10))),1-SQRT(RAND()*((E10)-(D10))/((E10)-(C10))))</f>
        <v>3037792.3020847999</v>
      </c>
      <c r="F158" s="71">
        <f ca="1">(C11)+(E11-C11)*IF(RAND()&lt;((D11)-(C11))/((E11)-(C11)),SQRT(RAND()*((D11)-(C11))/((E11)-(C11))),1-SQRT(RAND()*((E11)-(D11))/((E11)-(C11))))</f>
        <v>9.4027185266925759E-3</v>
      </c>
      <c r="G158" s="71">
        <f ca="1">(C12)+(E12-C12)*IF(RAND()&lt;((D12)-(C12))/((E12)-(C12)),SQRT(RAND()*((D12)-(C12))/((E12)-(C12))),1-SQRT(RAND()*((E12)-(D12))/((E12)-(C12))))</f>
        <v>0.17561069532762374</v>
      </c>
      <c r="H158" s="72">
        <f t="shared" ca="1" si="4"/>
        <v>282369731.22616518</v>
      </c>
      <c r="I158" s="73">
        <f t="shared" ca="1" si="5"/>
        <v>307.89335065980492</v>
      </c>
    </row>
    <row r="159" spans="1:9" ht="16.05" customHeight="1" x14ac:dyDescent="0.3">
      <c r="A159" s="66">
        <v>143</v>
      </c>
      <c r="B159" s="67">
        <f ca="1">(C7)+(E7-C7)*IF(RAND()&lt;((D7)-(C7))/((E7)-(C7)),SQRT(RAND()*((D7)-(C7))/((E7)-(C7))),1-SQRT(RAND()*((E7)-(D7))/((E7)-(C7))))</f>
        <v>0.29355264482128818</v>
      </c>
      <c r="C159" s="67">
        <f ca="1">(C8)+(E8-C8)*IF(RAND()&lt;((D8)-(C8))/((E8)-(C8)),SQRT(RAND()*((D8)-(C8))/((E8)-(C8))),1-SQRT(RAND()*((E8)-(D8))/((E8)-(C8))))</f>
        <v>0.63208691509609638</v>
      </c>
      <c r="D159" s="68">
        <f ca="1">(C9)+(E9-C9)*IF(RAND()&lt;((D9)-(C9))/((E9)-(C9)),SQRT(RAND()*((D9)-(C9))/((E9)-(C9))),1-SQRT(RAND()*((E9)-(D9))/((E9)-(C9))))</f>
        <v>1049514.934653397</v>
      </c>
      <c r="E159" s="68">
        <f ca="1">(C10)+(E10-C10)*IF(RAND()&lt;((D10)-(C10))/((E10)-(C10)),SQRT(RAND()*((D10)-(C10))/((E10)-(C10))),1-SQRT(RAND()*((E10)-(D10))/((E10)-(C10))))</f>
        <v>4200051.8970272858</v>
      </c>
      <c r="F159" s="67">
        <f ca="1">(C11)+(E11-C11)*IF(RAND()&lt;((D11)-(C11))/((E11)-(C11)),SQRT(RAND()*((D11)-(C11))/((E11)-(C11))),1-SQRT(RAND()*((E11)-(D11))/((E11)-(C11))))</f>
        <v>7.8286196970361564E-3</v>
      </c>
      <c r="G159" s="67">
        <f ca="1">(C12)+(E12-C12)*IF(RAND()&lt;((D12)-(C12))/((E12)-(C12)),SQRT(RAND()*((D12)-(C12))/((E12)-(C12))),1-SQRT(RAND()*((E12)-(D12))/((E12)-(C12))))</f>
        <v>0.16901502563400278</v>
      </c>
      <c r="H159" s="68">
        <f t="shared" ca="1" si="4"/>
        <v>241404337.5607264</v>
      </c>
      <c r="I159" s="69">
        <f t="shared" ca="1" si="5"/>
        <v>304.7060760425689</v>
      </c>
    </row>
    <row r="160" spans="1:9" ht="16.05" customHeight="1" x14ac:dyDescent="0.3">
      <c r="A160" s="70">
        <v>144</v>
      </c>
      <c r="B160" s="71">
        <f ca="1">(C7)+(E7-C7)*IF(RAND()&lt;((D7)-(C7))/((E7)-(C7)),SQRT(RAND()*((D7)-(C7))/((E7)-(C7))),1-SQRT(RAND()*((E7)-(D7))/((E7)-(C7))))</f>
        <v>0.27097375386460004</v>
      </c>
      <c r="C160" s="71">
        <f ca="1">(C8)+(E8-C8)*IF(RAND()&lt;((D8)-(C8))/((E8)-(C8)),SQRT(RAND()*((D8)-(C8))/((E8)-(C8))),1-SQRT(RAND()*((E8)-(D8))/((E8)-(C8))))</f>
        <v>0.65995067900662208</v>
      </c>
      <c r="D160" s="72">
        <f ca="1">(C9)+(E9-C9)*IF(RAND()&lt;((D9)-(C9))/((E9)-(C9)),SQRT(RAND()*((D9)-(C9))/((E9)-(C9))),1-SQRT(RAND()*((E9)-(D9))/((E9)-(C9))))</f>
        <v>1212027.3081862819</v>
      </c>
      <c r="E160" s="72">
        <f ca="1">(C10)+(E10-C10)*IF(RAND()&lt;((D10)-(C10))/((E10)-(C10)),SQRT(RAND()*((D10)-(C10))/((E10)-(C10))),1-SQRT(RAND()*((E10)-(D10))/((E10)-(C10))))</f>
        <v>2959105.6667696708</v>
      </c>
      <c r="F160" s="71">
        <f ca="1">(C11)+(E11-C11)*IF(RAND()&lt;((D11)-(C11))/((E11)-(C11)),SQRT(RAND()*((D11)-(C11))/((E11)-(C11))),1-SQRT(RAND()*((E11)-(D11))/((E11)-(C11))))</f>
        <v>1.1442387756441161E-2</v>
      </c>
      <c r="G160" s="71">
        <f ca="1">(C12)+(E12-C12)*IF(RAND()&lt;((D12)-(C12))/((E12)-(C12)),SQRT(RAND()*((D12)-(C12))/((E12)-(C12))),1-SQRT(RAND()*((E12)-(D12))/((E12)-(C12))))</f>
        <v>0.18131707738268077</v>
      </c>
      <c r="H160" s="72">
        <f t="shared" ca="1" si="4"/>
        <v>264716264.34872034</v>
      </c>
      <c r="I160" s="73">
        <f t="shared" ca="1" si="5"/>
        <v>289.39617505862492</v>
      </c>
    </row>
    <row r="161" spans="1:9" ht="16.05" customHeight="1" x14ac:dyDescent="0.3">
      <c r="A161" s="66">
        <v>145</v>
      </c>
      <c r="B161" s="67">
        <f ca="1">(C7)+(E7-C7)*IF(RAND()&lt;((D7)-(C7))/((E7)-(C7)),SQRT(RAND()*((D7)-(C7))/((E7)-(C7))),1-SQRT(RAND()*((E7)-(D7))/((E7)-(C7))))</f>
        <v>0.2521026239480878</v>
      </c>
      <c r="C161" s="67">
        <f ca="1">(C8)+(E8-C8)*IF(RAND()&lt;((D8)-(C8))/((E8)-(C8)),SQRT(RAND()*((D8)-(C8))/((E8)-(C8))),1-SQRT(RAND()*((E8)-(D8))/((E8)-(C8))))</f>
        <v>0.80945863037496268</v>
      </c>
      <c r="D161" s="68">
        <f ca="1">(C9)+(E9-C9)*IF(RAND()&lt;((D9)-(C9))/((E9)-(C9)),SQRT(RAND()*((D9)-(C9))/((E9)-(C9))),1-SQRT(RAND()*((E9)-(D9))/((E9)-(C9))))</f>
        <v>1233347.398799713</v>
      </c>
      <c r="E161" s="68">
        <f ca="1">(C10)+(E10-C10)*IF(RAND()&lt;((D10)-(C10))/((E10)-(C10)),SQRT(RAND()*((D10)-(C10))/((E10)-(C10))),1-SQRT(RAND()*((E10)-(D10))/((E10)-(C10))))</f>
        <v>3218516.4236739008</v>
      </c>
      <c r="F161" s="67">
        <f ca="1">(C11)+(E11-C11)*IF(RAND()&lt;((D11)-(C11))/((E11)-(C11)),SQRT(RAND()*((D11)-(C11))/((E11)-(C11))),1-SQRT(RAND()*((E11)-(D11))/((E11)-(C11))))</f>
        <v>7.4180251913761935E-3</v>
      </c>
      <c r="G161" s="67">
        <f ca="1">(C12)+(E12-C12)*IF(RAND()&lt;((D12)-(C12))/((E12)-(C12)),SQRT(RAND()*((D12)-(C12))/((E12)-(C12))),1-SQRT(RAND()*((E12)-(D12))/((E12)-(C12))))</f>
        <v>0.11344911102231341</v>
      </c>
      <c r="H161" s="68">
        <f t="shared" ca="1" si="4"/>
        <v>262122202.31629777</v>
      </c>
      <c r="I161" s="69">
        <f t="shared" ca="1" si="5"/>
        <v>281.64218222606337</v>
      </c>
    </row>
    <row r="162" spans="1:9" ht="16.05" customHeight="1" x14ac:dyDescent="0.3">
      <c r="A162" s="70">
        <v>146</v>
      </c>
      <c r="B162" s="71">
        <f ca="1">(C7)+(E7-C7)*IF(RAND()&lt;((D7)-(C7))/((E7)-(C7)),SQRT(RAND()*((D7)-(C7))/((E7)-(C7))),1-SQRT(RAND()*((E7)-(D7))/((E7)-(C7))))</f>
        <v>0.27184493040996249</v>
      </c>
      <c r="C162" s="71">
        <f ca="1">(C8)+(E8-C8)*IF(RAND()&lt;((D8)-(C8))/((E8)-(C8)),SQRT(RAND()*((D8)-(C8))/((E8)-(C8))),1-SQRT(RAND()*((E8)-(D8))/((E8)-(C8))))</f>
        <v>0.73533865851362878</v>
      </c>
      <c r="D162" s="72">
        <f ca="1">(C9)+(E9-C9)*IF(RAND()&lt;((D9)-(C9))/((E9)-(C9)),SQRT(RAND()*((D9)-(C9))/((E9)-(C9))),1-SQRT(RAND()*((E9)-(D9))/((E9)-(C9))))</f>
        <v>1155342.4038820337</v>
      </c>
      <c r="E162" s="72">
        <f ca="1">(C10)+(E10-C10)*IF(RAND()&lt;((D10)-(C10))/((E10)-(C10)),SQRT(RAND()*((D10)-(C10))/((E10)-(C10))),1-SQRT(RAND()*((E10)-(D10))/((E10)-(C10))))</f>
        <v>3028500.7330694138</v>
      </c>
      <c r="F162" s="71">
        <f ca="1">(C11)+(E11-C11)*IF(RAND()&lt;((D11)-(C11))/((E11)-(C11)),SQRT(RAND()*((D11)-(C11))/((E11)-(C11))),1-SQRT(RAND()*((E11)-(D11))/((E11)-(C11))))</f>
        <v>1.8906664291841385E-2</v>
      </c>
      <c r="G162" s="71">
        <f ca="1">(C12)+(E12-C12)*IF(RAND()&lt;((D12)-(C12))/((E12)-(C12)),SQRT(RAND()*((D12)-(C12))/((E12)-(C12))),1-SQRT(RAND()*((E12)-(D12))/((E12)-(C12))))</f>
        <v>0.14030590832576698</v>
      </c>
      <c r="H162" s="72">
        <f t="shared" ca="1" si="4"/>
        <v>341306377.16211396</v>
      </c>
      <c r="I162" s="73">
        <f t="shared" ca="1" si="5"/>
        <v>390.96867987618015</v>
      </c>
    </row>
    <row r="163" spans="1:9" ht="16.05" customHeight="1" x14ac:dyDescent="0.3">
      <c r="A163" s="66">
        <v>147</v>
      </c>
      <c r="B163" s="67">
        <f ca="1">(C7)+(E7-C7)*IF(RAND()&lt;((D7)-(C7))/((E7)-(C7)),SQRT(RAND()*((D7)-(C7))/((E7)-(C7))),1-SQRT(RAND()*((E7)-(D7))/((E7)-(C7))))</f>
        <v>0.27400928564887617</v>
      </c>
      <c r="C163" s="67">
        <f ca="1">(C8)+(E8-C8)*IF(RAND()&lt;((D8)-(C8))/((E8)-(C8)),SQRT(RAND()*((D8)-(C8))/((E8)-(C8))),1-SQRT(RAND()*((E8)-(D8))/((E8)-(C8))))</f>
        <v>0.65038164232067897</v>
      </c>
      <c r="D163" s="68">
        <f ca="1">(C9)+(E9-C9)*IF(RAND()&lt;((D9)-(C9))/((E9)-(C9)),SQRT(RAND()*((D9)-(C9))/((E9)-(C9))),1-SQRT(RAND()*((E9)-(D9))/((E9)-(C9))))</f>
        <v>1165524.952182014</v>
      </c>
      <c r="E163" s="68">
        <f ca="1">(C10)+(E10-C10)*IF(RAND()&lt;((D10)-(C10))/((E10)-(C10)),SQRT(RAND()*((D10)-(C10))/((E10)-(C10))),1-SQRT(RAND()*((E10)-(D10))/((E10)-(C10))))</f>
        <v>3504890.5066430382</v>
      </c>
      <c r="F163" s="67">
        <f ca="1">(C11)+(E11-C11)*IF(RAND()&lt;((D11)-(C11))/((E11)-(C11)),SQRT(RAND()*((D11)-(C11))/((E11)-(C11))),1-SQRT(RAND()*((E11)-(D11))/((E11)-(C11))))</f>
        <v>7.2097806638006454E-3</v>
      </c>
      <c r="G163" s="67">
        <f ca="1">(C12)+(E12-C12)*IF(RAND()&lt;((D12)-(C12))/((E12)-(C12)),SQRT(RAND()*((D12)-(C12))/((E12)-(C12))),1-SQRT(RAND()*((E12)-(D12))/((E12)-(C12))))</f>
        <v>0.18644513439256566</v>
      </c>
      <c r="H163" s="68">
        <f t="shared" ca="1" si="4"/>
        <v>231471180.05359551</v>
      </c>
      <c r="I163" s="69">
        <f t="shared" ca="1" si="5"/>
        <v>263.26753711288512</v>
      </c>
    </row>
    <row r="164" spans="1:9" ht="16.05" customHeight="1" x14ac:dyDescent="0.3">
      <c r="A164" s="70">
        <v>148</v>
      </c>
      <c r="B164" s="71">
        <f ca="1">(C7)+(E7-C7)*IF(RAND()&lt;((D7)-(C7))/((E7)-(C7)),SQRT(RAND()*((D7)-(C7))/((E7)-(C7))),1-SQRT(RAND()*((E7)-(D7))/((E7)-(C7))))</f>
        <v>0.21855991885030004</v>
      </c>
      <c r="C164" s="71">
        <f ca="1">(C8)+(E8-C8)*IF(RAND()&lt;((D8)-(C8))/((E8)-(C8)),SQRT(RAND()*((D8)-(C8))/((E8)-(C8))),1-SQRT(RAND()*((E8)-(D8))/((E8)-(C8))))</f>
        <v>0.81320962252677398</v>
      </c>
      <c r="D164" s="72">
        <f ca="1">(C9)+(E9-C9)*IF(RAND()&lt;((D9)-(C9))/((E9)-(C9)),SQRT(RAND()*((D9)-(C9))/((E9)-(C9))),1-SQRT(RAND()*((E9)-(D9))/((E9)-(C9))))</f>
        <v>1229780.0153187066</v>
      </c>
      <c r="E164" s="72">
        <f ca="1">(C10)+(E10-C10)*IF(RAND()&lt;((D10)-(C10))/((E10)-(C10)),SQRT(RAND()*((D10)-(C10))/((E10)-(C10))),1-SQRT(RAND()*((E10)-(D10))/((E10)-(C10))))</f>
        <v>3500339.2286034897</v>
      </c>
      <c r="F164" s="71">
        <f ca="1">(C11)+(E11-C11)*IF(RAND()&lt;((D11)-(C11))/((E11)-(C11)),SQRT(RAND()*((D11)-(C11))/((E11)-(C11))),1-SQRT(RAND()*((E11)-(D11))/((E11)-(C11))))</f>
        <v>1.8735257335072433E-2</v>
      </c>
      <c r="G164" s="71">
        <f ca="1">(C12)+(E12-C12)*IF(RAND()&lt;((D12)-(C12))/((E12)-(C12)),SQRT(RAND()*((D12)-(C12))/((E12)-(C12))),1-SQRT(RAND()*((E12)-(D12))/((E12)-(C12))))</f>
        <v>0.17585708006709067</v>
      </c>
      <c r="H164" s="72">
        <f t="shared" ca="1" si="4"/>
        <v>314093716.78492546</v>
      </c>
      <c r="I164" s="73">
        <f t="shared" ca="1" si="5"/>
        <v>338.19684437519987</v>
      </c>
    </row>
    <row r="165" spans="1:9" ht="16.05" customHeight="1" x14ac:dyDescent="0.3">
      <c r="A165" s="66">
        <v>149</v>
      </c>
      <c r="B165" s="67">
        <f ca="1">(C7)+(E7-C7)*IF(RAND()&lt;((D7)-(C7))/((E7)-(C7)),SQRT(RAND()*((D7)-(C7))/((E7)-(C7))),1-SQRT(RAND()*((E7)-(D7))/((E7)-(C7))))</f>
        <v>0.2260351610665001</v>
      </c>
      <c r="C165" s="67">
        <f ca="1">(C8)+(E8-C8)*IF(RAND()&lt;((D8)-(C8))/((E8)-(C8)),SQRT(RAND()*((D8)-(C8))/((E8)-(C8))),1-SQRT(RAND()*((E8)-(D8))/((E8)-(C8))))</f>
        <v>0.8677091111323687</v>
      </c>
      <c r="D165" s="68">
        <f ca="1">(C9)+(E9-C9)*IF(RAND()&lt;((D9)-(C9))/((E9)-(C9)),SQRT(RAND()*((D9)-(C9))/((E9)-(C9))),1-SQRT(RAND()*((E9)-(D9))/((E9)-(C9))))</f>
        <v>1462728.7741752223</v>
      </c>
      <c r="E165" s="68">
        <f ca="1">(C10)+(E10-C10)*IF(RAND()&lt;((D10)-(C10))/((E10)-(C10)),SQRT(RAND()*((D10)-(C10))/((E10)-(C10))),1-SQRT(RAND()*((E10)-(D10))/((E10)-(C10))))</f>
        <v>3310426.0220731683</v>
      </c>
      <c r="F165" s="67">
        <f ca="1">(C11)+(E11-C11)*IF(RAND()&lt;((D11)-(C11))/((E11)-(C11)),SQRT(RAND()*((D11)-(C11))/((E11)-(C11))),1-SQRT(RAND()*((E11)-(D11))/((E11)-(C11))))</f>
        <v>5.5544459950728408E-3</v>
      </c>
      <c r="G165" s="67">
        <f ca="1">(C12)+(E12-C12)*IF(RAND()&lt;((D12)-(C12))/((E12)-(C12)),SQRT(RAND()*((D12)-(C12))/((E12)-(C12))),1-SQRT(RAND()*((E12)-(D12))/((E12)-(C12))))</f>
        <v>0.13403897588581987</v>
      </c>
      <c r="H165" s="68">
        <f t="shared" ca="1" si="4"/>
        <v>239462027.5053629</v>
      </c>
      <c r="I165" s="69">
        <f t="shared" ca="1" si="5"/>
        <v>217.24924295506045</v>
      </c>
    </row>
    <row r="166" spans="1:9" ht="16.05" customHeight="1" x14ac:dyDescent="0.3">
      <c r="A166" s="70">
        <v>150</v>
      </c>
      <c r="B166" s="71">
        <f ca="1">(C7)+(E7-C7)*IF(RAND()&lt;((D7)-(C7))/((E7)-(C7)),SQRT(RAND()*((D7)-(C7))/((E7)-(C7))),1-SQRT(RAND()*((E7)-(D7))/((E7)-(C7))))</f>
        <v>0.25685728448243433</v>
      </c>
      <c r="C166" s="71">
        <f ca="1">(C8)+(E8-C8)*IF(RAND()&lt;((D8)-(C8))/((E8)-(C8)),SQRT(RAND()*((D8)-(C8))/((E8)-(C8))),1-SQRT(RAND()*((E8)-(D8))/((E8)-(C8))))</f>
        <v>0.61385917950205626</v>
      </c>
      <c r="D166" s="72">
        <f ca="1">(C9)+(E9-C9)*IF(RAND()&lt;((D9)-(C9))/((E9)-(C9)),SQRT(RAND()*((D9)-(C9))/((E9)-(C9))),1-SQRT(RAND()*((E9)-(D9))/((E9)-(C9))))</f>
        <v>1285215.6586752587</v>
      </c>
      <c r="E166" s="72">
        <f ca="1">(C10)+(E10-C10)*IF(RAND()&lt;((D10)-(C10))/((E10)-(C10)),SQRT(RAND()*((D10)-(C10))/((E10)-(C10))),1-SQRT(RAND()*((E10)-(D10))/((E10)-(C10))))</f>
        <v>3798023.4435583474</v>
      </c>
      <c r="F166" s="71">
        <f ca="1">(C11)+(E11-C11)*IF(RAND()&lt;((D11)-(C11))/((E11)-(C11)),SQRT(RAND()*((D11)-(C11))/((E11)-(C11))),1-SQRT(RAND()*((E11)-(D11))/((E11)-(C11))))</f>
        <v>1.5788515882991638E-2</v>
      </c>
      <c r="G166" s="71">
        <f ca="1">(C12)+(E12-C12)*IF(RAND()&lt;((D12)-(C12))/((E12)-(C12)),SQRT(RAND()*((D12)-(C12))/((E12)-(C12))),1-SQRT(RAND()*((E12)-(D12))/((E12)-(C12))))</f>
        <v>0.13235489971406147</v>
      </c>
      <c r="H166" s="72">
        <f t="shared" ca="1" si="4"/>
        <v>269815958.34774703</v>
      </c>
      <c r="I166" s="73">
        <f t="shared" ca="1" si="5"/>
        <v>278.22492770243429</v>
      </c>
    </row>
    <row r="167" spans="1:9" ht="16.05" customHeight="1" x14ac:dyDescent="0.3">
      <c r="A167" s="66">
        <v>151</v>
      </c>
      <c r="B167" s="67">
        <f ca="1">(C7)+(E7-C7)*IF(RAND()&lt;((D7)-(C7))/((E7)-(C7)),SQRT(RAND()*((D7)-(C7))/((E7)-(C7))),1-SQRT(RAND()*((E7)-(D7))/((E7)-(C7))))</f>
        <v>0.22680658529511649</v>
      </c>
      <c r="C167" s="67">
        <f ca="1">(C8)+(E8-C8)*IF(RAND()&lt;((D8)-(C8))/((E8)-(C8)),SQRT(RAND()*((D8)-(C8))/((E8)-(C8))),1-SQRT(RAND()*((E8)-(D8))/((E8)-(C8))))</f>
        <v>0.53914714012169551</v>
      </c>
      <c r="D167" s="68">
        <f ca="1">(C9)+(E9-C9)*IF(RAND()&lt;((D9)-(C9))/((E9)-(C9)),SQRT(RAND()*((D9)-(C9))/((E9)-(C9))),1-SQRT(RAND()*((E9)-(D9))/((E9)-(C9))))</f>
        <v>1121241.7828691739</v>
      </c>
      <c r="E167" s="68">
        <f ca="1">(C10)+(E10-C10)*IF(RAND()&lt;((D10)-(C10))/((E10)-(C10)),SQRT(RAND()*((D10)-(C10))/((E10)-(C10))),1-SQRT(RAND()*((E10)-(D10))/((E10)-(C10))))</f>
        <v>3700005.4424341619</v>
      </c>
      <c r="F167" s="67">
        <f ca="1">(C11)+(E11-C11)*IF(RAND()&lt;((D11)-(C11))/((E11)-(C11)),SQRT(RAND()*((D11)-(C11))/((E11)-(C11))),1-SQRT(RAND()*((E11)-(D11))/((E11)-(C11))))</f>
        <v>9.4970373705146327E-3</v>
      </c>
      <c r="G167" s="67">
        <f ca="1">(C12)+(E12-C12)*IF(RAND()&lt;((D12)-(C12))/((E12)-(C12)),SQRT(RAND()*((D12)-(C12))/((E12)-(C12))),1-SQRT(RAND()*((E12)-(D12))/((E12)-(C12))))</f>
        <v>0.1393800637451264</v>
      </c>
      <c r="H167" s="68">
        <f t="shared" ca="1" si="4"/>
        <v>186436738.39593899</v>
      </c>
      <c r="I167" s="69">
        <f t="shared" ca="1" si="5"/>
        <v>220.6362776969994</v>
      </c>
    </row>
    <row r="168" spans="1:9" ht="16.05" customHeight="1" x14ac:dyDescent="0.3">
      <c r="A168" s="70">
        <v>152</v>
      </c>
      <c r="B168" s="71">
        <f ca="1">(C7)+(E7-C7)*IF(RAND()&lt;((D7)-(C7))/((E7)-(C7)),SQRT(RAND()*((D7)-(C7))/((E7)-(C7))),1-SQRT(RAND()*((E7)-(D7))/((E7)-(C7))))</f>
        <v>0.27859894746925257</v>
      </c>
      <c r="C168" s="71">
        <f ca="1">(C8)+(E8-C8)*IF(RAND()&lt;((D8)-(C8))/((E8)-(C8)),SQRT(RAND()*((D8)-(C8))/((E8)-(C8))),1-SQRT(RAND()*((E8)-(D8))/((E8)-(C8))))</f>
        <v>0.72576272244432338</v>
      </c>
      <c r="D168" s="72">
        <f ca="1">(C9)+(E9-C9)*IF(RAND()&lt;((D9)-(C9))/((E9)-(C9)),SQRT(RAND()*((D9)-(C9))/((E9)-(C9))),1-SQRT(RAND()*((E9)-(D9))/((E9)-(C9))))</f>
        <v>1270647.7587283948</v>
      </c>
      <c r="E168" s="72">
        <f ca="1">(C10)+(E10-C10)*IF(RAND()&lt;((D10)-(C10))/((E10)-(C10)),SQRT(RAND()*((D10)-(C10))/((E10)-(C10))),1-SQRT(RAND()*((E10)-(D10))/((E10)-(C10))))</f>
        <v>3458536.359872845</v>
      </c>
      <c r="F168" s="71">
        <f ca="1">(C11)+(E11-C11)*IF(RAND()&lt;((D11)-(C11))/((E11)-(C11)),SQRT(RAND()*((D11)-(C11))/((E11)-(C11))),1-SQRT(RAND()*((E11)-(D11))/((E11)-(C11))))</f>
        <v>1.7153588951414271E-2</v>
      </c>
      <c r="G168" s="71">
        <f ca="1">(C12)+(E12-C12)*IF(RAND()&lt;((D12)-(C12))/((E12)-(C12)),SQRT(RAND()*((D12)-(C12))/((E12)-(C12))),1-SQRT(RAND()*((E12)-(D12))/((E12)-(C12))))</f>
        <v>0.16203350294994098</v>
      </c>
      <c r="H168" s="72">
        <f t="shared" ca="1" si="4"/>
        <v>329408623.39589441</v>
      </c>
      <c r="I168" s="73">
        <f t="shared" ca="1" si="5"/>
        <v>343.25940482880179</v>
      </c>
    </row>
    <row r="169" spans="1:9" ht="16.05" customHeight="1" x14ac:dyDescent="0.3">
      <c r="A169" s="66">
        <v>153</v>
      </c>
      <c r="B169" s="67">
        <f ca="1">(C7)+(E7-C7)*IF(RAND()&lt;((D7)-(C7))/((E7)-(C7)),SQRT(RAND()*((D7)-(C7))/((E7)-(C7))),1-SQRT(RAND()*((E7)-(D7))/((E7)-(C7))))</f>
        <v>0.16057427405108618</v>
      </c>
      <c r="C169" s="67">
        <f ca="1">(C8)+(E8-C8)*IF(RAND()&lt;((D8)-(C8))/((E8)-(C8)),SQRT(RAND()*((D8)-(C8))/((E8)-(C8))),1-SQRT(RAND()*((E8)-(D8))/((E8)-(C8))))</f>
        <v>0.66973631457999117</v>
      </c>
      <c r="D169" s="68">
        <f ca="1">(C9)+(E9-C9)*IF(RAND()&lt;((D9)-(C9))/((E9)-(C9)),SQRT(RAND()*((D9)-(C9))/((E9)-(C9))),1-SQRT(RAND()*((E9)-(D9))/((E9)-(C9))))</f>
        <v>1476895.5633500905</v>
      </c>
      <c r="E169" s="68">
        <f ca="1">(C10)+(E10-C10)*IF(RAND()&lt;((D10)-(C10))/((E10)-(C10)),SQRT(RAND()*((D10)-(C10))/((E10)-(C10))),1-SQRT(RAND()*((E10)-(D10))/((E10)-(C10))))</f>
        <v>2752226.9644767586</v>
      </c>
      <c r="F169" s="67">
        <f ca="1">(C11)+(E11-C11)*IF(RAND()&lt;((D11)-(C11))/((E11)-(C11)),SQRT(RAND()*((D11)-(C11))/((E11)-(C11))),1-SQRT(RAND()*((E11)-(D11))/((E11)-(C11))))</f>
        <v>1.4876445675263091E-2</v>
      </c>
      <c r="G169" s="67">
        <f ca="1">(C12)+(E12-C12)*IF(RAND()&lt;((D12)-(C12))/((E12)-(C12)),SQRT(RAND()*((D12)-(C12))/((E12)-(C12))),1-SQRT(RAND()*((E12)-(D12))/((E12)-(C12))))</f>
        <v>0.14354209612508417</v>
      </c>
      <c r="H169" s="68">
        <f t="shared" ca="1" si="4"/>
        <v>212464498.77538103</v>
      </c>
      <c r="I169" s="69">
        <f t="shared" ca="1" si="5"/>
        <v>191.06699980956708</v>
      </c>
    </row>
    <row r="170" spans="1:9" ht="16.05" customHeight="1" x14ac:dyDescent="0.3">
      <c r="A170" s="70">
        <v>154</v>
      </c>
      <c r="B170" s="71">
        <f ca="1">(C7)+(E7-C7)*IF(RAND()&lt;((D7)-(C7))/((E7)-(C7)),SQRT(RAND()*((D7)-(C7))/((E7)-(C7))),1-SQRT(RAND()*((E7)-(D7))/((E7)-(C7))))</f>
        <v>0.30916050078290236</v>
      </c>
      <c r="C170" s="71">
        <f ca="1">(C8)+(E8-C8)*IF(RAND()&lt;((D8)-(C8))/((E8)-(C8)),SQRT(RAND()*((D8)-(C8))/((E8)-(C8))),1-SQRT(RAND()*((E8)-(D8))/((E8)-(C8))))</f>
        <v>0.63244868174501645</v>
      </c>
      <c r="D170" s="72">
        <f ca="1">(C9)+(E9-C9)*IF(RAND()&lt;((D9)-(C9))/((E9)-(C9)),SQRT(RAND()*((D9)-(C9))/((E9)-(C9))),1-SQRT(RAND()*((E9)-(D9))/((E9)-(C9))))</f>
        <v>1193930.7054396144</v>
      </c>
      <c r="E170" s="72">
        <f ca="1">(C10)+(E10-C10)*IF(RAND()&lt;((D10)-(C10))/((E10)-(C10)),SQRT(RAND()*((D10)-(C10))/((E10)-(C10))),1-SQRT(RAND()*((E10)-(D10))/((E10)-(C10))))</f>
        <v>5042939.9477773234</v>
      </c>
      <c r="F170" s="71">
        <f ca="1">(C11)+(E11-C11)*IF(RAND()&lt;((D11)-(C11))/((E11)-(C11)),SQRT(RAND()*((D11)-(C11))/((E11)-(C11))),1-SQRT(RAND()*((E11)-(D11))/((E11)-(C11))))</f>
        <v>8.1947670145644958E-3</v>
      </c>
      <c r="G170" s="71">
        <f ca="1">(C12)+(E12-C12)*IF(RAND()&lt;((D12)-(C12))/((E12)-(C12)),SQRT(RAND()*((D12)-(C12))/((E12)-(C12))),1-SQRT(RAND()*((E12)-(D12))/((E12)-(C12))))</f>
        <v>0.158182019992644</v>
      </c>
      <c r="H170" s="72">
        <f t="shared" ca="1" si="4"/>
        <v>251562371.71347743</v>
      </c>
      <c r="I170" s="73">
        <f t="shared" ca="1" si="5"/>
        <v>279.23092826628624</v>
      </c>
    </row>
    <row r="171" spans="1:9" ht="16.05" customHeight="1" x14ac:dyDescent="0.3">
      <c r="A171" s="66">
        <v>155</v>
      </c>
      <c r="B171" s="67">
        <f ca="1">(C7)+(E7-C7)*IF(RAND()&lt;((D7)-(C7))/((E7)-(C7)),SQRT(RAND()*((D7)-(C7))/((E7)-(C7))),1-SQRT(RAND()*((E7)-(D7))/((E7)-(C7))))</f>
        <v>0.31862442827030957</v>
      </c>
      <c r="C171" s="67">
        <f ca="1">(C8)+(E8-C8)*IF(RAND()&lt;((D8)-(C8))/((E8)-(C8)),SQRT(RAND()*((D8)-(C8))/((E8)-(C8))),1-SQRT(RAND()*((E8)-(D8))/((E8)-(C8))))</f>
        <v>0.60359183923481396</v>
      </c>
      <c r="D171" s="68">
        <f ca="1">(C9)+(E9-C9)*IF(RAND()&lt;((D9)-(C9))/((E9)-(C9)),SQRT(RAND()*((D9)-(C9))/((E9)-(C9))),1-SQRT(RAND()*((E9)-(D9))/((E9)-(C9))))</f>
        <v>1223468.6097313017</v>
      </c>
      <c r="E171" s="68">
        <f ca="1">(C10)+(E10-C10)*IF(RAND()&lt;((D10)-(C10))/((E10)-(C10)),SQRT(RAND()*((D10)-(C10))/((E10)-(C10))),1-SQRT(RAND()*((E10)-(D10))/((E10)-(C10))))</f>
        <v>3459874.3186361021</v>
      </c>
      <c r="F171" s="67">
        <f ca="1">(C11)+(E11-C11)*IF(RAND()&lt;((D11)-(C11))/((E11)-(C11)),SQRT(RAND()*((D11)-(C11))/((E11)-(C11))),1-SQRT(RAND()*((E11)-(D11))/((E11)-(C11))))</f>
        <v>6.5531550139391326E-3</v>
      </c>
      <c r="G171" s="67">
        <f ca="1">(C12)+(E12-C12)*IF(RAND()&lt;((D12)-(C12))/((E12)-(C12)),SQRT(RAND()*((D12)-(C12))/((E12)-(C12))),1-SQRT(RAND()*((E12)-(D12))/((E12)-(C12))))</f>
        <v>0.18619490031950833</v>
      </c>
      <c r="H171" s="68">
        <f t="shared" ca="1" si="4"/>
        <v>242194003.30467695</v>
      </c>
      <c r="I171" s="69">
        <f t="shared" ca="1" si="5"/>
        <v>262.42159121086479</v>
      </c>
    </row>
    <row r="172" spans="1:9" ht="16.05" customHeight="1" x14ac:dyDescent="0.3">
      <c r="A172" s="70">
        <v>156</v>
      </c>
      <c r="B172" s="71">
        <f ca="1">(C7)+(E7-C7)*IF(RAND()&lt;((D7)-(C7))/((E7)-(C7)),SQRT(RAND()*((D7)-(C7))/((E7)-(C7))),1-SQRT(RAND()*((E7)-(D7))/((E7)-(C7))))</f>
        <v>0.30899501286827791</v>
      </c>
      <c r="C172" s="71">
        <f ca="1">(C8)+(E8-C8)*IF(RAND()&lt;((D8)-(C8))/((E8)-(C8)),SQRT(RAND()*((D8)-(C8))/((E8)-(C8))),1-SQRT(RAND()*((E8)-(D8))/((E8)-(C8))))</f>
        <v>0.67215394915919291</v>
      </c>
      <c r="D172" s="72">
        <f ca="1">(C9)+(E9-C9)*IF(RAND()&lt;((D9)-(C9))/((E9)-(C9)),SQRT(RAND()*((D9)-(C9))/((E9)-(C9))),1-SQRT(RAND()*((E9)-(D9))/((E9)-(C9))))</f>
        <v>1263277.3623551687</v>
      </c>
      <c r="E172" s="72">
        <f ca="1">(C10)+(E10-C10)*IF(RAND()&lt;((D10)-(C10))/((E10)-(C10)),SQRT(RAND()*((D10)-(C10))/((E10)-(C10))),1-SQRT(RAND()*((E10)-(D10))/((E10)-(C10))))</f>
        <v>3892288.6335355705</v>
      </c>
      <c r="F172" s="71">
        <f ca="1">(C11)+(E11-C11)*IF(RAND()&lt;((D11)-(C11))/((E11)-(C11)),SQRT(RAND()*((D11)-(C11))/((E11)-(C11))),1-SQRT(RAND()*((E11)-(D11))/((E11)-(C11))))</f>
        <v>1.6040566132996321E-2</v>
      </c>
      <c r="G172" s="71">
        <f ca="1">(C12)+(E12-C12)*IF(RAND()&lt;((D12)-(C12))/((E12)-(C12)),SQRT(RAND()*((D12)-(C12))/((E12)-(C12))),1-SQRT(RAND()*((E12)-(D12))/((E12)-(C12))))</f>
        <v>0.1712458914335947</v>
      </c>
      <c r="H172" s="72">
        <f t="shared" ca="1" si="4"/>
        <v>325717160.95944786</v>
      </c>
      <c r="I172" s="73">
        <f t="shared" ca="1" si="5"/>
        <v>341.40014880676017</v>
      </c>
    </row>
    <row r="173" spans="1:9" ht="16.05" customHeight="1" x14ac:dyDescent="0.3">
      <c r="A173" s="66">
        <v>157</v>
      </c>
      <c r="B173" s="67">
        <f ca="1">(C7)+(E7-C7)*IF(RAND()&lt;((D7)-(C7))/((E7)-(C7)),SQRT(RAND()*((D7)-(C7))/((E7)-(C7))),1-SQRT(RAND()*((E7)-(D7))/((E7)-(C7))))</f>
        <v>0.26782099963131462</v>
      </c>
      <c r="C173" s="67">
        <f ca="1">(C8)+(E8-C8)*IF(RAND()&lt;((D8)-(C8))/((E8)-(C8)),SQRT(RAND()*((D8)-(C8))/((E8)-(C8))),1-SQRT(RAND()*((E8)-(D8))/((E8)-(C8))))</f>
        <v>0.60281135128200503</v>
      </c>
      <c r="D173" s="68">
        <f ca="1">(C9)+(E9-C9)*IF(RAND()&lt;((D9)-(C9))/((E9)-(C9)),SQRT(RAND()*((D9)-(C9))/((E9)-(C9))),1-SQRT(RAND()*((E9)-(D9))/((E9)-(C9))))</f>
        <v>1129764.0103823917</v>
      </c>
      <c r="E173" s="68">
        <f ca="1">(C10)+(E10-C10)*IF(RAND()&lt;((D10)-(C10))/((E10)-(C10)),SQRT(RAND()*((D10)-(C10))/((E10)-(C10))),1-SQRT(RAND()*((E10)-(D10))/((E10)-(C10))))</f>
        <v>3213857.2328423616</v>
      </c>
      <c r="F173" s="67">
        <f ca="1">(C11)+(E11-C11)*IF(RAND()&lt;((D11)-(C11))/((E11)-(C11)),SQRT(RAND()*((D11)-(C11))/((E11)-(C11))),1-SQRT(RAND()*((E11)-(D11))/((E11)-(C11))))</f>
        <v>8.2910071940428837E-3</v>
      </c>
      <c r="G173" s="67">
        <f ca="1">(C12)+(E12-C12)*IF(RAND()&lt;((D12)-(C12))/((E12)-(C12)),SQRT(RAND()*((D12)-(C12))/((E12)-(C12))),1-SQRT(RAND()*((E12)-(D12))/((E12)-(C12))))</f>
        <v>0.1321035308659422</v>
      </c>
      <c r="H173" s="68">
        <f t="shared" ca="1" si="4"/>
        <v>222174453.64559188</v>
      </c>
      <c r="I173" s="69">
        <f t="shared" ca="1" si="5"/>
        <v>260.70528679944925</v>
      </c>
    </row>
    <row r="174" spans="1:9" ht="16.05" customHeight="1" x14ac:dyDescent="0.3">
      <c r="A174" s="70">
        <v>158</v>
      </c>
      <c r="B174" s="71">
        <f ca="1">(C7)+(E7-C7)*IF(RAND()&lt;((D7)-(C7))/((E7)-(C7)),SQRT(RAND()*((D7)-(C7))/((E7)-(C7))),1-SQRT(RAND()*((E7)-(D7))/((E7)-(C7))))</f>
        <v>0.29317344246593369</v>
      </c>
      <c r="C174" s="71">
        <f ca="1">(C8)+(E8-C8)*IF(RAND()&lt;((D8)-(C8))/((E8)-(C8)),SQRT(RAND()*((D8)-(C8))/((E8)-(C8))),1-SQRT(RAND()*((E8)-(D8))/((E8)-(C8))))</f>
        <v>0.74123594840592222</v>
      </c>
      <c r="D174" s="72">
        <f ca="1">(C9)+(E9-C9)*IF(RAND()&lt;((D9)-(C9))/((E9)-(C9)),SQRT(RAND()*((D9)-(C9))/((E9)-(C9))),1-SQRT(RAND()*((E9)-(D9))/((E9)-(C9))))</f>
        <v>1264040.4463408031</v>
      </c>
      <c r="E174" s="72">
        <f ca="1">(C10)+(E10-C10)*IF(RAND()&lt;((D10)-(C10))/((E10)-(C10)),SQRT(RAND()*((D10)-(C10))/((E10)-(C10))),1-SQRT(RAND()*((E10)-(D10))/((E10)-(C10))))</f>
        <v>2720118.2393631176</v>
      </c>
      <c r="F174" s="71">
        <f ca="1">(C11)+(E11-C11)*IF(RAND()&lt;((D11)-(C11))/((E11)-(C11)),SQRT(RAND()*((D11)-(C11))/((E11)-(C11))),1-SQRT(RAND()*((E11)-(D11))/((E11)-(C11))))</f>
        <v>8.0060784448477088E-3</v>
      </c>
      <c r="G174" s="71">
        <f ca="1">(C12)+(E12-C12)*IF(RAND()&lt;((D12)-(C12))/((E12)-(C12)),SQRT(RAND()*((D12)-(C12))/((E12)-(C12))),1-SQRT(RAND()*((E12)-(D12))/((E12)-(C12))))</f>
        <v>0.16569787614283615</v>
      </c>
      <c r="H174" s="72">
        <f t="shared" ca="1" si="4"/>
        <v>282634138.81352997</v>
      </c>
      <c r="I174" s="73">
        <f t="shared" ca="1" si="5"/>
        <v>296.23903534008065</v>
      </c>
    </row>
    <row r="175" spans="1:9" ht="16.05" customHeight="1" x14ac:dyDescent="0.3">
      <c r="A175" s="66">
        <v>159</v>
      </c>
      <c r="B175" s="67">
        <f ca="1">(C7)+(E7-C7)*IF(RAND()&lt;((D7)-(C7))/((E7)-(C7)),SQRT(RAND()*((D7)-(C7))/((E7)-(C7))),1-SQRT(RAND()*((E7)-(D7))/((E7)-(C7))))</f>
        <v>0.32462682365587059</v>
      </c>
      <c r="C175" s="67">
        <f ca="1">(C8)+(E8-C8)*IF(RAND()&lt;((D8)-(C8))/((E8)-(C8)),SQRT(RAND()*((D8)-(C8))/((E8)-(C8))),1-SQRT(RAND()*((E8)-(D8))/((E8)-(C8))))</f>
        <v>0.62305814024173267</v>
      </c>
      <c r="D175" s="68">
        <f ca="1">(C9)+(E9-C9)*IF(RAND()&lt;((D9)-(C9))/((E9)-(C9)),SQRT(RAND()*((D9)-(C9))/((E9)-(C9))),1-SQRT(RAND()*((E9)-(D9))/((E9)-(C9))))</f>
        <v>1326491.421071176</v>
      </c>
      <c r="E175" s="68">
        <f ca="1">(C10)+(E10-C10)*IF(RAND()&lt;((D10)-(C10))/((E10)-(C10)),SQRT(RAND()*((D10)-(C10))/((E10)-(C10))),1-SQRT(RAND()*((E10)-(D10))/((E10)-(C10))))</f>
        <v>3600466.7383927298</v>
      </c>
      <c r="F175" s="67">
        <f ca="1">(C11)+(E11-C11)*IF(RAND()&lt;((D11)-(C11))/((E11)-(C11)),SQRT(RAND()*((D11)-(C11))/((E11)-(C11))),1-SQRT(RAND()*((E11)-(D11))/((E11)-(C11))))</f>
        <v>1.5346003391720585E-2</v>
      </c>
      <c r="G175" s="67">
        <f ca="1">(C12)+(E12-C12)*IF(RAND()&lt;((D12)-(C12))/((E12)-(C12)),SQRT(RAND()*((D12)-(C12))/((E12)-(C12))),1-SQRT(RAND()*((E12)-(D12))/((E12)-(C12))))</f>
        <v>0.17810702138551507</v>
      </c>
      <c r="H175" s="68">
        <f t="shared" ca="1" si="4"/>
        <v>315838558.70755494</v>
      </c>
      <c r="I175" s="69">
        <f t="shared" ca="1" si="5"/>
        <v>315.37083425879655</v>
      </c>
    </row>
    <row r="176" spans="1:9" ht="16.05" customHeight="1" x14ac:dyDescent="0.3">
      <c r="A176" s="70">
        <v>160</v>
      </c>
      <c r="B176" s="71">
        <f ca="1">(C7)+(E7-C7)*IF(RAND()&lt;((D7)-(C7))/((E7)-(C7)),SQRT(RAND()*((D7)-(C7))/((E7)-(C7))),1-SQRT(RAND()*((E7)-(D7))/((E7)-(C7))))</f>
        <v>0.30041318710643028</v>
      </c>
      <c r="C176" s="71">
        <f ca="1">(C8)+(E8-C8)*IF(RAND()&lt;((D8)-(C8))/((E8)-(C8)),SQRT(RAND()*((D8)-(C8))/((E8)-(C8))),1-SQRT(RAND()*((E8)-(D8))/((E8)-(C8))))</f>
        <v>0.66363464340661371</v>
      </c>
      <c r="D176" s="72">
        <f ca="1">(C9)+(E9-C9)*IF(RAND()&lt;((D9)-(C9))/((E9)-(C9)),SQRT(RAND()*((D9)-(C9))/((E9)-(C9))),1-SQRT(RAND()*((E9)-(D9))/((E9)-(C9))))</f>
        <v>1205863.9473723946</v>
      </c>
      <c r="E176" s="72">
        <f ca="1">(C10)+(E10-C10)*IF(RAND()&lt;((D10)-(C10))/((E10)-(C10)),SQRT(RAND()*((D10)-(C10))/((E10)-(C10))),1-SQRT(RAND()*((E10)-(D10))/((E10)-(C10))))</f>
        <v>4226412.5440718587</v>
      </c>
      <c r="F176" s="71">
        <f ca="1">(C11)+(E11-C11)*IF(RAND()&lt;((D11)-(C11))/((E11)-(C11)),SQRT(RAND()*((D11)-(C11))/((E11)-(C11))),1-SQRT(RAND()*((E11)-(D11))/((E11)-(C11))))</f>
        <v>1.1358196165044299E-2</v>
      </c>
      <c r="G176" s="71">
        <f ca="1">(C12)+(E12-C12)*IF(RAND()&lt;((D12)-(C12))/((E12)-(C12)),SQRT(RAND()*((D12)-(C12))/((E12)-(C12))),1-SQRT(RAND()*((E12)-(D12))/((E12)-(C12))))</f>
        <v>0.17692399133005221</v>
      </c>
      <c r="H176" s="72">
        <f t="shared" ca="1" si="4"/>
        <v>281652154.4138273</v>
      </c>
      <c r="I176" s="73">
        <f t="shared" ca="1" si="5"/>
        <v>309.39324800642288</v>
      </c>
    </row>
    <row r="177" spans="1:9" ht="16.05" customHeight="1" x14ac:dyDescent="0.3">
      <c r="A177" s="66">
        <v>161</v>
      </c>
      <c r="B177" s="67">
        <f ca="1">(C7)+(E7-C7)*IF(RAND()&lt;((D7)-(C7))/((E7)-(C7)),SQRT(RAND()*((D7)-(C7))/((E7)-(C7))),1-SQRT(RAND()*((E7)-(D7))/((E7)-(C7))))</f>
        <v>0.25855452328419792</v>
      </c>
      <c r="C177" s="67">
        <f ca="1">(C8)+(E8-C8)*IF(RAND()&lt;((D8)-(C8))/((E8)-(C8)),SQRT(RAND()*((D8)-(C8))/((E8)-(C8))),1-SQRT(RAND()*((E8)-(D8))/((E8)-(C8))))</f>
        <v>0.67164418036522111</v>
      </c>
      <c r="D177" s="68">
        <f ca="1">(C9)+(E9-C9)*IF(RAND()&lt;((D9)-(C9))/((E9)-(C9)),SQRT(RAND()*((D9)-(C9))/((E9)-(C9))),1-SQRT(RAND()*((E9)-(D9))/((E9)-(C9))))</f>
        <v>1301093.6617017847</v>
      </c>
      <c r="E177" s="68">
        <f ca="1">(C10)+(E10-C10)*IF(RAND()&lt;((D10)-(C10))/((E10)-(C10)),SQRT(RAND()*((D10)-(C10))/((E10)-(C10))),1-SQRT(RAND()*((E10)-(D10))/((E10)-(C10))))</f>
        <v>4107527.7507947567</v>
      </c>
      <c r="F177" s="67">
        <f ca="1">(C11)+(E11-C11)*IF(RAND()&lt;((D11)-(C11))/((E11)-(C11)),SQRT(RAND()*((D11)-(C11))/((E11)-(C11))),1-SQRT(RAND()*((E11)-(D11))/((E11)-(C11))))</f>
        <v>1.2432783379932602E-2</v>
      </c>
      <c r="G177" s="67">
        <f ca="1">(C12)+(E12-C12)*IF(RAND()&lt;((D12)-(C12))/((E12)-(C12)),SQRT(RAND()*((D12)-(C12))/((E12)-(C12))),1-SQRT(RAND()*((E12)-(D12))/((E12)-(C12))))</f>
        <v>0.12893379769158866</v>
      </c>
      <c r="H177" s="68">
        <f t="shared" ca="1" si="4"/>
        <v>261794473.15516657</v>
      </c>
      <c r="I177" s="69">
        <f t="shared" ca="1" si="5"/>
        <v>266.71387993612046</v>
      </c>
    </row>
    <row r="178" spans="1:9" ht="16.05" customHeight="1" x14ac:dyDescent="0.3">
      <c r="A178" s="70">
        <v>162</v>
      </c>
      <c r="B178" s="71">
        <f ca="1">(C7)+(E7-C7)*IF(RAND()&lt;((D7)-(C7))/((E7)-(C7)),SQRT(RAND()*((D7)-(C7))/((E7)-(C7))),1-SQRT(RAND()*((E7)-(D7))/((E7)-(C7))))</f>
        <v>0.2779951336453591</v>
      </c>
      <c r="C178" s="71">
        <f ca="1">(C8)+(E8-C8)*IF(RAND()&lt;((D8)-(C8))/((E8)-(C8)),SQRT(RAND()*((D8)-(C8))/((E8)-(C8))),1-SQRT(RAND()*((E8)-(D8))/((E8)-(C8))))</f>
        <v>0.72063417467578716</v>
      </c>
      <c r="D178" s="72">
        <f ca="1">(C9)+(E9-C9)*IF(RAND()&lt;((D9)-(C9))/((E9)-(C9)),SQRT(RAND()*((D9)-(C9))/((E9)-(C9))),1-SQRT(RAND()*((E9)-(D9))/((E9)-(C9))))</f>
        <v>1039885.328408825</v>
      </c>
      <c r="E178" s="72">
        <f ca="1">(C10)+(E10-C10)*IF(RAND()&lt;((D10)-(C10))/((E10)-(C10)),SQRT(RAND()*((D10)-(C10))/((E10)-(C10))),1-SQRT(RAND()*((E10)-(D10))/((E10)-(C10))))</f>
        <v>4017216.8182736756</v>
      </c>
      <c r="F178" s="71">
        <f ca="1">(C11)+(E11-C11)*IF(RAND()&lt;((D11)-(C11))/((E11)-(C11)),SQRT(RAND()*((D11)-(C11))/((E11)-(C11))),1-SQRT(RAND()*((E11)-(D11))/((E11)-(C11))))</f>
        <v>1.9397241866441057E-2</v>
      </c>
      <c r="G178" s="71">
        <f ca="1">(C12)+(E12-C12)*IF(RAND()&lt;((D12)-(C12))/((E12)-(C12)),SQRT(RAND()*((D12)-(C12))/((E12)-(C12))),1-SQRT(RAND()*((E12)-(D12))/((E12)-(C12))))</f>
        <v>0.14228738929942691</v>
      </c>
      <c r="H178" s="72">
        <f t="shared" ca="1" si="4"/>
        <v>341687585.81533492</v>
      </c>
      <c r="I178" s="73">
        <f t="shared" ca="1" si="5"/>
        <v>434.71448734263186</v>
      </c>
    </row>
    <row r="179" spans="1:9" ht="16.05" customHeight="1" x14ac:dyDescent="0.3">
      <c r="A179" s="66">
        <v>163</v>
      </c>
      <c r="B179" s="67">
        <f ca="1">(C7)+(E7-C7)*IF(RAND()&lt;((D7)-(C7))/((E7)-(C7)),SQRT(RAND()*((D7)-(C7))/((E7)-(C7))),1-SQRT(RAND()*((E7)-(D7))/((E7)-(C7))))</f>
        <v>0.22176764185360406</v>
      </c>
      <c r="C179" s="67">
        <f ca="1">(C8)+(E8-C8)*IF(RAND()&lt;((D8)-(C8))/((E8)-(C8)),SQRT(RAND()*((D8)-(C8))/((E8)-(C8))),1-SQRT(RAND()*((E8)-(D8))/((E8)-(C8))))</f>
        <v>0.78087223870612843</v>
      </c>
      <c r="D179" s="68">
        <f ca="1">(C9)+(E9-C9)*IF(RAND()&lt;((D9)-(C9))/((E9)-(C9)),SQRT(RAND()*((D9)-(C9))/((E9)-(C9))),1-SQRT(RAND()*((E9)-(D9))/((E9)-(C9))))</f>
        <v>1175063.8421023949</v>
      </c>
      <c r="E179" s="68">
        <f ca="1">(C10)+(E10-C10)*IF(RAND()&lt;((D10)-(C10))/((E10)-(C10)),SQRT(RAND()*((D10)-(C10))/((E10)-(C10))),1-SQRT(RAND()*((E10)-(D10))/((E10)-(C10))))</f>
        <v>3357303.1887605884</v>
      </c>
      <c r="F179" s="67">
        <f ca="1">(C11)+(E11-C11)*IF(RAND()&lt;((D11)-(C11))/((E11)-(C11)),SQRT(RAND()*((D11)-(C11))/((E11)-(C11))),1-SQRT(RAND()*((E11)-(D11))/((E11)-(C11))))</f>
        <v>1.752910274814274E-2</v>
      </c>
      <c r="G179" s="67">
        <f ca="1">(C12)+(E12-C12)*IF(RAND()&lt;((D12)-(C12))/((E12)-(C12)),SQRT(RAND()*((D12)-(C12))/((E12)-(C12))),1-SQRT(RAND()*((E12)-(D12))/((E12)-(C12))))</f>
        <v>0.16347900190413242</v>
      </c>
      <c r="H179" s="68">
        <f t="shared" ca="1" si="4"/>
        <v>301020878.89020419</v>
      </c>
      <c r="I179" s="69">
        <f t="shared" ca="1" si="5"/>
        <v>339.2093499215548</v>
      </c>
    </row>
    <row r="180" spans="1:9" ht="16.05" customHeight="1" x14ac:dyDescent="0.3">
      <c r="A180" s="70">
        <v>164</v>
      </c>
      <c r="B180" s="71">
        <f ca="1">(C7)+(E7-C7)*IF(RAND()&lt;((D7)-(C7))/((E7)-(C7)),SQRT(RAND()*((D7)-(C7))/((E7)-(C7))),1-SQRT(RAND()*((E7)-(D7))/((E7)-(C7))))</f>
        <v>0.32827956543775694</v>
      </c>
      <c r="C180" s="71">
        <f ca="1">(C8)+(E8-C8)*IF(RAND()&lt;((D8)-(C8))/((E8)-(C8)),SQRT(RAND()*((D8)-(C8))/((E8)-(C8))),1-SQRT(RAND()*((E8)-(D8))/((E8)-(C8))))</f>
        <v>0.70102914227914437</v>
      </c>
      <c r="D180" s="72">
        <f ca="1">(C9)+(E9-C9)*IF(RAND()&lt;((D9)-(C9))/((E9)-(C9)),SQRT(RAND()*((D9)-(C9))/((E9)-(C9))),1-SQRT(RAND()*((E9)-(D9))/((E9)-(C9))))</f>
        <v>1295994.4800663483</v>
      </c>
      <c r="E180" s="72">
        <f ca="1">(C10)+(E10-C10)*IF(RAND()&lt;((D10)-(C10))/((E10)-(C10)),SQRT(RAND()*((D10)-(C10))/((E10)-(C10))),1-SQRT(RAND()*((E10)-(D10))/((E10)-(C10))))</f>
        <v>3581385.8682274204</v>
      </c>
      <c r="F180" s="71">
        <f ca="1">(C11)+(E11-C11)*IF(RAND()&lt;((D11)-(C11))/((E11)-(C11)),SQRT(RAND()*((D11)-(C11))/((E11)-(C11))),1-SQRT(RAND()*((E11)-(D11))/((E11)-(C11))))</f>
        <v>1.1692027265386176E-2</v>
      </c>
      <c r="G180" s="71">
        <f ca="1">(C12)+(E12-C12)*IF(RAND()&lt;((D12)-(C12))/((E12)-(C12)),SQRT(RAND()*((D12)-(C12))/((E12)-(C12))),1-SQRT(RAND()*((E12)-(D12))/((E12)-(C12))))</f>
        <v>0.15009164039387357</v>
      </c>
      <c r="H180" s="72">
        <f t="shared" ca="1" si="4"/>
        <v>319891912.23291582</v>
      </c>
      <c r="I180" s="73">
        <f t="shared" ca="1" si="5"/>
        <v>326.88627133768608</v>
      </c>
    </row>
    <row r="181" spans="1:9" ht="16.05" customHeight="1" x14ac:dyDescent="0.3">
      <c r="A181" s="66">
        <v>165</v>
      </c>
      <c r="B181" s="67">
        <f ca="1">(C7)+(E7-C7)*IF(RAND()&lt;((D7)-(C7))/((E7)-(C7)),SQRT(RAND()*((D7)-(C7))/((E7)-(C7))),1-SQRT(RAND()*((E7)-(D7))/((E7)-(C7))))</f>
        <v>0.30487085431707156</v>
      </c>
      <c r="C181" s="67">
        <f ca="1">(C8)+(E8-C8)*IF(RAND()&lt;((D8)-(C8))/((E8)-(C8)),SQRT(RAND()*((D8)-(C8))/((E8)-(C8))),1-SQRT(RAND()*((E8)-(D8))/((E8)-(C8))))</f>
        <v>0.68850156052604106</v>
      </c>
      <c r="D181" s="68">
        <f ca="1">(C9)+(E9-C9)*IF(RAND()&lt;((D9)-(C9))/((E9)-(C9)),SQRT(RAND()*((D9)-(C9))/((E9)-(C9))),1-SQRT(RAND()*((E9)-(D9))/((E9)-(C9))))</f>
        <v>1212656.5914625698</v>
      </c>
      <c r="E181" s="68">
        <f ca="1">(C10)+(E10-C10)*IF(RAND()&lt;((D10)-(C10))/((E10)-(C10)),SQRT(RAND()*((D10)-(C10))/((E10)-(C10))),1-SQRT(RAND()*((E10)-(D10))/((E10)-(C10))))</f>
        <v>3288515.9487938033</v>
      </c>
      <c r="F181" s="67">
        <f ca="1">(C11)+(E11-C11)*IF(RAND()&lt;((D11)-(C11))/((E11)-(C11)),SQRT(RAND()*((D11)-(C11))/((E11)-(C11))),1-SQRT(RAND()*((E11)-(D11))/((E11)-(C11))))</f>
        <v>1.5534194191281945E-2</v>
      </c>
      <c r="G181" s="67">
        <f ca="1">(C12)+(E12-C12)*IF(RAND()&lt;((D12)-(C12))/((E12)-(C12)),SQRT(RAND()*((D12)-(C12))/((E12)-(C12))),1-SQRT(RAND()*((E12)-(D12))/((E12)-(C12))))</f>
        <v>0.1779423564875881</v>
      </c>
      <c r="H181" s="68">
        <f t="shared" ca="1" si="4"/>
        <v>326808120.75313777</v>
      </c>
      <c r="I181" s="69">
        <f t="shared" ca="1" si="5"/>
        <v>356.78301392596069</v>
      </c>
    </row>
    <row r="182" spans="1:9" ht="16.05" customHeight="1" x14ac:dyDescent="0.3">
      <c r="A182" s="70">
        <v>166</v>
      </c>
      <c r="B182" s="71">
        <f ca="1">(C7)+(E7-C7)*IF(RAND()&lt;((D7)-(C7))/((E7)-(C7)),SQRT(RAND()*((D7)-(C7))/((E7)-(C7))),1-SQRT(RAND()*((E7)-(D7))/((E7)-(C7))))</f>
        <v>0.22754771965158027</v>
      </c>
      <c r="C182" s="71">
        <f ca="1">(C8)+(E8-C8)*IF(RAND()&lt;((D8)-(C8))/((E8)-(C8)),SQRT(RAND()*((D8)-(C8))/((E8)-(C8))),1-SQRT(RAND()*((E8)-(D8))/((E8)-(C8))))</f>
        <v>0.68193004728461104</v>
      </c>
      <c r="D182" s="72">
        <f ca="1">(C9)+(E9-C9)*IF(RAND()&lt;((D9)-(C9))/((E9)-(C9)),SQRT(RAND()*((D9)-(C9))/((E9)-(C9))),1-SQRT(RAND()*((E9)-(D9))/((E9)-(C9))))</f>
        <v>1461956.6984639987</v>
      </c>
      <c r="E182" s="72">
        <f ca="1">(C10)+(E10-C10)*IF(RAND()&lt;((D10)-(C10))/((E10)-(C10)),SQRT(RAND()*((D10)-(C10))/((E10)-(C10))),1-SQRT(RAND()*((E10)-(D10))/((E10)-(C10))))</f>
        <v>3232344.3427497623</v>
      </c>
      <c r="F182" s="71">
        <f ca="1">(C11)+(E11-C11)*IF(RAND()&lt;((D11)-(C11))/((E11)-(C11)),SQRT(RAND()*((D11)-(C11))/((E11)-(C11))),1-SQRT(RAND()*((E11)-(D11))/((E11)-(C11))))</f>
        <v>1.6093103067161163E-2</v>
      </c>
      <c r="G182" s="71">
        <f ca="1">(C12)+(E12-C12)*IF(RAND()&lt;((D12)-(C12))/((E12)-(C12)),SQRT(RAND()*((D12)-(C12))/((E12)-(C12))),1-SQRT(RAND()*((E12)-(D12))/((E12)-(C12))))</f>
        <v>0.1642382562022433</v>
      </c>
      <c r="H182" s="72">
        <f t="shared" ca="1" si="4"/>
        <v>271259301.64317685</v>
      </c>
      <c r="I182" s="73">
        <f t="shared" ca="1" si="5"/>
        <v>246.0509979033055</v>
      </c>
    </row>
    <row r="183" spans="1:9" ht="16.05" customHeight="1" x14ac:dyDescent="0.3">
      <c r="A183" s="66">
        <v>167</v>
      </c>
      <c r="B183" s="67">
        <f ca="1">(C7)+(E7-C7)*IF(RAND()&lt;((D7)-(C7))/((E7)-(C7)),SQRT(RAND()*((D7)-(C7))/((E7)-(C7))),1-SQRT(RAND()*((E7)-(D7))/((E7)-(C7))))</f>
        <v>0.30824441448568396</v>
      </c>
      <c r="C183" s="67">
        <f ca="1">(C8)+(E8-C8)*IF(RAND()&lt;((D8)-(C8))/((E8)-(C8)),SQRT(RAND()*((D8)-(C8))/((E8)-(C8))),1-SQRT(RAND()*((E8)-(D8))/((E8)-(C8))))</f>
        <v>0.7591373505902036</v>
      </c>
      <c r="D183" s="68">
        <f ca="1">(C9)+(E9-C9)*IF(RAND()&lt;((D9)-(C9))/((E9)-(C9)),SQRT(RAND()*((D9)-(C9))/((E9)-(C9))),1-SQRT(RAND()*((E9)-(D9))/((E9)-(C9))))</f>
        <v>1268568.5984022857</v>
      </c>
      <c r="E183" s="68">
        <f ca="1">(C10)+(E10-C10)*IF(RAND()&lt;((D10)-(C10))/((E10)-(C10)),SQRT(RAND()*((D10)-(C10))/((E10)-(C10))),1-SQRT(RAND()*((E10)-(D10))/((E10)-(C10))))</f>
        <v>3099135.7764812834</v>
      </c>
      <c r="F183" s="67">
        <f ca="1">(C11)+(E11-C11)*IF(RAND()&lt;((D11)-(C11))/((E11)-(C11)),SQRT(RAND()*((D11)-(C11))/((E11)-(C11))),1-SQRT(RAND()*((E11)-(D11))/((E11)-(C11))))</f>
        <v>1.62204911685652E-2</v>
      </c>
      <c r="G183" s="67">
        <f ca="1">(C12)+(E12-C12)*IF(RAND()&lt;((D12)-(C12))/((E12)-(C12)),SQRT(RAND()*((D12)-(C12))/((E12)-(C12))),1-SQRT(RAND()*((E12)-(D12))/((E12)-(C12))))</f>
        <v>0.17318450901312255</v>
      </c>
      <c r="H183" s="68">
        <f t="shared" ca="1" si="4"/>
        <v>358638719.14593059</v>
      </c>
      <c r="I183" s="69">
        <f t="shared" ca="1" si="5"/>
        <v>374.21167426894044</v>
      </c>
    </row>
    <row r="184" spans="1:9" ht="16.05" customHeight="1" x14ac:dyDescent="0.3">
      <c r="A184" s="70">
        <v>168</v>
      </c>
      <c r="B184" s="71">
        <f ca="1">(C7)+(E7-C7)*IF(RAND()&lt;((D7)-(C7))/((E7)-(C7)),SQRT(RAND()*((D7)-(C7))/((E7)-(C7))),1-SQRT(RAND()*((E7)-(D7))/((E7)-(C7))))</f>
        <v>0.3028105410366474</v>
      </c>
      <c r="C184" s="71">
        <f ca="1">(C8)+(E8-C8)*IF(RAND()&lt;((D8)-(C8))/((E8)-(C8)),SQRT(RAND()*((D8)-(C8))/((E8)-(C8))),1-SQRT(RAND()*((E8)-(D8))/((E8)-(C8))))</f>
        <v>0.74552484902120275</v>
      </c>
      <c r="D184" s="72">
        <f ca="1">(C9)+(E9-C9)*IF(RAND()&lt;((D9)-(C9))/((E9)-(C9)),SQRT(RAND()*((D9)-(C9))/((E9)-(C9))),1-SQRT(RAND()*((E9)-(D9))/((E9)-(C9))))</f>
        <v>1189908.3593460913</v>
      </c>
      <c r="E184" s="72">
        <f ca="1">(C10)+(E10-C10)*IF(RAND()&lt;((D10)-(C10))/((E10)-(C10)),SQRT(RAND()*((D10)-(C10))/((E10)-(C10))),1-SQRT(RAND()*((E10)-(D10))/((E10)-(C10))))</f>
        <v>3684133.2805488706</v>
      </c>
      <c r="F184" s="71">
        <f ca="1">(C11)+(E11-C11)*IF(RAND()&lt;((D11)-(C11))/((E11)-(C11)),SQRT(RAND()*((D11)-(C11))/((E11)-(C11))),1-SQRT(RAND()*((E11)-(D11))/((E11)-(C11))))</f>
        <v>5.8389286600917922E-3</v>
      </c>
      <c r="G184" s="71">
        <f ca="1">(C12)+(E12-C12)*IF(RAND()&lt;((D12)-(C12))/((E12)-(C12)),SQRT(RAND()*((D12)-(C12))/((E12)-(C12))),1-SQRT(RAND()*((E12)-(D12))/((E12)-(C12))))</f>
        <v>0.17123018206584467</v>
      </c>
      <c r="H184" s="72">
        <f t="shared" ca="1" si="4"/>
        <v>272596768.29745501</v>
      </c>
      <c r="I184" s="73">
        <f t="shared" ca="1" si="5"/>
        <v>303.48654587534838</v>
      </c>
    </row>
    <row r="185" spans="1:9" ht="16.05" customHeight="1" x14ac:dyDescent="0.3">
      <c r="A185" s="66">
        <v>169</v>
      </c>
      <c r="B185" s="67">
        <f ca="1">(C7)+(E7-C7)*IF(RAND()&lt;((D7)-(C7))/((E7)-(C7)),SQRT(RAND()*((D7)-(C7))/((E7)-(C7))),1-SQRT(RAND()*((E7)-(D7))/((E7)-(C7))))</f>
        <v>0.33848592984415415</v>
      </c>
      <c r="C185" s="67">
        <f ca="1">(C8)+(E8-C8)*IF(RAND()&lt;((D8)-(C8))/((E8)-(C8)),SQRT(RAND()*((D8)-(C8))/((E8)-(C8))),1-SQRT(RAND()*((E8)-(D8))/((E8)-(C8))))</f>
        <v>0.70945488400942813</v>
      </c>
      <c r="D185" s="68">
        <f ca="1">(C9)+(E9-C9)*IF(RAND()&lt;((D9)-(C9))/((E9)-(C9)),SQRT(RAND()*((D9)-(C9))/((E9)-(C9))),1-SQRT(RAND()*((E9)-(D9))/((E9)-(C9))))</f>
        <v>1337584.7950940342</v>
      </c>
      <c r="E185" s="68">
        <f ca="1">(C10)+(E10-C10)*IF(RAND()&lt;((D10)-(C10))/((E10)-(C10)),SQRT(RAND()*((D10)-(C10))/((E10)-(C10))),1-SQRT(RAND()*((E10)-(D10))/((E10)-(C10))))</f>
        <v>3210334.8620877787</v>
      </c>
      <c r="F185" s="67">
        <f ca="1">(C11)+(E11-C11)*IF(RAND()&lt;((D11)-(C11))/((E11)-(C11)),SQRT(RAND()*((D11)-(C11))/((E11)-(C11))),1-SQRT(RAND()*((E11)-(D11))/((E11)-(C11))))</f>
        <v>1.6145869086982061E-2</v>
      </c>
      <c r="G185" s="67">
        <f ca="1">(C12)+(E12-C12)*IF(RAND()&lt;((D12)-(C12))/((E12)-(C12)),SQRT(RAND()*((D12)-(C12))/((E12)-(C12))),1-SQRT(RAND()*((E12)-(D12))/((E12)-(C12))))</f>
        <v>0.13871861302365301</v>
      </c>
      <c r="H185" s="68">
        <f t="shared" ca="1" si="4"/>
        <v>364290327.83172125</v>
      </c>
      <c r="I185" s="69">
        <f t="shared" ca="1" si="5"/>
        <v>360.54432815384388</v>
      </c>
    </row>
    <row r="186" spans="1:9" ht="16.05" customHeight="1" x14ac:dyDescent="0.3">
      <c r="A186" s="70">
        <v>170</v>
      </c>
      <c r="B186" s="71">
        <f ca="1">(C7)+(E7-C7)*IF(RAND()&lt;((D7)-(C7))/((E7)-(C7)),SQRT(RAND()*((D7)-(C7))/((E7)-(C7))),1-SQRT(RAND()*((E7)-(D7))/((E7)-(C7))))</f>
        <v>0.22755868167464705</v>
      </c>
      <c r="C186" s="71">
        <f ca="1">(C8)+(E8-C8)*IF(RAND()&lt;((D8)-(C8))/((E8)-(C8)),SQRT(RAND()*((D8)-(C8))/((E8)-(C8))),1-SQRT(RAND()*((E8)-(D8))/((E8)-(C8))))</f>
        <v>0.64989117694493481</v>
      </c>
      <c r="D186" s="72">
        <f ca="1">(C9)+(E9-C9)*IF(RAND()&lt;((D9)-(C9))/((E9)-(C9)),SQRT(RAND()*((D9)-(C9))/((E9)-(C9))),1-SQRT(RAND()*((E9)-(D9))/((E9)-(C9))))</f>
        <v>1252558.6481767732</v>
      </c>
      <c r="E186" s="72">
        <f ca="1">(C10)+(E10-C10)*IF(RAND()&lt;((D10)-(C10))/((E10)-(C10)),SQRT(RAND()*((D10)-(C10))/((E10)-(C10))),1-SQRT(RAND()*((E10)-(D10))/((E10)-(C10))))</f>
        <v>2503798.4066043054</v>
      </c>
      <c r="F186" s="71">
        <f ca="1">(C11)+(E11-C11)*IF(RAND()&lt;((D11)-(C11))/((E11)-(C11)),SQRT(RAND()*((D11)-(C11))/((E11)-(C11))),1-SQRT(RAND()*((E11)-(D11))/((E11)-(C11))))</f>
        <v>1.3412849333338944E-2</v>
      </c>
      <c r="G186" s="71">
        <f ca="1">(C12)+(E12-C12)*IF(RAND()&lt;((D12)-(C12))/((E12)-(C12)),SQRT(RAND()*((D12)-(C12))/((E12)-(C12))),1-SQRT(RAND()*((E12)-(D12))/((E12)-(C12))))</f>
        <v>0.15676539232674574</v>
      </c>
      <c r="H186" s="72">
        <f t="shared" ca="1" si="4"/>
        <v>246961455.49301186</v>
      </c>
      <c r="I186" s="73">
        <f t="shared" ca="1" si="5"/>
        <v>261.37790722896312</v>
      </c>
    </row>
    <row r="187" spans="1:9" ht="16.05" customHeight="1" x14ac:dyDescent="0.3">
      <c r="A187" s="66">
        <v>171</v>
      </c>
      <c r="B187" s="67">
        <f ca="1">(C7)+(E7-C7)*IF(RAND()&lt;((D7)-(C7))/((E7)-(C7)),SQRT(RAND()*((D7)-(C7))/((E7)-(C7))),1-SQRT(RAND()*((E7)-(D7))/((E7)-(C7))))</f>
        <v>0.28102526872644906</v>
      </c>
      <c r="C187" s="67">
        <f ca="1">(C8)+(E8-C8)*IF(RAND()&lt;((D8)-(C8))/((E8)-(C8)),SQRT(RAND()*((D8)-(C8))/((E8)-(C8))),1-SQRT(RAND()*((E8)-(D8))/((E8)-(C8))))</f>
        <v>0.7327801200622367</v>
      </c>
      <c r="D187" s="68">
        <f ca="1">(C9)+(E9-C9)*IF(RAND()&lt;((D9)-(C9))/((E9)-(C9)),SQRT(RAND()*((D9)-(C9))/((E9)-(C9))),1-SQRT(RAND()*((E9)-(D9))/((E9)-(C9))))</f>
        <v>1072187.78629881</v>
      </c>
      <c r="E187" s="68">
        <f ca="1">(C10)+(E10-C10)*IF(RAND()&lt;((D10)-(C10))/((E10)-(C10)),SQRT(RAND()*((D10)-(C10))/((E10)-(C10))),1-SQRT(RAND()*((E10)-(D10))/((E10)-(C10))))</f>
        <v>3491433.2830982283</v>
      </c>
      <c r="F187" s="67">
        <f ca="1">(C11)+(E11-C11)*IF(RAND()&lt;((D11)-(C11))/((E11)-(C11)),SQRT(RAND()*((D11)-(C11))/((E11)-(C11))),1-SQRT(RAND()*((E11)-(D11))/((E11)-(C11))))</f>
        <v>1.3586378806193398E-2</v>
      </c>
      <c r="G187" s="67">
        <f ca="1">(C12)+(E12-C12)*IF(RAND()&lt;((D12)-(C12))/((E12)-(C12)),SQRT(RAND()*((D12)-(C12))/((E12)-(C12))),1-SQRT(RAND()*((E12)-(D12))/((E12)-(C12))))</f>
        <v>0.15446449891974617</v>
      </c>
      <c r="H187" s="68">
        <f t="shared" ca="1" si="4"/>
        <v>307796813.81953979</v>
      </c>
      <c r="I187" s="69">
        <f t="shared" ca="1" si="5"/>
        <v>379.96545735926168</v>
      </c>
    </row>
    <row r="188" spans="1:9" ht="16.05" customHeight="1" x14ac:dyDescent="0.3">
      <c r="A188" s="70">
        <v>172</v>
      </c>
      <c r="B188" s="71">
        <f ca="1">(C7)+(E7-C7)*IF(RAND()&lt;((D7)-(C7))/((E7)-(C7)),SQRT(RAND()*((D7)-(C7))/((E7)-(C7))),1-SQRT(RAND()*((E7)-(D7))/((E7)-(C7))))</f>
        <v>0.21448909473074129</v>
      </c>
      <c r="C188" s="71">
        <f ca="1">(C8)+(E8-C8)*IF(RAND()&lt;((D8)-(C8))/((E8)-(C8)),SQRT(RAND()*((D8)-(C8))/((E8)-(C8))),1-SQRT(RAND()*((E8)-(D8))/((E8)-(C8))))</f>
        <v>0.68833739721653131</v>
      </c>
      <c r="D188" s="72">
        <f ca="1">(C9)+(E9-C9)*IF(RAND()&lt;((D9)-(C9))/((E9)-(C9)),SQRT(RAND()*((D9)-(C9))/((E9)-(C9))),1-SQRT(RAND()*((E9)-(D9))/((E9)-(C9))))</f>
        <v>1248661.5484460846</v>
      </c>
      <c r="E188" s="72">
        <f ca="1">(C10)+(E10-C10)*IF(RAND()&lt;((D10)-(C10))/((E10)-(C10)),SQRT(RAND()*((D10)-(C10))/((E10)-(C10))),1-SQRT(RAND()*((E10)-(D10))/((E10)-(C10))))</f>
        <v>3132062.5837150323</v>
      </c>
      <c r="F188" s="71">
        <f ca="1">(C11)+(E11-C11)*IF(RAND()&lt;((D11)-(C11))/((E11)-(C11)),SQRT(RAND()*((D11)-(C11))/((E11)-(C11))),1-SQRT(RAND()*((E11)-(D11))/((E11)-(C11))))</f>
        <v>5.8348380927657137E-3</v>
      </c>
      <c r="G188" s="71">
        <f ca="1">(C12)+(E12-C12)*IF(RAND()&lt;((D12)-(C12))/((E12)-(C12)),SQRT(RAND()*((D12)-(C12))/((E12)-(C12))),1-SQRT(RAND()*((E12)-(D12))/((E12)-(C12))))</f>
        <v>0.13051220253480847</v>
      </c>
      <c r="H188" s="72">
        <f t="shared" ca="1" si="4"/>
        <v>189618958.96532288</v>
      </c>
      <c r="I188" s="73">
        <f t="shared" ca="1" si="5"/>
        <v>201.61747400438088</v>
      </c>
    </row>
    <row r="189" spans="1:9" ht="16.05" customHeight="1" x14ac:dyDescent="0.3">
      <c r="A189" s="66">
        <v>173</v>
      </c>
      <c r="B189" s="67">
        <f ca="1">(C7)+(E7-C7)*IF(RAND()&lt;((D7)-(C7))/((E7)-(C7)),SQRT(RAND()*((D7)-(C7))/((E7)-(C7))),1-SQRT(RAND()*((E7)-(D7))/((E7)-(C7))))</f>
        <v>0.25136730316199324</v>
      </c>
      <c r="C189" s="67">
        <f ca="1">(C8)+(E8-C8)*IF(RAND()&lt;((D8)-(C8))/((E8)-(C8)),SQRT(RAND()*((D8)-(C8))/((E8)-(C8))),1-SQRT(RAND()*((E8)-(D8))/((E8)-(C8))))</f>
        <v>0.6496090973491806</v>
      </c>
      <c r="D189" s="68">
        <f ca="1">(C9)+(E9-C9)*IF(RAND()&lt;((D9)-(C9))/((E9)-(C9)),SQRT(RAND()*((D9)-(C9))/((E9)-(C9))),1-SQRT(RAND()*((E9)-(D9))/((E9)-(C9))))</f>
        <v>1295701.4701907199</v>
      </c>
      <c r="E189" s="68">
        <f ca="1">(C10)+(E10-C10)*IF(RAND()&lt;((D10)-(C10))/((E10)-(C10)),SQRT(RAND()*((D10)-(C10))/((E10)-(C10))),1-SQRT(RAND()*((E10)-(D10))/((E10)-(C10))))</f>
        <v>3953069.4026256702</v>
      </c>
      <c r="F189" s="67">
        <f ca="1">(C11)+(E11-C11)*IF(RAND()&lt;((D11)-(C11))/((E11)-(C11)),SQRT(RAND()*((D11)-(C11))/((E11)-(C11))),1-SQRT(RAND()*((E11)-(D11))/((E11)-(C11))))</f>
        <v>1.722413375518177E-2</v>
      </c>
      <c r="G189" s="67">
        <f ca="1">(C12)+(E12-C12)*IF(RAND()&lt;((D12)-(C12))/((E12)-(C12)),SQRT(RAND()*((D12)-(C12))/((E12)-(C12))),1-SQRT(RAND()*((E12)-(D12))/((E12)-(C12))))</f>
        <v>0.1546394283832716</v>
      </c>
      <c r="H189" s="68">
        <f t="shared" ca="1" si="4"/>
        <v>285689795.06440878</v>
      </c>
      <c r="I189" s="69">
        <f t="shared" ca="1" si="5"/>
        <v>292.14310839406909</v>
      </c>
    </row>
    <row r="190" spans="1:9" ht="16.05" customHeight="1" x14ac:dyDescent="0.3">
      <c r="A190" s="70">
        <v>174</v>
      </c>
      <c r="B190" s="71">
        <f ca="1">(C7)+(E7-C7)*IF(RAND()&lt;((D7)-(C7))/((E7)-(C7)),SQRT(RAND()*((D7)-(C7))/((E7)-(C7))),1-SQRT(RAND()*((E7)-(D7))/((E7)-(C7))))</f>
        <v>0.29597425687311985</v>
      </c>
      <c r="C190" s="71">
        <f ca="1">(C8)+(E8-C8)*IF(RAND()&lt;((D8)-(C8))/((E8)-(C8)),SQRT(RAND()*((D8)-(C8))/((E8)-(C8))),1-SQRT(RAND()*((E8)-(D8))/((E8)-(C8))))</f>
        <v>0.76345223106716387</v>
      </c>
      <c r="D190" s="72">
        <f ca="1">(C9)+(E9-C9)*IF(RAND()&lt;((D9)-(C9))/((E9)-(C9)),SQRT(RAND()*((D9)-(C9))/((E9)-(C9))),1-SQRT(RAND()*((E9)-(D9))/((E9)-(C9))))</f>
        <v>1205900.6170347626</v>
      </c>
      <c r="E190" s="72">
        <f ca="1">(C10)+(E10-C10)*IF(RAND()&lt;((D10)-(C10))/((E10)-(C10)),SQRT(RAND()*((D10)-(C10))/((E10)-(C10))),1-SQRT(RAND()*((E10)-(D10))/((E10)-(C10))))</f>
        <v>3327492.8141831602</v>
      </c>
      <c r="F190" s="71">
        <f ca="1">(C11)+(E11-C11)*IF(RAND()&lt;((D11)-(C11))/((E11)-(C11)),SQRT(RAND()*((D11)-(C11))/((E11)-(C11))),1-SQRT(RAND()*((E11)-(D11))/((E11)-(C11))))</f>
        <v>1.6309874939934032E-2</v>
      </c>
      <c r="G190" s="71">
        <f ca="1">(C12)+(E12-C12)*IF(RAND()&lt;((D12)-(C12))/((E12)-(C12)),SQRT(RAND()*((D12)-(C12))/((E12)-(C12))),1-SQRT(RAND()*((E12)-(D12))/((E12)-(C12))))</f>
        <v>0.1363881081743672</v>
      </c>
      <c r="H190" s="72">
        <f t="shared" ca="1" si="4"/>
        <v>349736277.18270546</v>
      </c>
      <c r="I190" s="73">
        <f t="shared" ca="1" si="5"/>
        <v>383.85278645862184</v>
      </c>
    </row>
    <row r="191" spans="1:9" ht="16.05" customHeight="1" x14ac:dyDescent="0.3">
      <c r="A191" s="66">
        <v>175</v>
      </c>
      <c r="B191" s="67">
        <f ca="1">(C7)+(E7-C7)*IF(RAND()&lt;((D7)-(C7))/((E7)-(C7)),SQRT(RAND()*((D7)-(C7))/((E7)-(C7))),1-SQRT(RAND()*((E7)-(D7))/((E7)-(C7))))</f>
        <v>0.3595856894802123</v>
      </c>
      <c r="C191" s="67">
        <f ca="1">(C8)+(E8-C8)*IF(RAND()&lt;((D8)-(C8))/((E8)-(C8)),SQRT(RAND()*((D8)-(C8))/((E8)-(C8))),1-SQRT(RAND()*((E8)-(D8))/((E8)-(C8))))</f>
        <v>0.70060666037786667</v>
      </c>
      <c r="D191" s="68">
        <f ca="1">(C9)+(E9-C9)*IF(RAND()&lt;((D9)-(C9))/((E9)-(C9)),SQRT(RAND()*((D9)-(C9))/((E9)-(C9))),1-SQRT(RAND()*((E9)-(D9))/((E9)-(C9))))</f>
        <v>1098186.2038463601</v>
      </c>
      <c r="E191" s="68">
        <f ca="1">(C10)+(E10-C10)*IF(RAND()&lt;((D10)-(C10))/((E10)-(C10)),SQRT(RAND()*((D10)-(C10))/((E10)-(C10))),1-SQRT(RAND()*((E10)-(D10))/((E10)-(C10))))</f>
        <v>4711204.4130859831</v>
      </c>
      <c r="F191" s="67">
        <f ca="1">(C11)+(E11-C11)*IF(RAND()&lt;((D11)-(C11))/((E11)-(C11)),SQRT(RAND()*((D11)-(C11))/((E11)-(C11))),1-SQRT(RAND()*((E11)-(D11))/((E11)-(C11))))</f>
        <v>5.7971485128820461E-3</v>
      </c>
      <c r="G191" s="67">
        <f ca="1">(C12)+(E12-C12)*IF(RAND()&lt;((D12)-(C12))/((E12)-(C12)),SQRT(RAND()*((D12)-(C12))/((E12)-(C12))),1-SQRT(RAND()*((E12)-(D12))/((E12)-(C12))))</f>
        <v>0.14747768999386732</v>
      </c>
      <c r="H191" s="68">
        <f t="shared" ca="1" si="4"/>
        <v>296971147.70006448</v>
      </c>
      <c r="I191" s="69">
        <f t="shared" ca="1" si="5"/>
        <v>357.99912214622947</v>
      </c>
    </row>
    <row r="192" spans="1:9" ht="16.05" customHeight="1" x14ac:dyDescent="0.3">
      <c r="A192" s="70">
        <v>176</v>
      </c>
      <c r="B192" s="71">
        <f ca="1">(C7)+(E7-C7)*IF(RAND()&lt;((D7)-(C7))/((E7)-(C7)),SQRT(RAND()*((D7)-(C7))/((E7)-(C7))),1-SQRT(RAND()*((E7)-(D7))/((E7)-(C7))))</f>
        <v>0.33121948029399717</v>
      </c>
      <c r="C192" s="71">
        <f ca="1">(C8)+(E8-C8)*IF(RAND()&lt;((D8)-(C8))/((E8)-(C8)),SQRT(RAND()*((D8)-(C8))/((E8)-(C8))),1-SQRT(RAND()*((E8)-(D8))/((E8)-(C8))))</f>
        <v>0.72690965162361776</v>
      </c>
      <c r="D192" s="72">
        <f ca="1">(C9)+(E9-C9)*IF(RAND()&lt;((D9)-(C9))/((E9)-(C9)),SQRT(RAND()*((D9)-(C9))/((E9)-(C9))),1-SQRT(RAND()*((E9)-(D9))/((E9)-(C9))))</f>
        <v>1309417.2312635721</v>
      </c>
      <c r="E192" s="72">
        <f ca="1">(C10)+(E10-C10)*IF(RAND()&lt;((D10)-(C10))/((E10)-(C10)),SQRT(RAND()*((D10)-(C10))/((E10)-(C10))),1-SQRT(RAND()*((E10)-(D10))/((E10)-(C10))))</f>
        <v>3898623.7668145248</v>
      </c>
      <c r="F192" s="71">
        <f ca="1">(C11)+(E11-C11)*IF(RAND()&lt;((D11)-(C11))/((E11)-(C11)),SQRT(RAND()*((D11)-(C11))/((E11)-(C11))),1-SQRT(RAND()*((E11)-(D11))/((E11)-(C11))))</f>
        <v>2.71661229787287E-2</v>
      </c>
      <c r="G192" s="71">
        <f ca="1">(C12)+(E12-C12)*IF(RAND()&lt;((D12)-(C12))/((E12)-(C12)),SQRT(RAND()*((D12)-(C12))/((E12)-(C12))),1-SQRT(RAND()*((E12)-(D12))/((E12)-(C12))))</f>
        <v>0.13331262624927828</v>
      </c>
      <c r="H192" s="72">
        <f t="shared" ca="1" si="4"/>
        <v>441930976.34813011</v>
      </c>
      <c r="I192" s="73">
        <f t="shared" ca="1" si="5"/>
        <v>446.47991648881651</v>
      </c>
    </row>
    <row r="193" spans="1:9" ht="16.05" customHeight="1" x14ac:dyDescent="0.3">
      <c r="A193" s="66">
        <v>177</v>
      </c>
      <c r="B193" s="67">
        <f ca="1">(C7)+(E7-C7)*IF(RAND()&lt;((D7)-(C7))/((E7)-(C7)),SQRT(RAND()*((D7)-(C7))/((E7)-(C7))),1-SQRT(RAND()*((E7)-(D7))/((E7)-(C7))))</f>
        <v>0.24905393686912311</v>
      </c>
      <c r="C193" s="67">
        <f ca="1">(C8)+(E8-C8)*IF(RAND()&lt;((D8)-(C8))/((E8)-(C8)),SQRT(RAND()*((D8)-(C8))/((E8)-(C8))),1-SQRT(RAND()*((E8)-(D8))/((E8)-(C8))))</f>
        <v>0.67622749265134641</v>
      </c>
      <c r="D193" s="68">
        <f ca="1">(C9)+(E9-C9)*IF(RAND()&lt;((D9)-(C9))/((E9)-(C9)),SQRT(RAND()*((D9)-(C9))/((E9)-(C9))),1-SQRT(RAND()*((E9)-(D9))/((E9)-(C9))))</f>
        <v>1189660.5080636493</v>
      </c>
      <c r="E193" s="68">
        <f ca="1">(C10)+(E10-C10)*IF(RAND()&lt;((D10)-(C10))/((E10)-(C10)),SQRT(RAND()*((D10)-(C10))/((E10)-(C10))),1-SQRT(RAND()*((E10)-(D10))/((E10)-(C10))))</f>
        <v>3647736.2477031141</v>
      </c>
      <c r="F193" s="67">
        <f ca="1">(C11)+(E11-C11)*IF(RAND()&lt;((D11)-(C11))/((E11)-(C11)),SQRT(RAND()*((D11)-(C11))/((E11)-(C11))),1-SQRT(RAND()*((E11)-(D11))/((E11)-(C11))))</f>
        <v>1.3262210629296601E-2</v>
      </c>
      <c r="G193" s="67">
        <f ca="1">(C12)+(E12-C12)*IF(RAND()&lt;((D12)-(C12))/((E12)-(C12)),SQRT(RAND()*((D12)-(C12))/((E12)-(C12))),1-SQRT(RAND()*((E12)-(D12))/((E12)-(C12))))</f>
        <v>0.13171492095122336</v>
      </c>
      <c r="H193" s="68">
        <f t="shared" ca="1" si="4"/>
        <v>263935032.14830965</v>
      </c>
      <c r="I193" s="69">
        <f t="shared" ca="1" si="5"/>
        <v>293.94615331507026</v>
      </c>
    </row>
    <row r="194" spans="1:9" ht="16.05" customHeight="1" x14ac:dyDescent="0.3">
      <c r="A194" s="70">
        <v>178</v>
      </c>
      <c r="B194" s="71">
        <f ca="1">(C7)+(E7-C7)*IF(RAND()&lt;((D7)-(C7))/((E7)-(C7)),SQRT(RAND()*((D7)-(C7))/((E7)-(C7))),1-SQRT(RAND()*((E7)-(D7))/((E7)-(C7))))</f>
        <v>0.24167216625997542</v>
      </c>
      <c r="C194" s="71">
        <f ca="1">(C8)+(E8-C8)*IF(RAND()&lt;((D8)-(C8))/((E8)-(C8)),SQRT(RAND()*((D8)-(C8))/((E8)-(C8))),1-SQRT(RAND()*((E8)-(D8))/((E8)-(C8))))</f>
        <v>0.76812024323574013</v>
      </c>
      <c r="D194" s="72">
        <f ca="1">(C9)+(E9-C9)*IF(RAND()&lt;((D9)-(C9))/((E9)-(C9)),SQRT(RAND()*((D9)-(C9))/((E9)-(C9))),1-SQRT(RAND()*((E9)-(D9))/((E9)-(C9))))</f>
        <v>1328179.6723450499</v>
      </c>
      <c r="E194" s="72">
        <f ca="1">(C10)+(E10-C10)*IF(RAND()&lt;((D10)-(C10))/((E10)-(C10)),SQRT(RAND()*((D10)-(C10))/((E10)-(C10))),1-SQRT(RAND()*((E10)-(D10))/((E10)-(C10))))</f>
        <v>4745168.2591474224</v>
      </c>
      <c r="F194" s="71">
        <f ca="1">(C11)+(E11-C11)*IF(RAND()&lt;((D11)-(C11))/((E11)-(C11)),SQRT(RAND()*((D11)-(C11))/((E11)-(C11))),1-SQRT(RAND()*((E11)-(D11))/((E11)-(C11))))</f>
        <v>5.1027241461094252E-3</v>
      </c>
      <c r="G194" s="71">
        <f ca="1">(C12)+(E12-C12)*IF(RAND()&lt;((D12)-(C12))/((E12)-(C12)),SQRT(RAND()*((D12)-(C12))/((E12)-(C12))),1-SQRT(RAND()*((E12)-(D12))/((E12)-(C12))))</f>
        <v>0.17053191293715125</v>
      </c>
      <c r="H194" s="72">
        <f t="shared" ca="1" si="4"/>
        <v>219474424.65176496</v>
      </c>
      <c r="I194" s="73">
        <f t="shared" ca="1" si="5"/>
        <v>219.27443999642469</v>
      </c>
    </row>
    <row r="195" spans="1:9" ht="16.05" customHeight="1" x14ac:dyDescent="0.3">
      <c r="A195" s="66">
        <v>179</v>
      </c>
      <c r="B195" s="67">
        <f ca="1">(C7)+(E7-C7)*IF(RAND()&lt;((D7)-(C7))/((E7)-(C7)),SQRT(RAND()*((D7)-(C7))/((E7)-(C7))),1-SQRT(RAND()*((E7)-(D7))/((E7)-(C7))))</f>
        <v>0.24587511662389738</v>
      </c>
      <c r="C195" s="67">
        <f ca="1">(C8)+(E8-C8)*IF(RAND()&lt;((D8)-(C8))/((E8)-(C8)),SQRT(RAND()*((D8)-(C8))/((E8)-(C8))),1-SQRT(RAND()*((E8)-(D8))/((E8)-(C8))))</f>
        <v>0.65644631074597692</v>
      </c>
      <c r="D195" s="68">
        <f ca="1">(C9)+(E9-C9)*IF(RAND()&lt;((D9)-(C9))/((E9)-(C9)),SQRT(RAND()*((D9)-(C9))/((E9)-(C9))),1-SQRT(RAND()*((E9)-(D9))/((E9)-(C9))))</f>
        <v>1153842.8260811244</v>
      </c>
      <c r="E195" s="68">
        <f ca="1">(C10)+(E10-C10)*IF(RAND()&lt;((D10)-(C10))/((E10)-(C10)),SQRT(RAND()*((D10)-(C10))/((E10)-(C10))),1-SQRT(RAND()*((E10)-(D10))/((E10)-(C10))))</f>
        <v>2974627.5278124097</v>
      </c>
      <c r="F195" s="67">
        <f ca="1">(C11)+(E11-C11)*IF(RAND()&lt;((D11)-(C11))/((E11)-(C11)),SQRT(RAND()*((D11)-(C11))/((E11)-(C11))),1-SQRT(RAND()*((E11)-(D11))/((E11)-(C11))))</f>
        <v>9.9288252298213153E-3</v>
      </c>
      <c r="G195" s="67">
        <f ca="1">(C12)+(E12-C12)*IF(RAND()&lt;((D12)-(C12))/((E12)-(C12)),SQRT(RAND()*((D12)-(C12))/((E12)-(C12))),1-SQRT(RAND()*((E12)-(D12))/((E12)-(C12))))</f>
        <v>0.15869711513720849</v>
      </c>
      <c r="H195" s="68">
        <f t="shared" ca="1" si="4"/>
        <v>234833058.6183916</v>
      </c>
      <c r="I195" s="69">
        <f t="shared" ca="1" si="5"/>
        <v>269.76269511959015</v>
      </c>
    </row>
    <row r="196" spans="1:9" ht="16.05" customHeight="1" x14ac:dyDescent="0.3">
      <c r="A196" s="70">
        <v>180</v>
      </c>
      <c r="B196" s="71">
        <f ca="1">(C7)+(E7-C7)*IF(RAND()&lt;((D7)-(C7))/((E7)-(C7)),SQRT(RAND()*((D7)-(C7))/((E7)-(C7))),1-SQRT(RAND()*((E7)-(D7))/((E7)-(C7))))</f>
        <v>0.22793254225881962</v>
      </c>
      <c r="C196" s="71">
        <f ca="1">(C8)+(E8-C8)*IF(RAND()&lt;((D8)-(C8))/((E8)-(C8)),SQRT(RAND()*((D8)-(C8))/((E8)-(C8))),1-SQRT(RAND()*((E8)-(D8))/((E8)-(C8))))</f>
        <v>0.75901652160457589</v>
      </c>
      <c r="D196" s="72">
        <f ca="1">(C9)+(E9-C9)*IF(RAND()&lt;((D9)-(C9))/((E9)-(C9)),SQRT(RAND()*((D9)-(C9))/((E9)-(C9))),1-SQRT(RAND()*((E9)-(D9))/((E9)-(C9))))</f>
        <v>1297603.446928194</v>
      </c>
      <c r="E196" s="72">
        <f ca="1">(C10)+(E10-C10)*IF(RAND()&lt;((D10)-(C10))/((E10)-(C10)),SQRT(RAND()*((D10)-(C10))/((E10)-(C10))),1-SQRT(RAND()*((E10)-(D10))/((E10)-(C10))))</f>
        <v>3674768.1440471215</v>
      </c>
      <c r="F196" s="71">
        <f ca="1">(C11)+(E11-C11)*IF(RAND()&lt;((D11)-(C11))/((E11)-(C11)),SQRT(RAND()*((D11)-(C11))/((E11)-(C11))),1-SQRT(RAND()*((E11)-(D11))/((E11)-(C11))))</f>
        <v>1.3020155827879762E-2</v>
      </c>
      <c r="G196" s="71">
        <f ca="1">(C12)+(E12-C12)*IF(RAND()&lt;((D12)-(C12))/((E12)-(C12)),SQRT(RAND()*((D12)-(C12))/((E12)-(C12))),1-SQRT(RAND()*((E12)-(D12))/((E12)-(C12))))</f>
        <v>0.16276274496249643</v>
      </c>
      <c r="H196" s="72">
        <f t="shared" ca="1" si="4"/>
        <v>266968486.9067432</v>
      </c>
      <c r="I196" s="73">
        <f t="shared" ca="1" si="5"/>
        <v>272.68700227901803</v>
      </c>
    </row>
    <row r="197" spans="1:9" ht="16.05" customHeight="1" x14ac:dyDescent="0.3">
      <c r="A197" s="66">
        <v>181</v>
      </c>
      <c r="B197" s="67">
        <f ca="1">(C7)+(E7-C7)*IF(RAND()&lt;((D7)-(C7))/((E7)-(C7)),SQRT(RAND()*((D7)-(C7))/((E7)-(C7))),1-SQRT(RAND()*((E7)-(D7))/((E7)-(C7))))</f>
        <v>0.32768494147278948</v>
      </c>
      <c r="C197" s="67">
        <f ca="1">(C8)+(E8-C8)*IF(RAND()&lt;((D8)-(C8))/((E8)-(C8)),SQRT(RAND()*((D8)-(C8))/((E8)-(C8))),1-SQRT(RAND()*((E8)-(D8))/((E8)-(C8))))</f>
        <v>0.74635715164404914</v>
      </c>
      <c r="D197" s="68">
        <f ca="1">(C9)+(E9-C9)*IF(RAND()&lt;((D9)-(C9))/((E9)-(C9)),SQRT(RAND()*((D9)-(C9))/((E9)-(C9))),1-SQRT(RAND()*((E9)-(D9))/((E9)-(C9))))</f>
        <v>1208428.09974198</v>
      </c>
      <c r="E197" s="68">
        <f ca="1">(C10)+(E10-C10)*IF(RAND()&lt;((D10)-(C10))/((E10)-(C10)),SQRT(RAND()*((D10)-(C10))/((E10)-(C10))),1-SQRT(RAND()*((E10)-(D10))/((E10)-(C10))))</f>
        <v>4695520.7772214385</v>
      </c>
      <c r="F197" s="67">
        <f ca="1">(C11)+(E11-C11)*IF(RAND()&lt;((D11)-(C11))/((E11)-(C11)),SQRT(RAND()*((D11)-(C11))/((E11)-(C11))),1-SQRT(RAND()*((E11)-(D11))/((E11)-(C11))))</f>
        <v>5.5710049672054625E-3</v>
      </c>
      <c r="G197" s="67">
        <f ca="1">(C12)+(E12-C12)*IF(RAND()&lt;((D12)-(C12))/((E12)-(C12)),SQRT(RAND()*((D12)-(C12))/((E12)-(C12))),1-SQRT(RAND()*((E12)-(D12))/((E12)-(C12))))</f>
        <v>0.14164499080881268</v>
      </c>
      <c r="H197" s="68">
        <f t="shared" ca="1" si="4"/>
        <v>287282812.69277257</v>
      </c>
      <c r="I197" s="69">
        <f t="shared" ca="1" si="5"/>
        <v>314.88535630984143</v>
      </c>
    </row>
    <row r="198" spans="1:9" ht="16.05" customHeight="1" x14ac:dyDescent="0.3">
      <c r="A198" s="70">
        <v>182</v>
      </c>
      <c r="B198" s="71">
        <f ca="1">(C7)+(E7-C7)*IF(RAND()&lt;((D7)-(C7))/((E7)-(C7)),SQRT(RAND()*((D7)-(C7))/((E7)-(C7))),1-SQRT(RAND()*((E7)-(D7))/((E7)-(C7))))</f>
        <v>0.25264826069972396</v>
      </c>
      <c r="C198" s="71">
        <f ca="1">(C8)+(E8-C8)*IF(RAND()&lt;((D8)-(C8))/((E8)-(C8)),SQRT(RAND()*((D8)-(C8))/((E8)-(C8))),1-SQRT(RAND()*((E8)-(D8))/((E8)-(C8))))</f>
        <v>0.6046942361207962</v>
      </c>
      <c r="D198" s="72">
        <f ca="1">(C9)+(E9-C9)*IF(RAND()&lt;((D9)-(C9))/((E9)-(C9)),SQRT(RAND()*((D9)-(C9))/((E9)-(C9))),1-SQRT(RAND()*((E9)-(D9))/((E9)-(C9))))</f>
        <v>1206218.0747352669</v>
      </c>
      <c r="E198" s="72">
        <f ca="1">(C10)+(E10-C10)*IF(RAND()&lt;((D10)-(C10))/((E10)-(C10)),SQRT(RAND()*((D10)-(C10))/((E10)-(C10))),1-SQRT(RAND()*((E10)-(D10))/((E10)-(C10))))</f>
        <v>2999529.2943170881</v>
      </c>
      <c r="F198" s="71">
        <f ca="1">(C11)+(E11-C11)*IF(RAND()&lt;((D11)-(C11))/((E11)-(C11)),SQRT(RAND()*((D11)-(C11))/((E11)-(C11))),1-SQRT(RAND()*((E11)-(D11))/((E11)-(C11))))</f>
        <v>2.2828817130742585E-2</v>
      </c>
      <c r="G198" s="71">
        <f ca="1">(C12)+(E12-C12)*IF(RAND()&lt;((D12)-(C12))/((E12)-(C12)),SQRT(RAND()*((D12)-(C12))/((E12)-(C12))),1-SQRT(RAND()*((E12)-(D12))/((E12)-(C12))))</f>
        <v>0.20006783217259938</v>
      </c>
      <c r="H198" s="72">
        <f t="shared" ca="1" si="4"/>
        <v>318406190.886801</v>
      </c>
      <c r="I198" s="73">
        <f t="shared" ca="1" si="5"/>
        <v>349.49297345464498</v>
      </c>
    </row>
    <row r="199" spans="1:9" ht="16.05" customHeight="1" x14ac:dyDescent="0.3">
      <c r="A199" s="66">
        <v>183</v>
      </c>
      <c r="B199" s="67">
        <f ca="1">(C7)+(E7-C7)*IF(RAND()&lt;((D7)-(C7))/((E7)-(C7)),SQRT(RAND()*((D7)-(C7))/((E7)-(C7))),1-SQRT(RAND()*((E7)-(D7))/((E7)-(C7))))</f>
        <v>0.2654337557461468</v>
      </c>
      <c r="C199" s="67">
        <f ca="1">(C8)+(E8-C8)*IF(RAND()&lt;((D8)-(C8))/((E8)-(C8)),SQRT(RAND()*((D8)-(C8))/((E8)-(C8))),1-SQRT(RAND()*((E8)-(D8))/((E8)-(C8))))</f>
        <v>0.64557670023446601</v>
      </c>
      <c r="D199" s="68">
        <f ca="1">(C9)+(E9-C9)*IF(RAND()&lt;((D9)-(C9))/((E9)-(C9)),SQRT(RAND()*((D9)-(C9))/((E9)-(C9))),1-SQRT(RAND()*((E9)-(D9))/((E9)-(C9))))</f>
        <v>1192614.506171766</v>
      </c>
      <c r="E199" s="68">
        <f ca="1">(C10)+(E10-C10)*IF(RAND()&lt;((D10)-(C10))/((E10)-(C10)),SQRT(RAND()*((D10)-(C10))/((E10)-(C10))),1-SQRT(RAND()*((E10)-(D10))/((E10)-(C10))))</f>
        <v>4003392.5487704612</v>
      </c>
      <c r="F199" s="67">
        <f ca="1">(C11)+(E11-C11)*IF(RAND()&lt;((D11)-(C11))/((E11)-(C11)),SQRT(RAND()*((D11)-(C11))/((E11)-(C11))),1-SQRT(RAND()*((E11)-(D11))/((E11)-(C11))))</f>
        <v>1.9407631009600482E-2</v>
      </c>
      <c r="G199" s="67">
        <f ca="1">(C12)+(E12-C12)*IF(RAND()&lt;((D12)-(C12))/((E12)-(C12)),SQRT(RAND()*((D12)-(C12))/((E12)-(C12))),1-SQRT(RAND()*((E12)-(D12))/((E12)-(C12))))</f>
        <v>0.15003102257304191</v>
      </c>
      <c r="H199" s="68">
        <f t="shared" ca="1" si="4"/>
        <v>310138786.6488378</v>
      </c>
      <c r="I199" s="69">
        <f t="shared" ca="1" si="5"/>
        <v>344.32098088685007</v>
      </c>
    </row>
    <row r="200" spans="1:9" ht="16.05" customHeight="1" x14ac:dyDescent="0.3">
      <c r="A200" s="70">
        <v>184</v>
      </c>
      <c r="B200" s="71">
        <f ca="1">(C7)+(E7-C7)*IF(RAND()&lt;((D7)-(C7))/((E7)-(C7)),SQRT(RAND()*((D7)-(C7))/((E7)-(C7))),1-SQRT(RAND()*((E7)-(D7))/((E7)-(C7))))</f>
        <v>0.22509699071336789</v>
      </c>
      <c r="C200" s="71">
        <f ca="1">(C8)+(E8-C8)*IF(RAND()&lt;((D8)-(C8))/((E8)-(C8)),SQRT(RAND()*((D8)-(C8))/((E8)-(C8))),1-SQRT(RAND()*((E8)-(D8))/((E8)-(C8))))</f>
        <v>0.76397618953443391</v>
      </c>
      <c r="D200" s="72">
        <f ca="1">(C9)+(E9-C9)*IF(RAND()&lt;((D9)-(C9))/((E9)-(C9)),SQRT(RAND()*((D9)-(C9))/((E9)-(C9))),1-SQRT(RAND()*((E9)-(D9))/((E9)-(C9))))</f>
        <v>1273122.3311624734</v>
      </c>
      <c r="E200" s="72">
        <f ca="1">(C10)+(E10-C10)*IF(RAND()&lt;((D10)-(C10))/((E10)-(C10)),SQRT(RAND()*((D10)-(C10))/((E10)-(C10))),1-SQRT(RAND()*((E10)-(D10))/((E10)-(C10))))</f>
        <v>3812165.4328639312</v>
      </c>
      <c r="F200" s="71">
        <f ca="1">(C11)+(E11-C11)*IF(RAND()&lt;((D11)-(C11))/((E11)-(C11)),SQRT(RAND()*((D11)-(C11))/((E11)-(C11))),1-SQRT(RAND()*((E11)-(D11))/((E11)-(C11))))</f>
        <v>1.6369804998730669E-2</v>
      </c>
      <c r="G200" s="71">
        <f ca="1">(C12)+(E12-C12)*IF(RAND()&lt;((D12)-(C12))/((E12)-(C12)),SQRT(RAND()*((D12)-(C12))/((E12)-(C12))),1-SQRT(RAND()*((E12)-(D12))/((E12)-(C12))))</f>
        <v>0.16538265322332329</v>
      </c>
      <c r="H200" s="72">
        <f t="shared" ca="1" si="4"/>
        <v>289521815.47392994</v>
      </c>
      <c r="I200" s="73">
        <f t="shared" ca="1" si="5"/>
        <v>301.27101749446211</v>
      </c>
    </row>
    <row r="201" spans="1:9" ht="16.05" customHeight="1" x14ac:dyDescent="0.3">
      <c r="A201" s="66">
        <v>185</v>
      </c>
      <c r="B201" s="67">
        <f ca="1">(C7)+(E7-C7)*IF(RAND()&lt;((D7)-(C7))/((E7)-(C7)),SQRT(RAND()*((D7)-(C7))/((E7)-(C7))),1-SQRT(RAND()*((E7)-(D7))/((E7)-(C7))))</f>
        <v>0.37973859992594866</v>
      </c>
      <c r="C201" s="67">
        <f ca="1">(C8)+(E8-C8)*IF(RAND()&lt;((D8)-(C8))/((E8)-(C8)),SQRT(RAND()*((D8)-(C8))/((E8)-(C8))),1-SQRT(RAND()*((E8)-(D8))/((E8)-(C8))))</f>
        <v>0.65118045183434203</v>
      </c>
      <c r="D201" s="68">
        <f ca="1">(C9)+(E9-C9)*IF(RAND()&lt;((D9)-(C9))/((E9)-(C9)),SQRT(RAND()*((D9)-(C9))/((E9)-(C9))),1-SQRT(RAND()*((E9)-(D9))/((E9)-(C9))))</f>
        <v>1316041.1298461983</v>
      </c>
      <c r="E201" s="68">
        <f ca="1">(C10)+(E10-C10)*IF(RAND()&lt;((D10)-(C10))/((E10)-(C10)),SQRT(RAND()*((D10)-(C10))/((E10)-(C10))),1-SQRT(RAND()*((E10)-(D10))/((E10)-(C10))))</f>
        <v>3295049.2820399301</v>
      </c>
      <c r="F201" s="67">
        <f ca="1">(C11)+(E11-C11)*IF(RAND()&lt;((D11)-(C11))/((E11)-(C11)),SQRT(RAND()*((D11)-(C11))/((E11)-(C11))),1-SQRT(RAND()*((E11)-(D11))/((E11)-(C11))))</f>
        <v>1.1025957363955516E-2</v>
      </c>
      <c r="G201" s="67">
        <f ca="1">(C12)+(E12-C12)*IF(RAND()&lt;((D12)-(C12))/((E12)-(C12)),SQRT(RAND()*((D12)-(C12))/((E12)-(C12))),1-SQRT(RAND()*((E12)-(D12))/((E12)-(C12))))</f>
        <v>0.17676972766452953</v>
      </c>
      <c r="H201" s="68">
        <f t="shared" ca="1" si="4"/>
        <v>334802638.26540506</v>
      </c>
      <c r="I201" s="69">
        <f t="shared" ca="1" si="5"/>
        <v>336.87116178081072</v>
      </c>
    </row>
    <row r="202" spans="1:9" ht="16.05" customHeight="1" x14ac:dyDescent="0.3">
      <c r="A202" s="70">
        <v>186</v>
      </c>
      <c r="B202" s="71">
        <f ca="1">(C7)+(E7-C7)*IF(RAND()&lt;((D7)-(C7))/((E7)-(C7)),SQRT(RAND()*((D7)-(C7))/((E7)-(C7))),1-SQRT(RAND()*((E7)-(D7))/((E7)-(C7))))</f>
        <v>0.30327485056636094</v>
      </c>
      <c r="C202" s="71">
        <f ca="1">(C8)+(E8-C8)*IF(RAND()&lt;((D8)-(C8))/((E8)-(C8)),SQRT(RAND()*((D8)-(C8))/((E8)-(C8))),1-SQRT(RAND()*((E8)-(D8))/((E8)-(C8))))</f>
        <v>0.76003760506446461</v>
      </c>
      <c r="D202" s="72">
        <f ca="1">(C9)+(E9-C9)*IF(RAND()&lt;((D9)-(C9))/((E9)-(C9)),SQRT(RAND()*((D9)-(C9))/((E9)-(C9))),1-SQRT(RAND()*((E9)-(D9))/((E9)-(C9))))</f>
        <v>1318892.5864477123</v>
      </c>
      <c r="E202" s="72">
        <f ca="1">(C10)+(E10-C10)*IF(RAND()&lt;((D10)-(C10))/((E10)-(C10)),SQRT(RAND()*((D10)-(C10))/((E10)-(C10))),1-SQRT(RAND()*((E10)-(D10))/((E10)-(C10))))</f>
        <v>3941377.827893374</v>
      </c>
      <c r="F202" s="71">
        <f ca="1">(C11)+(E11-C11)*IF(RAND()&lt;((D11)-(C11))/((E11)-(C11)),SQRT(RAND()*((D11)-(C11))/((E11)-(C11))),1-SQRT(RAND()*((E11)-(D11))/((E11)-(C11))))</f>
        <v>1.6704507495100818E-2</v>
      </c>
      <c r="G202" s="71">
        <f ca="1">(C12)+(E12-C12)*IF(RAND()&lt;((D12)-(C12))/((E12)-(C12)),SQRT(RAND()*((D12)-(C12))/((E12)-(C12))),1-SQRT(RAND()*((E12)-(D12))/((E12)-(C12))))</f>
        <v>0.1399378001467077</v>
      </c>
      <c r="H202" s="72">
        <f t="shared" ca="1" si="4"/>
        <v>355081736.05277723</v>
      </c>
      <c r="I202" s="73">
        <f t="shared" ca="1" si="5"/>
        <v>356.42625091220202</v>
      </c>
    </row>
    <row r="203" spans="1:9" ht="16.05" customHeight="1" x14ac:dyDescent="0.3">
      <c r="A203" s="66">
        <v>187</v>
      </c>
      <c r="B203" s="67">
        <f ca="1">(C7)+(E7-C7)*IF(RAND()&lt;((D7)-(C7))/((E7)-(C7)),SQRT(RAND()*((D7)-(C7))/((E7)-(C7))),1-SQRT(RAND()*((E7)-(D7))/((E7)-(C7))))</f>
        <v>0.27558467657981667</v>
      </c>
      <c r="C203" s="67">
        <f ca="1">(C8)+(E8-C8)*IF(RAND()&lt;((D8)-(C8))/((E8)-(C8)),SQRT(RAND()*((D8)-(C8))/((E8)-(C8))),1-SQRT(RAND()*((E8)-(D8))/((E8)-(C8))))</f>
        <v>0.67557388690319975</v>
      </c>
      <c r="D203" s="68">
        <f ca="1">(C9)+(E9-C9)*IF(RAND()&lt;((D9)-(C9))/((E9)-(C9)),SQRT(RAND()*((D9)-(C9))/((E9)-(C9))),1-SQRT(RAND()*((E9)-(D9))/((E9)-(C9))))</f>
        <v>1293022.7697934287</v>
      </c>
      <c r="E203" s="68">
        <f ca="1">(C10)+(E10-C10)*IF(RAND()&lt;((D10)-(C10))/((E10)-(C10)),SQRT(RAND()*((D10)-(C10))/((E10)-(C10))),1-SQRT(RAND()*((E10)-(D10))/((E10)-(C10))))</f>
        <v>3647106.2888283432</v>
      </c>
      <c r="F203" s="67">
        <f ca="1">(C11)+(E11-C11)*IF(RAND()&lt;((D11)-(C11))/((E11)-(C11)),SQRT(RAND()*((D11)-(C11))/((E11)-(C11))),1-SQRT(RAND()*((E11)-(D11))/((E11)-(C11))))</f>
        <v>2.1494606726463892E-2</v>
      </c>
      <c r="G203" s="67">
        <f ca="1">(C12)+(E12-C12)*IF(RAND()&lt;((D12)-(C12))/((E12)-(C12)),SQRT(RAND()*((D12)-(C12))/((E12)-(C12))),1-SQRT(RAND()*((E12)-(D12))/((E12)-(C12))))</f>
        <v>0.14524608945494327</v>
      </c>
      <c r="H203" s="68">
        <f t="shared" ca="1" si="4"/>
        <v>342575525.32552409</v>
      </c>
      <c r="I203" s="69">
        <f t="shared" ca="1" si="5"/>
        <v>350.77362453015195</v>
      </c>
    </row>
    <row r="204" spans="1:9" ht="16.05" customHeight="1" x14ac:dyDescent="0.3">
      <c r="A204" s="70">
        <v>188</v>
      </c>
      <c r="B204" s="71">
        <f ca="1">(C7)+(E7-C7)*IF(RAND()&lt;((D7)-(C7))/((E7)-(C7)),SQRT(RAND()*((D7)-(C7))/((E7)-(C7))),1-SQRT(RAND()*((E7)-(D7))/((E7)-(C7))))</f>
        <v>0.30834840958319287</v>
      </c>
      <c r="C204" s="71">
        <f ca="1">(C8)+(E8-C8)*IF(RAND()&lt;((D8)-(C8))/((E8)-(C8)),SQRT(RAND()*((D8)-(C8))/((E8)-(C8))),1-SQRT(RAND()*((E8)-(D8))/((E8)-(C8))))</f>
        <v>0.75592933628160608</v>
      </c>
      <c r="D204" s="72">
        <f ca="1">(C9)+(E9-C9)*IF(RAND()&lt;((D9)-(C9))/((E9)-(C9)),SQRT(RAND()*((D9)-(C9))/((E9)-(C9))),1-SQRT(RAND()*((E9)-(D9))/((E9)-(C9))))</f>
        <v>1158753.2646227509</v>
      </c>
      <c r="E204" s="72">
        <f ca="1">(C10)+(E10-C10)*IF(RAND()&lt;((D10)-(C10))/((E10)-(C10)),SQRT(RAND()*((D10)-(C10))/((E10)-(C10))),1-SQRT(RAND()*((E10)-(D10))/((E10)-(C10))))</f>
        <v>2691482.1650690325</v>
      </c>
      <c r="F204" s="71">
        <f ca="1">(C11)+(E11-C11)*IF(RAND()&lt;((D11)-(C11))/((E11)-(C11)),SQRT(RAND()*((D11)-(C11))/((E11)-(C11))),1-SQRT(RAND()*((E11)-(D11))/((E11)-(C11))))</f>
        <v>1.924128920644938E-2</v>
      </c>
      <c r="G204" s="71">
        <f ca="1">(C12)+(E12-C12)*IF(RAND()&lt;((D12)-(C12))/((E12)-(C12)),SQRT(RAND()*((D12)-(C12))/((E12)-(C12))),1-SQRT(RAND()*((E12)-(D12))/((E12)-(C12))))</f>
        <v>0.15436564952132845</v>
      </c>
      <c r="H204" s="72">
        <f t="shared" ca="1" si="4"/>
        <v>381106649.15060991</v>
      </c>
      <c r="I204" s="73">
        <f t="shared" ca="1" si="5"/>
        <v>435.12563558972158</v>
      </c>
    </row>
    <row r="205" spans="1:9" ht="16.05" customHeight="1" x14ac:dyDescent="0.3">
      <c r="A205" s="66">
        <v>189</v>
      </c>
      <c r="B205" s="67">
        <f ca="1">(C7)+(E7-C7)*IF(RAND()&lt;((D7)-(C7))/((E7)-(C7)),SQRT(RAND()*((D7)-(C7))/((E7)-(C7))),1-SQRT(RAND()*((E7)-(D7))/((E7)-(C7))))</f>
        <v>0.28431936087868825</v>
      </c>
      <c r="C205" s="67">
        <f ca="1">(C8)+(E8-C8)*IF(RAND()&lt;((D8)-(C8))/((E8)-(C8)),SQRT(RAND()*((D8)-(C8))/((E8)-(C8))),1-SQRT(RAND()*((E8)-(D8))/((E8)-(C8))))</f>
        <v>0.59170808935809871</v>
      </c>
      <c r="D205" s="68">
        <f ca="1">(C9)+(E9-C9)*IF(RAND()&lt;((D9)-(C9))/((E9)-(C9)),SQRT(RAND()*((D9)-(C9))/((E9)-(C9))),1-SQRT(RAND()*((E9)-(D9))/((E9)-(C9))))</f>
        <v>1162526.5002829551</v>
      </c>
      <c r="E205" s="68">
        <f ca="1">(C10)+(E10-C10)*IF(RAND()&lt;((D10)-(C10))/((E10)-(C10)),SQRT(RAND()*((D10)-(C10))/((E10)-(C10))),1-SQRT(RAND()*((E10)-(D10))/((E10)-(C10))))</f>
        <v>3824507.2721786052</v>
      </c>
      <c r="F205" s="67">
        <f ca="1">(C11)+(E11-C11)*IF(RAND()&lt;((D11)-(C11))/((E11)-(C11)),SQRT(RAND()*((D11)-(C11))/((E11)-(C11))),1-SQRT(RAND()*((E11)-(D11))/((E11)-(C11))))</f>
        <v>7.6389588442068827E-3</v>
      </c>
      <c r="G205" s="67">
        <f ca="1">(C12)+(E12-C12)*IF(RAND()&lt;((D12)-(C12))/((E12)-(C12)),SQRT(RAND()*((D12)-(C12))/((E12)-(C12))),1-SQRT(RAND()*((E12)-(D12))/((E12)-(C12))))</f>
        <v>0.14271566230546831</v>
      </c>
      <c r="H205" s="68">
        <f t="shared" ca="1" si="4"/>
        <v>222506202.52637565</v>
      </c>
      <c r="I205" s="69">
        <f t="shared" ca="1" si="5"/>
        <v>253.77162256272803</v>
      </c>
    </row>
    <row r="206" spans="1:9" ht="16.05" customHeight="1" x14ac:dyDescent="0.3">
      <c r="A206" s="70">
        <v>190</v>
      </c>
      <c r="B206" s="71">
        <f ca="1">(C7)+(E7-C7)*IF(RAND()&lt;((D7)-(C7))/((E7)-(C7)),SQRT(RAND()*((D7)-(C7))/((E7)-(C7))),1-SQRT(RAND()*((E7)-(D7))/((E7)-(C7))))</f>
        <v>0.28279821594642501</v>
      </c>
      <c r="C206" s="71">
        <f ca="1">(C8)+(E8-C8)*IF(RAND()&lt;((D8)-(C8))/((E8)-(C8)),SQRT(RAND()*((D8)-(C8))/((E8)-(C8))),1-SQRT(RAND()*((E8)-(D8))/((E8)-(C8))))</f>
        <v>0.7661559188891669</v>
      </c>
      <c r="D206" s="72">
        <f ca="1">(C9)+(E9-C9)*IF(RAND()&lt;((D9)-(C9))/((E9)-(C9)),SQRT(RAND()*((D9)-(C9))/((E9)-(C9))),1-SQRT(RAND()*((E9)-(D9))/((E9)-(C9))))</f>
        <v>1321659.5383862238</v>
      </c>
      <c r="E206" s="72">
        <f ca="1">(C10)+(E10-C10)*IF(RAND()&lt;((D10)-(C10))/((E10)-(C10)),SQRT(RAND()*((D10)-(C10))/((E10)-(C10))),1-SQRT(RAND()*((E10)-(D10))/((E10)-(C10))))</f>
        <v>3057793.5816833391</v>
      </c>
      <c r="F206" s="71">
        <f ca="1">(C11)+(E11-C11)*IF(RAND()&lt;((D11)-(C11))/((E11)-(C11)),SQRT(RAND()*((D11)-(C11))/((E11)-(C11))),1-SQRT(RAND()*((E11)-(D11))/((E11)-(C11))))</f>
        <v>7.6512386458150823E-3</v>
      </c>
      <c r="G206" s="71">
        <f ca="1">(C12)+(E12-C12)*IF(RAND()&lt;((D12)-(C12))/((E12)-(C12)),SQRT(RAND()*((D12)-(C12))/((E12)-(C12))),1-SQRT(RAND()*((E12)-(D12))/((E12)-(C12))))</f>
        <v>0.13147661748488967</v>
      </c>
      <c r="H206" s="72">
        <f t="shared" ca="1" si="4"/>
        <v>278035614.1798591</v>
      </c>
      <c r="I206" s="73">
        <f t="shared" ca="1" si="5"/>
        <v>278.79246851478462</v>
      </c>
    </row>
    <row r="207" spans="1:9" ht="16.05" customHeight="1" x14ac:dyDescent="0.3">
      <c r="A207" s="66">
        <v>191</v>
      </c>
      <c r="B207" s="67">
        <f ca="1">(C7)+(E7-C7)*IF(RAND()&lt;((D7)-(C7))/((E7)-(C7)),SQRT(RAND()*((D7)-(C7))/((E7)-(C7))),1-SQRT(RAND()*((E7)-(D7))/((E7)-(C7))))</f>
        <v>0.3573979352768496</v>
      </c>
      <c r="C207" s="67">
        <f ca="1">(C8)+(E8-C8)*IF(RAND()&lt;((D8)-(C8))/((E8)-(C8)),SQRT(RAND()*((D8)-(C8))/((E8)-(C8))),1-SQRT(RAND()*((E8)-(D8))/((E8)-(C8))))</f>
        <v>0.75791185607589384</v>
      </c>
      <c r="D207" s="68">
        <f ca="1">(C9)+(E9-C9)*IF(RAND()&lt;((D9)-(C9))/((E9)-(C9)),SQRT(RAND()*((D9)-(C9))/((E9)-(C9))),1-SQRT(RAND()*((E9)-(D9))/((E9)-(C9))))</f>
        <v>1324354.9869297387</v>
      </c>
      <c r="E207" s="68">
        <f ca="1">(C10)+(E10-C10)*IF(RAND()&lt;((D10)-(C10))/((E10)-(C10)),SQRT(RAND()*((D10)-(C10))/((E10)-(C10))),1-SQRT(RAND()*((E10)-(D10))/((E10)-(C10))))</f>
        <v>3046369.8599080662</v>
      </c>
      <c r="F207" s="67">
        <f ca="1">(C11)+(E11-C11)*IF(RAND()&lt;((D11)-(C11))/((E11)-(C11)),SQRT(RAND()*((D11)-(C11))/((E11)-(C11))),1-SQRT(RAND()*((E11)-(D11))/((E11)-(C11))))</f>
        <v>7.4948115786320317E-3</v>
      </c>
      <c r="G207" s="67">
        <f ca="1">(C12)+(E12-C12)*IF(RAND()&lt;((D12)-(C12))/((E12)-(C12)),SQRT(RAND()*((D12)-(C12))/((E12)-(C12))),1-SQRT(RAND()*((E12)-(D12))/((E12)-(C12))))</f>
        <v>0.1634422939031131</v>
      </c>
      <c r="H207" s="68">
        <f t="shared" ca="1" si="4"/>
        <v>335923753.45030028</v>
      </c>
      <c r="I207" s="69">
        <f t="shared" ca="1" si="5"/>
        <v>335.88124893455853</v>
      </c>
    </row>
    <row r="208" spans="1:9" ht="16.05" customHeight="1" x14ac:dyDescent="0.3">
      <c r="A208" s="70">
        <v>192</v>
      </c>
      <c r="B208" s="71">
        <f ca="1">(C7)+(E7-C7)*IF(RAND()&lt;((D7)-(C7))/((E7)-(C7)),SQRT(RAND()*((D7)-(C7))/((E7)-(C7))),1-SQRT(RAND()*((E7)-(D7))/((E7)-(C7))))</f>
        <v>0.30024532943214577</v>
      </c>
      <c r="C208" s="71">
        <f ca="1">(C8)+(E8-C8)*IF(RAND()&lt;((D8)-(C8))/((E8)-(C8)),SQRT(RAND()*((D8)-(C8))/((E8)-(C8))),1-SQRT(RAND()*((E8)-(D8))/((E8)-(C8))))</f>
        <v>0.6446266982377723</v>
      </c>
      <c r="D208" s="72">
        <f ca="1">(C9)+(E9-C9)*IF(RAND()&lt;((D9)-(C9))/((E9)-(C9)),SQRT(RAND()*((D9)-(C9))/((E9)-(C9))),1-SQRT(RAND()*((E9)-(D9))/((E9)-(C9))))</f>
        <v>1238958.3492070041</v>
      </c>
      <c r="E208" s="72">
        <f ca="1">(C10)+(E10-C10)*IF(RAND()&lt;((D10)-(C10))/((E10)-(C10)),SQRT(RAND()*((D10)-(C10))/((E10)-(C10))),1-SQRT(RAND()*((E10)-(D10))/((E10)-(C10))))</f>
        <v>3179461.1246212972</v>
      </c>
      <c r="F208" s="71">
        <f ca="1">(C11)+(E11-C11)*IF(RAND()&lt;((D11)-(C11))/((E11)-(C11)),SQRT(RAND()*((D11)-(C11))/((E11)-(C11))),1-SQRT(RAND()*((E11)-(D11))/((E11)-(C11))))</f>
        <v>1.2659325367788663E-2</v>
      </c>
      <c r="G208" s="71">
        <f ca="1">(C12)+(E12-C12)*IF(RAND()&lt;((D12)-(C12))/((E12)-(C12)),SQRT(RAND()*((D12)-(C12))/((E12)-(C12))),1-SQRT(RAND()*((E12)-(D12))/((E12)-(C12))))</f>
        <v>0.18228885046373428</v>
      </c>
      <c r="H208" s="72">
        <f t="shared" ca="1" si="4"/>
        <v>288648726.46627092</v>
      </c>
      <c r="I208" s="73">
        <f t="shared" ca="1" si="5"/>
        <v>308.61263825652372</v>
      </c>
    </row>
    <row r="209" spans="1:9" ht="16.05" customHeight="1" x14ac:dyDescent="0.3">
      <c r="A209" s="66">
        <v>193</v>
      </c>
      <c r="B209" s="67">
        <f ca="1">(C7)+(E7-C7)*IF(RAND()&lt;((D7)-(C7))/((E7)-(C7)),SQRT(RAND()*((D7)-(C7))/((E7)-(C7))),1-SQRT(RAND()*((E7)-(D7))/((E7)-(C7))))</f>
        <v>0.30278729117912873</v>
      </c>
      <c r="C209" s="67">
        <f ca="1">(C8)+(E8-C8)*IF(RAND()&lt;((D8)-(C8))/((E8)-(C8)),SQRT(RAND()*((D8)-(C8))/((E8)-(C8))),1-SQRT(RAND()*((E8)-(D8))/((E8)-(C8))))</f>
        <v>0.69760840077437503</v>
      </c>
      <c r="D209" s="68">
        <f ca="1">(C9)+(E9-C9)*IF(RAND()&lt;((D9)-(C9))/((E9)-(C9)),SQRT(RAND()*((D9)-(C9))/((E9)-(C9))),1-SQRT(RAND()*((E9)-(D9))/((E9)-(C9))))</f>
        <v>1159918.4012188336</v>
      </c>
      <c r="E209" s="68">
        <f ca="1">(C10)+(E10-C10)*IF(RAND()&lt;((D10)-(C10))/((E10)-(C10)),SQRT(RAND()*((D10)-(C10))/((E10)-(C10))),1-SQRT(RAND()*((E10)-(D10))/((E10)-(C10))))</f>
        <v>3312516.0727353683</v>
      </c>
      <c r="F209" s="67">
        <f ca="1">(C11)+(E11-C11)*IF(RAND()&lt;((D11)-(C11))/((E11)-(C11)),SQRT(RAND()*((D11)-(C11))/((E11)-(C11))),1-SQRT(RAND()*((E11)-(D11))/((E11)-(C11))))</f>
        <v>1.1104569250160037E-2</v>
      </c>
      <c r="G209" s="67">
        <f ca="1">(C12)+(E12-C12)*IF(RAND()&lt;((D12)-(C12))/((E12)-(C12)),SQRT(RAND()*((D12)-(C12))/((E12)-(C12))),1-SQRT(RAND()*((E12)-(D12))/((E12)-(C12))))</f>
        <v>0.17398716482178128</v>
      </c>
      <c r="H209" s="68">
        <f t="shared" ref="H209:H272" ca="1" si="6">-D209+($L$1*B209*C209+$M$1*F209-E209)*(1-(1+$N$1)^-5)/$N$1</f>
        <v>296237617.32138008</v>
      </c>
      <c r="I209" s="69">
        <f t="shared" ref="I209:I272" ca="1" si="7">($L$1*B209*C209+$M$1*F209-E209)*5/D209</f>
        <v>338.18206796163122</v>
      </c>
    </row>
    <row r="210" spans="1:9" ht="16.05" customHeight="1" x14ac:dyDescent="0.3">
      <c r="A210" s="70">
        <v>194</v>
      </c>
      <c r="B210" s="71">
        <f ca="1">(C7)+(E7-C7)*IF(RAND()&lt;((D7)-(C7))/((E7)-(C7)),SQRT(RAND()*((D7)-(C7))/((E7)-(C7))),1-SQRT(RAND()*((E7)-(D7))/((E7)-(C7))))</f>
        <v>0.28418859318703948</v>
      </c>
      <c r="C210" s="71">
        <f ca="1">(C8)+(E8-C8)*IF(RAND()&lt;((D8)-(C8))/((E8)-(C8)),SQRT(RAND()*((D8)-(C8))/((E8)-(C8))),1-SQRT(RAND()*((E8)-(D8))/((E8)-(C8))))</f>
        <v>0.68476579528936377</v>
      </c>
      <c r="D210" s="72">
        <f ca="1">(C9)+(E9-C9)*IF(RAND()&lt;((D9)-(C9))/((E9)-(C9)),SQRT(RAND()*((D9)-(C9))/((E9)-(C9))),1-SQRT(RAND()*((E9)-(D9))/((E9)-(C9))))</f>
        <v>1178613.0752824498</v>
      </c>
      <c r="E210" s="72">
        <f ca="1">(C10)+(E10-C10)*IF(RAND()&lt;((D10)-(C10))/((E10)-(C10)),SQRT(RAND()*((D10)-(C10))/((E10)-(C10))),1-SQRT(RAND()*((E10)-(D10))/((E10)-(C10))))</f>
        <v>4114864.5483222152</v>
      </c>
      <c r="F210" s="71">
        <f ca="1">(C11)+(E11-C11)*IF(RAND()&lt;((D11)-(C11))/((E11)-(C11)),SQRT(RAND()*((D11)-(C11))/((E11)-(C11))),1-SQRT(RAND()*((E11)-(D11))/((E11)-(C11))))</f>
        <v>1.3884275589745164E-2</v>
      </c>
      <c r="G210" s="71">
        <f ca="1">(C12)+(E12-C12)*IF(RAND()&lt;((D12)-(C12))/((E12)-(C12)),SQRT(RAND()*((D12)-(C12))/((E12)-(C12))),1-SQRT(RAND()*((E12)-(D12))/((E12)-(C12))))</f>
        <v>0.16156843849535574</v>
      </c>
      <c r="H210" s="72">
        <f t="shared" ca="1" si="6"/>
        <v>295153824.15070546</v>
      </c>
      <c r="I210" s="73">
        <f t="shared" ca="1" si="7"/>
        <v>331.62601050921251</v>
      </c>
    </row>
    <row r="211" spans="1:9" ht="16.05" customHeight="1" x14ac:dyDescent="0.3">
      <c r="A211" s="66">
        <v>195</v>
      </c>
      <c r="B211" s="67">
        <f ca="1">(C7)+(E7-C7)*IF(RAND()&lt;((D7)-(C7))/((E7)-(C7)),SQRT(RAND()*((D7)-(C7))/((E7)-(C7))),1-SQRT(RAND()*((E7)-(D7))/((E7)-(C7))))</f>
        <v>0.25720686520048947</v>
      </c>
      <c r="C211" s="67">
        <f ca="1">(C8)+(E8-C8)*IF(RAND()&lt;((D8)-(C8))/((E8)-(C8)),SQRT(RAND()*((D8)-(C8))/((E8)-(C8))),1-SQRT(RAND()*((E8)-(D8))/((E8)-(C8))))</f>
        <v>0.6268203341621007</v>
      </c>
      <c r="D211" s="68">
        <f ca="1">(C9)+(E9-C9)*IF(RAND()&lt;((D9)-(C9))/((E9)-(C9)),SQRT(RAND()*((D9)-(C9))/((E9)-(C9))),1-SQRT(RAND()*((E9)-(D9))/((E9)-(C9))))</f>
        <v>1244174.6598258968</v>
      </c>
      <c r="E211" s="68">
        <f ca="1">(C10)+(E10-C10)*IF(RAND()&lt;((D10)-(C10))/((E10)-(C10)),SQRT(RAND()*((D10)-(C10))/((E10)-(C10))),1-SQRT(RAND()*((E10)-(D10))/((E10)-(C10))))</f>
        <v>3747175.8699371419</v>
      </c>
      <c r="F211" s="67">
        <f ca="1">(C11)+(E11-C11)*IF(RAND()&lt;((D11)-(C11))/((E11)-(C11)),SQRT(RAND()*((D11)-(C11))/((E11)-(C11))),1-SQRT(RAND()*((E11)-(D11))/((E11)-(C11))))</f>
        <v>1.6312736155298994E-2</v>
      </c>
      <c r="G211" s="67">
        <f ca="1">(C12)+(E12-C12)*IF(RAND()&lt;((D12)-(C12))/((E12)-(C12)),SQRT(RAND()*((D12)-(C12))/((E12)-(C12))),1-SQRT(RAND()*((E12)-(D12))/((E12)-(C12))))</f>
        <v>0.12924217223499143</v>
      </c>
      <c r="H211" s="68">
        <f t="shared" ca="1" si="6"/>
        <v>277693778.40430439</v>
      </c>
      <c r="I211" s="69">
        <f t="shared" ca="1" si="7"/>
        <v>295.71060917868755</v>
      </c>
    </row>
    <row r="212" spans="1:9" ht="16.05" customHeight="1" x14ac:dyDescent="0.3">
      <c r="A212" s="70">
        <v>196</v>
      </c>
      <c r="B212" s="71">
        <f ca="1">(C7)+(E7-C7)*IF(RAND()&lt;((D7)-(C7))/((E7)-(C7)),SQRT(RAND()*((D7)-(C7))/((E7)-(C7))),1-SQRT(RAND()*((E7)-(D7))/((E7)-(C7))))</f>
        <v>0.23974888569341615</v>
      </c>
      <c r="C212" s="71">
        <f ca="1">(C8)+(E8-C8)*IF(RAND()&lt;((D8)-(C8))/((E8)-(C8)),SQRT(RAND()*((D8)-(C8))/((E8)-(C8))),1-SQRT(RAND()*((E8)-(D8))/((E8)-(C8))))</f>
        <v>0.65231146904413395</v>
      </c>
      <c r="D212" s="72">
        <f ca="1">(C9)+(E9-C9)*IF(RAND()&lt;((D9)-(C9))/((E9)-(C9)),SQRT(RAND()*((D9)-(C9))/((E9)-(C9))),1-SQRT(RAND()*((E9)-(D9))/((E9)-(C9))))</f>
        <v>1294167.0329717146</v>
      </c>
      <c r="E212" s="72">
        <f ca="1">(C10)+(E10-C10)*IF(RAND()&lt;((D10)-(C10))/((E10)-(C10)),SQRT(RAND()*((D10)-(C10))/((E10)-(C10))),1-SQRT(RAND()*((E10)-(D10))/((E10)-(C10))))</f>
        <v>3028620.3070526081</v>
      </c>
      <c r="F212" s="71">
        <f ca="1">(C11)+(E11-C11)*IF(RAND()&lt;((D11)-(C11))/((E11)-(C11)),SQRT(RAND()*((D11)-(C11))/((E11)-(C11))),1-SQRT(RAND()*((E11)-(D11))/((E11)-(C11))))</f>
        <v>1.5391417315360324E-2</v>
      </c>
      <c r="G212" s="71">
        <f ca="1">(C12)+(E12-C12)*IF(RAND()&lt;((D12)-(C12))/((E12)-(C12)),SQRT(RAND()*((D12)-(C12))/((E12)-(C12))),1-SQRT(RAND()*((E12)-(D12))/((E12)-(C12))))</f>
        <v>0.17171576067838124</v>
      </c>
      <c r="H212" s="72">
        <f t="shared" ca="1" si="6"/>
        <v>268461404.83127677</v>
      </c>
      <c r="I212" s="73">
        <f t="shared" ca="1" si="7"/>
        <v>274.92911840263935</v>
      </c>
    </row>
    <row r="213" spans="1:9" ht="16.05" customHeight="1" x14ac:dyDescent="0.3">
      <c r="A213" s="66">
        <v>197</v>
      </c>
      <c r="B213" s="67">
        <f ca="1">(C7)+(E7-C7)*IF(RAND()&lt;((D7)-(C7))/((E7)-(C7)),SQRT(RAND()*((D7)-(C7))/((E7)-(C7))),1-SQRT(RAND()*((E7)-(D7))/((E7)-(C7))))</f>
        <v>0.3127507664300857</v>
      </c>
      <c r="C213" s="67">
        <f ca="1">(C8)+(E8-C8)*IF(RAND()&lt;((D8)-(C8))/((E8)-(C8)),SQRT(RAND()*((D8)-(C8))/((E8)-(C8))),1-SQRT(RAND()*((E8)-(D8))/((E8)-(C8))))</f>
        <v>0.72954219443843216</v>
      </c>
      <c r="D213" s="68">
        <f ca="1">(C9)+(E9-C9)*IF(RAND()&lt;((D9)-(C9))/((E9)-(C9)),SQRT(RAND()*((D9)-(C9))/((E9)-(C9))),1-SQRT(RAND()*((E9)-(D9))/((E9)-(C9))))</f>
        <v>1047039.9609029531</v>
      </c>
      <c r="E213" s="68">
        <f ca="1">(C10)+(E10-C10)*IF(RAND()&lt;((D10)-(C10))/((E10)-(C10)),SQRT(RAND()*((D10)-(C10))/((E10)-(C10))),1-SQRT(RAND()*((E10)-(D10))/((E10)-(C10))))</f>
        <v>3577226.3884316017</v>
      </c>
      <c r="F213" s="67">
        <f ca="1">(C11)+(E11-C11)*IF(RAND()&lt;((D11)-(C11))/((E11)-(C11)),SQRT(RAND()*((D11)-(C11))/((E11)-(C11))),1-SQRT(RAND()*((E11)-(D11))/((E11)-(C11))))</f>
        <v>1.5205891448017787E-2</v>
      </c>
      <c r="G213" s="67">
        <f ca="1">(C12)+(E12-C12)*IF(RAND()&lt;((D12)-(C12))/((E12)-(C12)),SQRT(RAND()*((D12)-(C12))/((E12)-(C12))),1-SQRT(RAND()*((E12)-(D12))/((E12)-(C12))))</f>
        <v>0.15410547263254645</v>
      </c>
      <c r="H213" s="68">
        <f t="shared" ca="1" si="6"/>
        <v>343376687.45711046</v>
      </c>
      <c r="I213" s="69">
        <f t="shared" ca="1" si="7"/>
        <v>433.88082122698142</v>
      </c>
    </row>
    <row r="214" spans="1:9" ht="16.05" customHeight="1" x14ac:dyDescent="0.3">
      <c r="A214" s="70">
        <v>198</v>
      </c>
      <c r="B214" s="71">
        <f ca="1">(C7)+(E7-C7)*IF(RAND()&lt;((D7)-(C7))/((E7)-(C7)),SQRT(RAND()*((D7)-(C7))/((E7)-(C7))),1-SQRT(RAND()*((E7)-(D7))/((E7)-(C7))))</f>
        <v>0.22103303167612456</v>
      </c>
      <c r="C214" s="71">
        <f ca="1">(C8)+(E8-C8)*IF(RAND()&lt;((D8)-(C8))/((E8)-(C8)),SQRT(RAND()*((D8)-(C8))/((E8)-(C8))),1-SQRT(RAND()*((E8)-(D8))/((E8)-(C8))))</f>
        <v>0.67531222559850645</v>
      </c>
      <c r="D214" s="72">
        <f ca="1">(C9)+(E9-C9)*IF(RAND()&lt;((D9)-(C9))/((E9)-(C9)),SQRT(RAND()*((D9)-(C9))/((E9)-(C9))),1-SQRT(RAND()*((E9)-(D9))/((E9)-(C9))))</f>
        <v>1278796.6835893097</v>
      </c>
      <c r="E214" s="72">
        <f ca="1">(C10)+(E10-C10)*IF(RAND()&lt;((D10)-(C10))/((E10)-(C10)),SQRT(RAND()*((D10)-(C10))/((E10)-(C10))),1-SQRT(RAND()*((E10)-(D10))/((E10)-(C10))))</f>
        <v>3167488.5210076408</v>
      </c>
      <c r="F214" s="71">
        <f ca="1">(C11)+(E11-C11)*IF(RAND()&lt;((D11)-(C11))/((E11)-(C11)),SQRT(RAND()*((D11)-(C11))/((E11)-(C11))),1-SQRT(RAND()*((E11)-(D11))/((E11)-(C11))))</f>
        <v>1.1355790241824096E-2</v>
      </c>
      <c r="G214" s="71">
        <f ca="1">(C12)+(E12-C12)*IF(RAND()&lt;((D12)-(C12))/((E12)-(C12)),SQRT(RAND()*((D12)-(C12))/((E12)-(C12))),1-SQRT(RAND()*((E12)-(D12))/((E12)-(C12))))</f>
        <v>0.13121887562528228</v>
      </c>
      <c r="H214" s="72">
        <f t="shared" ca="1" si="6"/>
        <v>231071286.6803121</v>
      </c>
      <c r="I214" s="73">
        <f t="shared" ca="1" si="7"/>
        <v>239.65250864511481</v>
      </c>
    </row>
    <row r="215" spans="1:9" ht="16.05" customHeight="1" x14ac:dyDescent="0.3">
      <c r="A215" s="66">
        <v>199</v>
      </c>
      <c r="B215" s="67">
        <f ca="1">(C7)+(E7-C7)*IF(RAND()&lt;((D7)-(C7))/((E7)-(C7)),SQRT(RAND()*((D7)-(C7))/((E7)-(C7))),1-SQRT(RAND()*((E7)-(D7))/((E7)-(C7))))</f>
        <v>0.17481687330393456</v>
      </c>
      <c r="C215" s="67">
        <f ca="1">(C8)+(E8-C8)*IF(RAND()&lt;((D8)-(C8))/((E8)-(C8)),SQRT(RAND()*((D8)-(C8))/((E8)-(C8))),1-SQRT(RAND()*((E8)-(D8))/((E8)-(C8))))</f>
        <v>0.70079643414455473</v>
      </c>
      <c r="D215" s="68">
        <f ca="1">(C9)+(E9-C9)*IF(RAND()&lt;((D9)-(C9))/((E9)-(C9)),SQRT(RAND()*((D9)-(C9))/((E9)-(C9))),1-SQRT(RAND()*((E9)-(D9))/((E9)-(C9))))</f>
        <v>1324421.0776133956</v>
      </c>
      <c r="E215" s="68">
        <f ca="1">(C10)+(E10-C10)*IF(RAND()&lt;((D10)-(C10))/((E10)-(C10)),SQRT(RAND()*((D10)-(C10))/((E10)-(C10))),1-SQRT(RAND()*((E10)-(D10))/((E10)-(C10))))</f>
        <v>2860003.2019019099</v>
      </c>
      <c r="F215" s="67">
        <f ca="1">(C11)+(E11-C11)*IF(RAND()&lt;((D11)-(C11))/((E11)-(C11)),SQRT(RAND()*((D11)-(C11))/((E11)-(C11))),1-SQRT(RAND()*((E11)-(D11))/((E11)-(C11))))</f>
        <v>8.6495562437354147E-3</v>
      </c>
      <c r="G215" s="67">
        <f ca="1">(C12)+(E12-C12)*IF(RAND()&lt;((D12)-(C12))/((E12)-(C12)),SQRT(RAND()*((D12)-(C12))/((E12)-(C12))),1-SQRT(RAND()*((E12)-(D12))/((E12)-(C12))))</f>
        <v>0.15050356573809764</v>
      </c>
      <c r="H215" s="68">
        <f t="shared" ca="1" si="6"/>
        <v>183550053.9645116</v>
      </c>
      <c r="I215" s="69">
        <f t="shared" ca="1" si="7"/>
        <v>184.1159945417283</v>
      </c>
    </row>
    <row r="216" spans="1:9" ht="16.05" customHeight="1" x14ac:dyDescent="0.3">
      <c r="A216" s="70">
        <v>200</v>
      </c>
      <c r="B216" s="71">
        <f ca="1">(C7)+(E7-C7)*IF(RAND()&lt;((D7)-(C7))/((E7)-(C7)),SQRT(RAND()*((D7)-(C7))/((E7)-(C7))),1-SQRT(RAND()*((E7)-(D7))/((E7)-(C7))))</f>
        <v>0.23525251441808903</v>
      </c>
      <c r="C216" s="71">
        <f ca="1">(C8)+(E8-C8)*IF(RAND()&lt;((D8)-(C8))/((E8)-(C8)),SQRT(RAND()*((D8)-(C8))/((E8)-(C8))),1-SQRT(RAND()*((E8)-(D8))/((E8)-(C8))))</f>
        <v>0.60482537236320888</v>
      </c>
      <c r="D216" s="72">
        <f ca="1">(C9)+(E9-C9)*IF(RAND()&lt;((D9)-(C9))/((E9)-(C9)),SQRT(RAND()*((D9)-(C9))/((E9)-(C9))),1-SQRT(RAND()*((E9)-(D9))/((E9)-(C9))))</f>
        <v>1264898.2353272508</v>
      </c>
      <c r="E216" s="72">
        <f ca="1">(C10)+(E10-C10)*IF(RAND()&lt;((D10)-(C10))/((E10)-(C10)),SQRT(RAND()*((D10)-(C10))/((E10)-(C10))),1-SQRT(RAND()*((E10)-(D10))/((E10)-(C10))))</f>
        <v>3444083.6745051732</v>
      </c>
      <c r="F216" s="71">
        <f ca="1">(C11)+(E11-C11)*IF(RAND()&lt;((D11)-(C11))/((E11)-(C11)),SQRT(RAND()*((D11)-(C11))/((E11)-(C11))),1-SQRT(RAND()*((E11)-(D11))/((E11)-(C11))))</f>
        <v>1.5929263010229299E-2</v>
      </c>
      <c r="G216" s="71">
        <f ca="1">(C12)+(E12-C12)*IF(RAND()&lt;((D12)-(C12))/((E12)-(C12)),SQRT(RAND()*((D12)-(C12))/((E12)-(C12))),1-SQRT(RAND()*((E12)-(D12))/((E12)-(C12))))</f>
        <v>0.16280514132660728</v>
      </c>
      <c r="H216" s="72">
        <f t="shared" ca="1" si="6"/>
        <v>255452917.33067733</v>
      </c>
      <c r="I216" s="73">
        <f t="shared" ca="1" si="7"/>
        <v>267.69549964595109</v>
      </c>
    </row>
    <row r="217" spans="1:9" ht="16.05" customHeight="1" x14ac:dyDescent="0.3">
      <c r="A217" s="66">
        <v>201</v>
      </c>
      <c r="B217" s="67">
        <f ca="1">(C7)+(E7-C7)*IF(RAND()&lt;((D7)-(C7))/((E7)-(C7)),SQRT(RAND()*((D7)-(C7))/((E7)-(C7))),1-SQRT(RAND()*((E7)-(D7))/((E7)-(C7))))</f>
        <v>0.26498671347113401</v>
      </c>
      <c r="C217" s="67">
        <f ca="1">(C8)+(E8-C8)*IF(RAND()&lt;((D8)-(C8))/((E8)-(C8)),SQRT(RAND()*((D8)-(C8))/((E8)-(C8))),1-SQRT(RAND()*((E8)-(D8))/((E8)-(C8))))</f>
        <v>0.62749164008162217</v>
      </c>
      <c r="D217" s="68">
        <f ca="1">(C9)+(E9-C9)*IF(RAND()&lt;((D9)-(C9))/((E9)-(C9)),SQRT(RAND()*((D9)-(C9))/((E9)-(C9))),1-SQRT(RAND()*((E9)-(D9))/((E9)-(C9))))</f>
        <v>1162305.0097479271</v>
      </c>
      <c r="E217" s="68">
        <f ca="1">(C10)+(E10-C10)*IF(RAND()&lt;((D10)-(C10))/((E10)-(C10)),SQRT(RAND()*((D10)-(C10))/((E10)-(C10))),1-SQRT(RAND()*((E10)-(D10))/((E10)-(C10))))</f>
        <v>4407550.637911655</v>
      </c>
      <c r="F217" s="67">
        <f ca="1">(C11)+(E11-C11)*IF(RAND()&lt;((D11)-(C11))/((E11)-(C11)),SQRT(RAND()*((D11)-(C11))/((E11)-(C11))),1-SQRT(RAND()*((E11)-(D11))/((E11)-(C11))))</f>
        <v>1.1693623481804177E-2</v>
      </c>
      <c r="G217" s="67">
        <f ca="1">(C12)+(E12-C12)*IF(RAND()&lt;((D12)-(C12))/((E12)-(C12)),SQRT(RAND()*((D12)-(C12))/((E12)-(C12))),1-SQRT(RAND()*((E12)-(D12))/((E12)-(C12))))</f>
        <v>0.15242001756802154</v>
      </c>
      <c r="H217" s="68">
        <f t="shared" ca="1" si="6"/>
        <v>247432155.36174819</v>
      </c>
      <c r="I217" s="69">
        <f t="shared" ca="1" si="7"/>
        <v>282.1057804773294</v>
      </c>
    </row>
    <row r="218" spans="1:9" ht="16.05" customHeight="1" x14ac:dyDescent="0.3">
      <c r="A218" s="70">
        <v>202</v>
      </c>
      <c r="B218" s="71">
        <f ca="1">(C7)+(E7-C7)*IF(RAND()&lt;((D7)-(C7))/((E7)-(C7)),SQRT(RAND()*((D7)-(C7))/((E7)-(C7))),1-SQRT(RAND()*((E7)-(D7))/((E7)-(C7))))</f>
        <v>0.27266097375511755</v>
      </c>
      <c r="C218" s="71">
        <f ca="1">(C8)+(E8-C8)*IF(RAND()&lt;((D8)-(C8))/((E8)-(C8)),SQRT(RAND()*((D8)-(C8))/((E8)-(C8))),1-SQRT(RAND()*((E8)-(D8))/((E8)-(C8))))</f>
        <v>0.61795631973643372</v>
      </c>
      <c r="D218" s="72">
        <f ca="1">(C9)+(E9-C9)*IF(RAND()&lt;((D9)-(C9))/((E9)-(C9)),SQRT(RAND()*((D9)-(C9))/((E9)-(C9))),1-SQRT(RAND()*((E9)-(D9))/((E9)-(C9))))</f>
        <v>1353170.9671394888</v>
      </c>
      <c r="E218" s="72">
        <f ca="1">(C10)+(E10-C10)*IF(RAND()&lt;((D10)-(C10))/((E10)-(C10)),SQRT(RAND()*((D10)-(C10))/((E10)-(C10))),1-SQRT(RAND()*((E10)-(D10))/((E10)-(C10))))</f>
        <v>4136406.2653539763</v>
      </c>
      <c r="F218" s="71">
        <f ca="1">(C11)+(E11-C11)*IF(RAND()&lt;((D11)-(C11))/((E11)-(C11)),SQRT(RAND()*((D11)-(C11))/((E11)-(C11))),1-SQRT(RAND()*((E11)-(D11))/((E11)-(C11))))</f>
        <v>1.670436782940218E-2</v>
      </c>
      <c r="G218" s="71">
        <f ca="1">(C12)+(E12-C12)*IF(RAND()&lt;((D12)-(C12))/((E12)-(C12)),SQRT(RAND()*((D12)-(C12))/((E12)-(C12))),1-SQRT(RAND()*((E12)-(D12))/((E12)-(C12))))</f>
        <v>0.14830155496048758</v>
      </c>
      <c r="H218" s="72">
        <f t="shared" ca="1" si="6"/>
        <v>286845480.44384313</v>
      </c>
      <c r="I218" s="73">
        <f t="shared" ca="1" si="7"/>
        <v>280.91822857895818</v>
      </c>
    </row>
    <row r="219" spans="1:9" ht="16.05" customHeight="1" x14ac:dyDescent="0.3">
      <c r="A219" s="66">
        <v>203</v>
      </c>
      <c r="B219" s="67">
        <f ca="1">(C7)+(E7-C7)*IF(RAND()&lt;((D7)-(C7))/((E7)-(C7)),SQRT(RAND()*((D7)-(C7))/((E7)-(C7))),1-SQRT(RAND()*((E7)-(D7))/((E7)-(C7))))</f>
        <v>0.26097356449408304</v>
      </c>
      <c r="C219" s="67">
        <f ca="1">(C8)+(E8-C8)*IF(RAND()&lt;((D8)-(C8))/((E8)-(C8)),SQRT(RAND()*((D8)-(C8))/((E8)-(C8))),1-SQRT(RAND()*((E8)-(D8))/((E8)-(C8))))</f>
        <v>0.86479752688549616</v>
      </c>
      <c r="D219" s="68">
        <f ca="1">(C9)+(E9-C9)*IF(RAND()&lt;((D9)-(C9))/((E9)-(C9)),SQRT(RAND()*((D9)-(C9))/((E9)-(C9))),1-SQRT(RAND()*((E9)-(D9))/((E9)-(C9))))</f>
        <v>1317149.1615066372</v>
      </c>
      <c r="E219" s="68">
        <f ca="1">(C10)+(E10-C10)*IF(RAND()&lt;((D10)-(C10))/((E10)-(C10)),SQRT(RAND()*((D10)-(C10))/((E10)-(C10))),1-SQRT(RAND()*((E10)-(D10))/((E10)-(C10))))</f>
        <v>2978523.941861345</v>
      </c>
      <c r="F219" s="67">
        <f ca="1">(C11)+(E11-C11)*IF(RAND()&lt;((D11)-(C11))/((E11)-(C11)),SQRT(RAND()*((D11)-(C11))/((E11)-(C11))),1-SQRT(RAND()*((E11)-(D11))/((E11)-(C11))))</f>
        <v>1.2839305208523159E-2</v>
      </c>
      <c r="G219" s="67">
        <f ca="1">(C12)+(E12-C12)*IF(RAND()&lt;((D12)-(C12))/((E12)-(C12)),SQRT(RAND()*((D12)-(C12))/((E12)-(C12))),1-SQRT(RAND()*((E12)-(D12))/((E12)-(C12))))</f>
        <v>0.20137553316988549</v>
      </c>
      <c r="H219" s="68">
        <f t="shared" ca="1" si="6"/>
        <v>325601591.87954354</v>
      </c>
      <c r="I219" s="69">
        <f t="shared" ca="1" si="7"/>
        <v>327.37499605804578</v>
      </c>
    </row>
    <row r="220" spans="1:9" ht="16.05" customHeight="1" x14ac:dyDescent="0.3">
      <c r="A220" s="70">
        <v>204</v>
      </c>
      <c r="B220" s="71">
        <f ca="1">(C7)+(E7-C7)*IF(RAND()&lt;((D7)-(C7))/((E7)-(C7)),SQRT(RAND()*((D7)-(C7))/((E7)-(C7))),1-SQRT(RAND()*((E7)-(D7))/((E7)-(C7))))</f>
        <v>0.36001864774062819</v>
      </c>
      <c r="C220" s="71">
        <f ca="1">(C8)+(E8-C8)*IF(RAND()&lt;((D8)-(C8))/((E8)-(C8)),SQRT(RAND()*((D8)-(C8))/((E8)-(C8))),1-SQRT(RAND()*((E8)-(D8))/((E8)-(C8))))</f>
        <v>0.84290685803289134</v>
      </c>
      <c r="D220" s="72">
        <f ca="1">(C9)+(E9-C9)*IF(RAND()&lt;((D9)-(C9))/((E9)-(C9)),SQRT(RAND()*((D9)-(C9))/((E9)-(C9))),1-SQRT(RAND()*((E9)-(D9))/((E9)-(C9))))</f>
        <v>1349242.7894692647</v>
      </c>
      <c r="E220" s="72">
        <f ca="1">(C10)+(E10-C10)*IF(RAND()&lt;((D10)-(C10))/((E10)-(C10)),SQRT(RAND()*((D10)-(C10))/((E10)-(C10))),1-SQRT(RAND()*((E10)-(D10))/((E10)-(C10))))</f>
        <v>4023618.4901524754</v>
      </c>
      <c r="F220" s="71">
        <f ca="1">(C11)+(E11-C11)*IF(RAND()&lt;((D11)-(C11))/((E11)-(C11)),SQRT(RAND()*((D11)-(C11))/((E11)-(C11))),1-SQRT(RAND()*((E11)-(D11))/((E11)-(C11))))</f>
        <v>9.7730649058878558E-3</v>
      </c>
      <c r="G220" s="71">
        <f ca="1">(C12)+(E12-C12)*IF(RAND()&lt;((D12)-(C12))/((E12)-(C12)),SQRT(RAND()*((D12)-(C12))/((E12)-(C12))),1-SQRT(RAND()*((E12)-(D12))/((E12)-(C12))))</f>
        <v>0.13843895065408865</v>
      </c>
      <c r="H220" s="72">
        <f t="shared" ca="1" si="6"/>
        <v>384090165.16400659</v>
      </c>
      <c r="I220" s="73">
        <f t="shared" ca="1" si="7"/>
        <v>376.79632461530827</v>
      </c>
    </row>
    <row r="221" spans="1:9" ht="16.05" customHeight="1" x14ac:dyDescent="0.3">
      <c r="A221" s="66">
        <v>205</v>
      </c>
      <c r="B221" s="67">
        <f ca="1">(C7)+(E7-C7)*IF(RAND()&lt;((D7)-(C7))/((E7)-(C7)),SQRT(RAND()*((D7)-(C7))/((E7)-(C7))),1-SQRT(RAND()*((E7)-(D7))/((E7)-(C7))))</f>
        <v>0.33672110752749695</v>
      </c>
      <c r="C221" s="67">
        <f ca="1">(C8)+(E8-C8)*IF(RAND()&lt;((D8)-(C8))/((E8)-(C8)),SQRT(RAND()*((D8)-(C8))/((E8)-(C8))),1-SQRT(RAND()*((E8)-(D8))/((E8)-(C8))))</f>
        <v>0.6078421522059263</v>
      </c>
      <c r="D221" s="68">
        <f ca="1">(C9)+(E9-C9)*IF(RAND()&lt;((D9)-(C9))/((E9)-(C9)),SQRT(RAND()*((D9)-(C9))/((E9)-(C9))),1-SQRT(RAND()*((E9)-(D9))/((E9)-(C9))))</f>
        <v>1204040.6488170153</v>
      </c>
      <c r="E221" s="68">
        <f ca="1">(C10)+(E10-C10)*IF(RAND()&lt;((D10)-(C10))/((E10)-(C10)),SQRT(RAND()*((D10)-(C10))/((E10)-(C10))),1-SQRT(RAND()*((E10)-(D10))/((E10)-(C10))))</f>
        <v>3590948.1120594689</v>
      </c>
      <c r="F221" s="67">
        <f ca="1">(C11)+(E11-C11)*IF(RAND()&lt;((D11)-(C11))/((E11)-(C11)),SQRT(RAND()*((D11)-(C11))/((E11)-(C11))),1-SQRT(RAND()*((E11)-(D11))/((E11)-(C11))))</f>
        <v>2.1172652538548661E-2</v>
      </c>
      <c r="G221" s="67">
        <f ca="1">(C12)+(E12-C12)*IF(RAND()&lt;((D12)-(C12))/((E12)-(C12)),SQRT(RAND()*((D12)-(C12))/((E12)-(C12))),1-SQRT(RAND()*((E12)-(D12))/((E12)-(C12))))</f>
        <v>0.13710118302880892</v>
      </c>
      <c r="H221" s="68">
        <f t="shared" ca="1" si="6"/>
        <v>360675891.51176733</v>
      </c>
      <c r="I221" s="69">
        <f t="shared" ca="1" si="7"/>
        <v>396.42770594136095</v>
      </c>
    </row>
    <row r="222" spans="1:9" ht="16.05" customHeight="1" x14ac:dyDescent="0.3">
      <c r="A222" s="70">
        <v>206</v>
      </c>
      <c r="B222" s="71">
        <f ca="1">(C7)+(E7-C7)*IF(RAND()&lt;((D7)-(C7))/((E7)-(C7)),SQRT(RAND()*((D7)-(C7))/((E7)-(C7))),1-SQRT(RAND()*((E7)-(D7))/((E7)-(C7))))</f>
        <v>0.2646203696919277</v>
      </c>
      <c r="C222" s="71">
        <f ca="1">(C8)+(E8-C8)*IF(RAND()&lt;((D8)-(C8))/((E8)-(C8)),SQRT(RAND()*((D8)-(C8))/((E8)-(C8))),1-SQRT(RAND()*((E8)-(D8))/((E8)-(C8))))</f>
        <v>0.75522840454964468</v>
      </c>
      <c r="D222" s="72">
        <f ca="1">(C9)+(E9-C9)*IF(RAND()&lt;((D9)-(C9))/((E9)-(C9)),SQRT(RAND()*((D9)-(C9))/((E9)-(C9))),1-SQRT(RAND()*((E9)-(D9))/((E9)-(C9))))</f>
        <v>1270611.3016993066</v>
      </c>
      <c r="E222" s="72">
        <f ca="1">(C10)+(E10-C10)*IF(RAND()&lt;((D10)-(C10))/((E10)-(C10)),SQRT(RAND()*((D10)-(C10))/((E10)-(C10))),1-SQRT(RAND()*((E10)-(D10))/((E10)-(C10))))</f>
        <v>3682209.3969275495</v>
      </c>
      <c r="F222" s="71">
        <f ca="1">(C11)+(E11-C11)*IF(RAND()&lt;((D11)-(C11))/((E11)-(C11)),SQRT(RAND()*((D11)-(C11))/((E11)-(C11))),1-SQRT(RAND()*((E11)-(D11))/((E11)-(C11))))</f>
        <v>5.7609594037259255E-3</v>
      </c>
      <c r="G222" s="71">
        <f ca="1">(C12)+(E12-C12)*IF(RAND()&lt;((D12)-(C12))/((E12)-(C12)),SQRT(RAND()*((D12)-(C12))/((E12)-(C12))),1-SQRT(RAND()*((E12)-(D12))/((E12)-(C12))))</f>
        <v>0.19609224640156087</v>
      </c>
      <c r="H222" s="72">
        <f t="shared" ca="1" si="6"/>
        <v>243778235.79937118</v>
      </c>
      <c r="I222" s="73">
        <f t="shared" ca="1" si="7"/>
        <v>254.37861464975816</v>
      </c>
    </row>
    <row r="223" spans="1:9" ht="16.05" customHeight="1" x14ac:dyDescent="0.3">
      <c r="A223" s="66">
        <v>207</v>
      </c>
      <c r="B223" s="67">
        <f ca="1">(C7)+(E7-C7)*IF(RAND()&lt;((D7)-(C7))/((E7)-(C7)),SQRT(RAND()*((D7)-(C7))/((E7)-(C7))),1-SQRT(RAND()*((E7)-(D7))/((E7)-(C7))))</f>
        <v>0.26586972698754441</v>
      </c>
      <c r="C223" s="67">
        <f ca="1">(C8)+(E8-C8)*IF(RAND()&lt;((D8)-(C8))/((E8)-(C8)),SQRT(RAND()*((D8)-(C8))/((E8)-(C8))),1-SQRT(RAND()*((E8)-(D8))/((E8)-(C8))))</f>
        <v>0.71087154276778564</v>
      </c>
      <c r="D223" s="68">
        <f ca="1">(C9)+(E9-C9)*IF(RAND()&lt;((D9)-(C9))/((E9)-(C9)),SQRT(RAND()*((D9)-(C9))/((E9)-(C9))),1-SQRT(RAND()*((E9)-(D9))/((E9)-(C9))))</f>
        <v>1333063.7402168096</v>
      </c>
      <c r="E223" s="68">
        <f ca="1">(C10)+(E10-C10)*IF(RAND()&lt;((D10)-(C10))/((E10)-(C10)),SQRT(RAND()*((D10)-(C10))/((E10)-(C10))),1-SQRT(RAND()*((E10)-(D10))/((E10)-(C10))))</f>
        <v>4130932.9598537525</v>
      </c>
      <c r="F223" s="67">
        <f ca="1">(C11)+(E11-C11)*IF(RAND()&lt;((D11)-(C11))/((E11)-(C11)),SQRT(RAND()*((D11)-(C11))/((E11)-(C11))),1-SQRT(RAND()*((E11)-(D11))/((E11)-(C11))))</f>
        <v>1.7004827403510756E-2</v>
      </c>
      <c r="G223" s="67">
        <f ca="1">(C12)+(E12-C12)*IF(RAND()&lt;((D12)-(C12))/((E12)-(C12)),SQRT(RAND()*((D12)-(C12))/((E12)-(C12))),1-SQRT(RAND()*((E12)-(D12))/((E12)-(C12))))</f>
        <v>0.18754014355660586</v>
      </c>
      <c r="H223" s="68">
        <f t="shared" ca="1" si="6"/>
        <v>311365280.34023231</v>
      </c>
      <c r="I223" s="69">
        <f t="shared" ca="1" si="7"/>
        <v>309.39644117727966</v>
      </c>
    </row>
    <row r="224" spans="1:9" ht="16.05" customHeight="1" x14ac:dyDescent="0.3">
      <c r="A224" s="70">
        <v>208</v>
      </c>
      <c r="B224" s="71">
        <f ca="1">(C7)+(E7-C7)*IF(RAND()&lt;((D7)-(C7))/((E7)-(C7)),SQRT(RAND()*((D7)-(C7))/((E7)-(C7))),1-SQRT(RAND()*((E7)-(D7))/((E7)-(C7))))</f>
        <v>0.27345332013418244</v>
      </c>
      <c r="C224" s="71">
        <f ca="1">(C8)+(E8-C8)*IF(RAND()&lt;((D8)-(C8))/((E8)-(C8)),SQRT(RAND()*((D8)-(C8))/((E8)-(C8))),1-SQRT(RAND()*((E8)-(D8))/((E8)-(C8))))</f>
        <v>0.59885519958554079</v>
      </c>
      <c r="D224" s="72">
        <f ca="1">(C9)+(E9-C9)*IF(RAND()&lt;((D9)-(C9))/((E9)-(C9)),SQRT(RAND()*((D9)-(C9))/((E9)-(C9))),1-SQRT(RAND()*((E9)-(D9))/((E9)-(C9))))</f>
        <v>1272128.1321760481</v>
      </c>
      <c r="E224" s="72">
        <f ca="1">(C10)+(E10-C10)*IF(RAND()&lt;((D10)-(C10))/((E10)-(C10)),SQRT(RAND()*((D10)-(C10))/((E10)-(C10))),1-SQRT(RAND()*((E10)-(D10))/((E10)-(C10))))</f>
        <v>4176981.0731370877</v>
      </c>
      <c r="F224" s="71">
        <f ca="1">(C11)+(E11-C11)*IF(RAND()&lt;((D11)-(C11))/((E11)-(C11)),SQRT(RAND()*((D11)-(C11))/((E11)-(C11))),1-SQRT(RAND()*((E11)-(D11))/((E11)-(C11))))</f>
        <v>1.6527075964576615E-2</v>
      </c>
      <c r="G224" s="71">
        <f ca="1">(C12)+(E12-C12)*IF(RAND()&lt;((D12)-(C12))/((E12)-(C12)),SQRT(RAND()*((D12)-(C12))/((E12)-(C12))),1-SQRT(RAND()*((E12)-(D12))/((E12)-(C12))))</f>
        <v>0.20534975044433235</v>
      </c>
      <c r="H224" s="72">
        <f t="shared" ca="1" si="6"/>
        <v>280343101.35223031</v>
      </c>
      <c r="I224" s="73">
        <f t="shared" ca="1" si="7"/>
        <v>291.98862210658058</v>
      </c>
    </row>
    <row r="225" spans="1:9" ht="16.05" customHeight="1" x14ac:dyDescent="0.3">
      <c r="A225" s="66">
        <v>209</v>
      </c>
      <c r="B225" s="67">
        <f ca="1">(C7)+(E7-C7)*IF(RAND()&lt;((D7)-(C7))/((E7)-(C7)),SQRT(RAND()*((D7)-(C7))/((E7)-(C7))),1-SQRT(RAND()*((E7)-(D7))/((E7)-(C7))))</f>
        <v>0.24807948945183383</v>
      </c>
      <c r="C225" s="67">
        <f ca="1">(C8)+(E8-C8)*IF(RAND()&lt;((D8)-(C8))/((E8)-(C8)),SQRT(RAND()*((D8)-(C8))/((E8)-(C8))),1-SQRT(RAND()*((E8)-(D8))/((E8)-(C8))))</f>
        <v>0.81933233758733626</v>
      </c>
      <c r="D225" s="68">
        <f ca="1">(C9)+(E9-C9)*IF(RAND()&lt;((D9)-(C9))/((E9)-(C9)),SQRT(RAND()*((D9)-(C9))/((E9)-(C9))),1-SQRT(RAND()*((E9)-(D9))/((E9)-(C9))))</f>
        <v>1193833.0781057456</v>
      </c>
      <c r="E225" s="68">
        <f ca="1">(C10)+(E10-C10)*IF(RAND()&lt;((D10)-(C10))/((E10)-(C10)),SQRT(RAND()*((D10)-(C10))/((E10)-(C10))),1-SQRT(RAND()*((E10)-(D10))/((E10)-(C10))))</f>
        <v>3890618.6402303251</v>
      </c>
      <c r="F225" s="67">
        <f ca="1">(C11)+(E11-C11)*IF(RAND()&lt;((D11)-(C11))/((E11)-(C11)),SQRT(RAND()*((D11)-(C11))/((E11)-(C11))),1-SQRT(RAND()*((E11)-(D11))/((E11)-(C11))))</f>
        <v>5.7564038868641622E-3</v>
      </c>
      <c r="G225" s="67">
        <f ca="1">(C12)+(E12-C12)*IF(RAND()&lt;((D12)-(C12))/((E12)-(C12)),SQRT(RAND()*((D12)-(C12))/((E12)-(C12))),1-SQRT(RAND()*((E12)-(D12))/((E12)-(C12))))</f>
        <v>0.16490137000026706</v>
      </c>
      <c r="H225" s="68">
        <f t="shared" ca="1" si="6"/>
        <v>246742820.59775642</v>
      </c>
      <c r="I225" s="69">
        <f t="shared" ca="1" si="7"/>
        <v>273.9288508413162</v>
      </c>
    </row>
    <row r="226" spans="1:9" ht="16.05" customHeight="1" x14ac:dyDescent="0.3">
      <c r="A226" s="70">
        <v>210</v>
      </c>
      <c r="B226" s="71">
        <f ca="1">(C7)+(E7-C7)*IF(RAND()&lt;((D7)-(C7))/((E7)-(C7)),SQRT(RAND()*((D7)-(C7))/((E7)-(C7))),1-SQRT(RAND()*((E7)-(D7))/((E7)-(C7))))</f>
        <v>0.25893597742973107</v>
      </c>
      <c r="C226" s="71">
        <f ca="1">(C8)+(E8-C8)*IF(RAND()&lt;((D8)-(C8))/((E8)-(C8)),SQRT(RAND()*((D8)-(C8))/((E8)-(C8))),1-SQRT(RAND()*((E8)-(D8))/((E8)-(C8))))</f>
        <v>0.72311421922150165</v>
      </c>
      <c r="D226" s="72">
        <f ca="1">(C9)+(E9-C9)*IF(RAND()&lt;((D9)-(C9))/((E9)-(C9)),SQRT(RAND()*((D9)-(C9))/((E9)-(C9))),1-SQRT(RAND()*((E9)-(D9))/((E9)-(C9))))</f>
        <v>1277913.0274339812</v>
      </c>
      <c r="E226" s="72">
        <f ca="1">(C10)+(E10-C10)*IF(RAND()&lt;((D10)-(C10))/((E10)-(C10)),SQRT(RAND()*((D10)-(C10))/((E10)-(C10))),1-SQRT(RAND()*((E10)-(D10))/((E10)-(C10))))</f>
        <v>3981052.2399881678</v>
      </c>
      <c r="F226" s="71">
        <f ca="1">(C11)+(E11-C11)*IF(RAND()&lt;((D11)-(C11))/((E11)-(C11)),SQRT(RAND()*((D11)-(C11))/((E11)-(C11))),1-SQRT(RAND()*((E11)-(D11))/((E11)-(C11))))</f>
        <v>2.2040561948116877E-2</v>
      </c>
      <c r="G226" s="71">
        <f ca="1">(C12)+(E12-C12)*IF(RAND()&lt;((D12)-(C12))/((E12)-(C12)),SQRT(RAND()*((D12)-(C12))/((E12)-(C12))),1-SQRT(RAND()*((E12)-(D12))/((E12)-(C12))))</f>
        <v>0.17248472096017667</v>
      </c>
      <c r="H226" s="72">
        <f t="shared" ca="1" si="6"/>
        <v>346421162.20336115</v>
      </c>
      <c r="I226" s="73">
        <f t="shared" ca="1" si="7"/>
        <v>358.87473619672772</v>
      </c>
    </row>
    <row r="227" spans="1:9" ht="16.05" customHeight="1" x14ac:dyDescent="0.3">
      <c r="A227" s="66">
        <v>211</v>
      </c>
      <c r="B227" s="67">
        <f ca="1">(C7)+(E7-C7)*IF(RAND()&lt;((D7)-(C7))/((E7)-(C7)),SQRT(RAND()*((D7)-(C7))/((E7)-(C7))),1-SQRT(RAND()*((E7)-(D7))/((E7)-(C7))))</f>
        <v>0.33153984850900986</v>
      </c>
      <c r="C227" s="67">
        <f ca="1">(C8)+(E8-C8)*IF(RAND()&lt;((D8)-(C8))/((E8)-(C8)),SQRT(RAND()*((D8)-(C8))/((E8)-(C8))),1-SQRT(RAND()*((E8)-(D8))/((E8)-(C8))))</f>
        <v>0.74962221457055833</v>
      </c>
      <c r="D227" s="68">
        <f ca="1">(C9)+(E9-C9)*IF(RAND()&lt;((D9)-(C9))/((E9)-(C9)),SQRT(RAND()*((D9)-(C9))/((E9)-(C9))),1-SQRT(RAND()*((E9)-(D9))/((E9)-(C9))))</f>
        <v>1295227.2061209488</v>
      </c>
      <c r="E227" s="68">
        <f ca="1">(C10)+(E10-C10)*IF(RAND()&lt;((D10)-(C10))/((E10)-(C10)),SQRT(RAND()*((D10)-(C10))/((E10)-(C10))),1-SQRT(RAND()*((E10)-(D10))/((E10)-(C10))))</f>
        <v>4345980.0122814141</v>
      </c>
      <c r="F227" s="67">
        <f ca="1">(C11)+(E11-C11)*IF(RAND()&lt;((D11)-(C11))/((E11)-(C11)),SQRT(RAND()*((D11)-(C11))/((E11)-(C11))),1-SQRT(RAND()*((E11)-(D11))/((E11)-(C11))))</f>
        <v>1.1133168281317225E-2</v>
      </c>
      <c r="G227" s="67">
        <f ca="1">(C12)+(E12-C12)*IF(RAND()&lt;((D12)-(C12))/((E12)-(C12)),SQRT(RAND()*((D12)-(C12))/((E12)-(C12))),1-SQRT(RAND()*((E12)-(D12))/((E12)-(C12))))</f>
        <v>0.18560859056550294</v>
      </c>
      <c r="H227" s="68">
        <f t="shared" ca="1" si="6"/>
        <v>332974749.54289985</v>
      </c>
      <c r="I227" s="69">
        <f t="shared" ca="1" si="7"/>
        <v>340.40196714133685</v>
      </c>
    </row>
    <row r="228" spans="1:9" ht="16.05" customHeight="1" x14ac:dyDescent="0.3">
      <c r="A228" s="70">
        <v>212</v>
      </c>
      <c r="B228" s="71">
        <f ca="1">(C7)+(E7-C7)*IF(RAND()&lt;((D7)-(C7))/((E7)-(C7)),SQRT(RAND()*((D7)-(C7))/((E7)-(C7))),1-SQRT(RAND()*((E7)-(D7))/((E7)-(C7))))</f>
        <v>0.30659704259709997</v>
      </c>
      <c r="C228" s="71">
        <f ca="1">(C8)+(E8-C8)*IF(RAND()&lt;((D8)-(C8))/((E8)-(C8)),SQRT(RAND()*((D8)-(C8))/((E8)-(C8))),1-SQRT(RAND()*((E8)-(D8))/((E8)-(C8))))</f>
        <v>0.64708258035329558</v>
      </c>
      <c r="D228" s="72">
        <f ca="1">(C9)+(E9-C9)*IF(RAND()&lt;((D9)-(C9))/((E9)-(C9)),SQRT(RAND()*((D9)-(C9))/((E9)-(C9))),1-SQRT(RAND()*((E9)-(D9))/((E9)-(C9))))</f>
        <v>1156225.6050797761</v>
      </c>
      <c r="E228" s="72">
        <f ca="1">(C10)+(E10-C10)*IF(RAND()&lt;((D10)-(C10))/((E10)-(C10)),SQRT(RAND()*((D10)-(C10))/((E10)-(C10))),1-SQRT(RAND()*((E10)-(D10))/((E10)-(C10))))</f>
        <v>2950095.4661198659</v>
      </c>
      <c r="F228" s="71">
        <f ca="1">(C11)+(E11-C11)*IF(RAND()&lt;((D11)-(C11))/((E11)-(C11)),SQRT(RAND()*((D11)-(C11))/((E11)-(C11))),1-SQRT(RAND()*((E11)-(D11))/((E11)-(C11))))</f>
        <v>1.8755440972663455E-2</v>
      </c>
      <c r="G228" s="71">
        <f ca="1">(C12)+(E12-C12)*IF(RAND()&lt;((D12)-(C12))/((E12)-(C12)),SQRT(RAND()*((D12)-(C12))/((E12)-(C12))),1-SQRT(RAND()*((E12)-(D12))/((E12)-(C12))))</f>
        <v>0.13832665398400149</v>
      </c>
      <c r="H228" s="72">
        <f t="shared" ca="1" si="6"/>
        <v>338874424.57565117</v>
      </c>
      <c r="I228" s="73">
        <f t="shared" ca="1" si="7"/>
        <v>387.89674141703136</v>
      </c>
    </row>
    <row r="229" spans="1:9" ht="16.05" customHeight="1" x14ac:dyDescent="0.3">
      <c r="A229" s="66">
        <v>213</v>
      </c>
      <c r="B229" s="67">
        <f ca="1">(C7)+(E7-C7)*IF(RAND()&lt;((D7)-(C7))/((E7)-(C7)),SQRT(RAND()*((D7)-(C7))/((E7)-(C7))),1-SQRT(RAND()*((E7)-(D7))/((E7)-(C7))))</f>
        <v>0.31154187228324215</v>
      </c>
      <c r="C229" s="67">
        <f ca="1">(C8)+(E8-C8)*IF(RAND()&lt;((D8)-(C8))/((E8)-(C8)),SQRT(RAND()*((D8)-(C8))/((E8)-(C8))),1-SQRT(RAND()*((E8)-(D8))/((E8)-(C8))))</f>
        <v>0.7331467176196762</v>
      </c>
      <c r="D229" s="68">
        <f ca="1">(C9)+(E9-C9)*IF(RAND()&lt;((D9)-(C9))/((E9)-(C9)),SQRT(RAND()*((D9)-(C9))/((E9)-(C9))),1-SQRT(RAND()*((E9)-(D9))/((E9)-(C9))))</f>
        <v>1333802.8037472293</v>
      </c>
      <c r="E229" s="68">
        <f ca="1">(C10)+(E10-C10)*IF(RAND()&lt;((D10)-(C10))/((E10)-(C10)),SQRT(RAND()*((D10)-(C10))/((E10)-(C10))),1-SQRT(RAND()*((E10)-(D10))/((E10)-(C10))))</f>
        <v>2158294.0735615971</v>
      </c>
      <c r="F229" s="67">
        <f ca="1">(C11)+(E11-C11)*IF(RAND()&lt;((D11)-(C11))/((E11)-(C11)),SQRT(RAND()*((D11)-(C11))/((E11)-(C11))),1-SQRT(RAND()*((E11)-(D11))/((E11)-(C11))))</f>
        <v>1.0581797354825073E-2</v>
      </c>
      <c r="G229" s="67">
        <f ca="1">(C12)+(E12-C12)*IF(RAND()&lt;((D12)-(C12))/((E12)-(C12)),SQRT(RAND()*((D12)-(C12))/((E12)-(C12))),1-SQRT(RAND()*((E12)-(D12))/((E12)-(C12))))</f>
        <v>0.19564945150819613</v>
      </c>
      <c r="H229" s="68">
        <f t="shared" ca="1" si="6"/>
        <v>315355884.46752548</v>
      </c>
      <c r="I229" s="69">
        <f t="shared" ca="1" si="7"/>
        <v>313.17201261360367</v>
      </c>
    </row>
    <row r="230" spans="1:9" ht="16.05" customHeight="1" x14ac:dyDescent="0.3">
      <c r="A230" s="70">
        <v>214</v>
      </c>
      <c r="B230" s="71">
        <f ca="1">(C7)+(E7-C7)*IF(RAND()&lt;((D7)-(C7))/((E7)-(C7)),SQRT(RAND()*((D7)-(C7))/((E7)-(C7))),1-SQRT(RAND()*((E7)-(D7))/((E7)-(C7))))</f>
        <v>0.22484237216426523</v>
      </c>
      <c r="C230" s="71">
        <f ca="1">(C8)+(E8-C8)*IF(RAND()&lt;((D8)-(C8))/((E8)-(C8)),SQRT(RAND()*((D8)-(C8))/((E8)-(C8))),1-SQRT(RAND()*((E8)-(D8))/((E8)-(C8))))</f>
        <v>0.7186545805440141</v>
      </c>
      <c r="D230" s="72">
        <f ca="1">(C9)+(E9-C9)*IF(RAND()&lt;((D9)-(C9))/((E9)-(C9)),SQRT(RAND()*((D9)-(C9))/((E9)-(C9))),1-SQRT(RAND()*((E9)-(D9))/((E9)-(C9))))</f>
        <v>1311714.4977086079</v>
      </c>
      <c r="E230" s="72">
        <f ca="1">(C10)+(E10-C10)*IF(RAND()&lt;((D10)-(C10))/((E10)-(C10)),SQRT(RAND()*((D10)-(C10))/((E10)-(C10))),1-SQRT(RAND()*((E10)-(D10))/((E10)-(C10))))</f>
        <v>3753400.0805736231</v>
      </c>
      <c r="F230" s="71">
        <f ca="1">(C11)+(E11-C11)*IF(RAND()&lt;((D11)-(C11))/((E11)-(C11)),SQRT(RAND()*((D11)-(C11))/((E11)-(C11))),1-SQRT(RAND()*((E11)-(D11))/((E11)-(C11))))</f>
        <v>6.5889236806266566E-3</v>
      </c>
      <c r="G230" s="71">
        <f ca="1">(C12)+(E12-C12)*IF(RAND()&lt;((D12)-(C12))/((E12)-(C12)),SQRT(RAND()*((D12)-(C12))/((E12)-(C12))),1-SQRT(RAND()*((E12)-(D12))/((E12)-(C12))))</f>
        <v>0.17171749124636837</v>
      </c>
      <c r="H230" s="72">
        <f t="shared" ca="1" si="6"/>
        <v>207812795.06726962</v>
      </c>
      <c r="I230" s="73">
        <f t="shared" ca="1" si="7"/>
        <v>210.28401718531924</v>
      </c>
    </row>
    <row r="231" spans="1:9" ht="16.05" customHeight="1" x14ac:dyDescent="0.3">
      <c r="A231" s="66">
        <v>215</v>
      </c>
      <c r="B231" s="67">
        <f ca="1">(C7)+(E7-C7)*IF(RAND()&lt;((D7)-(C7))/((E7)-(C7)),SQRT(RAND()*((D7)-(C7))/((E7)-(C7))),1-SQRT(RAND()*((E7)-(D7))/((E7)-(C7))))</f>
        <v>0.23577869184361125</v>
      </c>
      <c r="C231" s="67">
        <f ca="1">(C8)+(E8-C8)*IF(RAND()&lt;((D8)-(C8))/((E8)-(C8)),SQRT(RAND()*((D8)-(C8))/((E8)-(C8))),1-SQRT(RAND()*((E8)-(D8))/((E8)-(C8))))</f>
        <v>0.63318293370731604</v>
      </c>
      <c r="D231" s="68">
        <f ca="1">(C9)+(E9-C9)*IF(RAND()&lt;((D9)-(C9))/((E9)-(C9)),SQRT(RAND()*((D9)-(C9))/((E9)-(C9))),1-SQRT(RAND()*((E9)-(D9))/((E9)-(C9))))</f>
        <v>1235557.1661201101</v>
      </c>
      <c r="E231" s="68">
        <f ca="1">(C10)+(E10-C10)*IF(RAND()&lt;((D10)-(C10))/((E10)-(C10)),SQRT(RAND()*((D10)-(C10))/((E10)-(C10))),1-SQRT(RAND()*((E10)-(D10))/((E10)-(C10))))</f>
        <v>4490768.6892411876</v>
      </c>
      <c r="F231" s="67">
        <f ca="1">(C11)+(E11-C11)*IF(RAND()&lt;((D11)-(C11))/((E11)-(C11)),SQRT(RAND()*((D11)-(C11))/((E11)-(C11))),1-SQRT(RAND()*((E11)-(D11))/((E11)-(C11))))</f>
        <v>1.3433718226605662E-2</v>
      </c>
      <c r="G231" s="67">
        <f ca="1">(C12)+(E12-C12)*IF(RAND()&lt;((D12)-(C12))/((E12)-(C12)),SQRT(RAND()*((D12)-(C12))/((E12)-(C12))),1-SQRT(RAND()*((E12)-(D12))/((E12)-(C12))))</f>
        <v>0.13019370984747852</v>
      </c>
      <c r="H231" s="68">
        <f t="shared" ca="1" si="6"/>
        <v>241122937.66966182</v>
      </c>
      <c r="I231" s="69">
        <f t="shared" ca="1" si="7"/>
        <v>258.72360316459236</v>
      </c>
    </row>
    <row r="232" spans="1:9" ht="16.05" customHeight="1" x14ac:dyDescent="0.3">
      <c r="A232" s="70">
        <v>216</v>
      </c>
      <c r="B232" s="71">
        <f ca="1">(C7)+(E7-C7)*IF(RAND()&lt;((D7)-(C7))/((E7)-(C7)),SQRT(RAND()*((D7)-(C7))/((E7)-(C7))),1-SQRT(RAND()*((E7)-(D7))/((E7)-(C7))))</f>
        <v>0.25694505932687345</v>
      </c>
      <c r="C232" s="71">
        <f ca="1">(C8)+(E8-C8)*IF(RAND()&lt;((D8)-(C8))/((E8)-(C8)),SQRT(RAND()*((D8)-(C8))/((E8)-(C8))),1-SQRT(RAND()*((E8)-(D8))/((E8)-(C8))))</f>
        <v>0.62053121707375558</v>
      </c>
      <c r="D232" s="72">
        <f ca="1">(C9)+(E9-C9)*IF(RAND()&lt;((D9)-(C9))/((E9)-(C9)),SQRT(RAND()*((D9)-(C9))/((E9)-(C9))),1-SQRT(RAND()*((E9)-(D9))/((E9)-(C9))))</f>
        <v>1405707.1916391824</v>
      </c>
      <c r="E232" s="72">
        <f ca="1">(C10)+(E10-C10)*IF(RAND()&lt;((D10)-(C10))/((E10)-(C10)),SQRT(RAND()*((D10)-(C10))/((E10)-(C10))),1-SQRT(RAND()*((E10)-(D10))/((E10)-(C10))))</f>
        <v>2888471.645828221</v>
      </c>
      <c r="F232" s="71">
        <f ca="1">(C11)+(E11-C11)*IF(RAND()&lt;((D11)-(C11))/((E11)-(C11)),SQRT(RAND()*((D11)-(C11))/((E11)-(C11))),1-SQRT(RAND()*((E11)-(D11))/((E11)-(C11))))</f>
        <v>5.7272513795287913E-3</v>
      </c>
      <c r="G232" s="71">
        <f ca="1">(C12)+(E12-C12)*IF(RAND()&lt;((D12)-(C12))/((E12)-(C12)),SQRT(RAND()*((D12)-(C12))/((E12)-(C12))),1-SQRT(RAND()*((E12)-(D12))/((E12)-(C12))))</f>
        <v>0.11087889638997635</v>
      </c>
      <c r="H232" s="72">
        <f t="shared" ca="1" si="6"/>
        <v>202448371.85162148</v>
      </c>
      <c r="I232" s="73">
        <f t="shared" ca="1" si="7"/>
        <v>191.27807277786314</v>
      </c>
    </row>
    <row r="233" spans="1:9" ht="16.05" customHeight="1" x14ac:dyDescent="0.3">
      <c r="A233" s="66">
        <v>217</v>
      </c>
      <c r="B233" s="67">
        <f ca="1">(C7)+(E7-C7)*IF(RAND()&lt;((D7)-(C7))/((E7)-(C7)),SQRT(RAND()*((D7)-(C7))/((E7)-(C7))),1-SQRT(RAND()*((E7)-(D7))/((E7)-(C7))))</f>
        <v>0.31379051096477817</v>
      </c>
      <c r="C233" s="67">
        <f ca="1">(C8)+(E8-C8)*IF(RAND()&lt;((D8)-(C8))/((E8)-(C8)),SQRT(RAND()*((D8)-(C8))/((E8)-(C8))),1-SQRT(RAND()*((E8)-(D8))/((E8)-(C8))))</f>
        <v>0.76070177553389728</v>
      </c>
      <c r="D233" s="68">
        <f ca="1">(C9)+(E9-C9)*IF(RAND()&lt;((D9)-(C9))/((E9)-(C9)),SQRT(RAND()*((D9)-(C9))/((E9)-(C9))),1-SQRT(RAND()*((E9)-(D9))/((E9)-(C9))))</f>
        <v>1192097.1431774357</v>
      </c>
      <c r="E233" s="68">
        <f ca="1">(C10)+(E10-C10)*IF(RAND()&lt;((D10)-(C10))/((E10)-(C10)),SQRT(RAND()*((D10)-(C10))/((E10)-(C10))),1-SQRT(RAND()*((E10)-(D10))/((E10)-(C10))))</f>
        <v>4276565.8539953828</v>
      </c>
      <c r="F233" s="67">
        <f ca="1">(C11)+(E11-C11)*IF(RAND()&lt;((D11)-(C11))/((E11)-(C11)),SQRT(RAND()*((D11)-(C11))/((E11)-(C11))),1-SQRT(RAND()*((E11)-(D11))/((E11)-(C11))))</f>
        <v>1.7703689863291398E-2</v>
      </c>
      <c r="G233" s="67">
        <f ca="1">(C12)+(E12-C12)*IF(RAND()&lt;((D12)-(C12))/((E12)-(C12)),SQRT(RAND()*((D12)-(C12))/((E12)-(C12))),1-SQRT(RAND()*((E12)-(D12))/((E12)-(C12))))</f>
        <v>0.1350268291903084</v>
      </c>
      <c r="H233" s="68">
        <f t="shared" ca="1" si="6"/>
        <v>370071669.35206836</v>
      </c>
      <c r="I233" s="69">
        <f t="shared" ca="1" si="7"/>
        <v>410.78215341900579</v>
      </c>
    </row>
    <row r="234" spans="1:9" ht="16.05" customHeight="1" x14ac:dyDescent="0.3">
      <c r="A234" s="70">
        <v>218</v>
      </c>
      <c r="B234" s="71">
        <f ca="1">(C7)+(E7-C7)*IF(RAND()&lt;((D7)-(C7))/((E7)-(C7)),SQRT(RAND()*((D7)-(C7))/((E7)-(C7))),1-SQRT(RAND()*((E7)-(D7))/((E7)-(C7))))</f>
        <v>0.29117953457110946</v>
      </c>
      <c r="C234" s="71">
        <f ca="1">(C8)+(E8-C8)*IF(RAND()&lt;((D8)-(C8))/((E8)-(C8)),SQRT(RAND()*((D8)-(C8))/((E8)-(C8))),1-SQRT(RAND()*((E8)-(D8))/((E8)-(C8))))</f>
        <v>0.61289391274752836</v>
      </c>
      <c r="D234" s="72">
        <f ca="1">(C9)+(E9-C9)*IF(RAND()&lt;((D9)-(C9))/((E9)-(C9)),SQRT(RAND()*((D9)-(C9))/((E9)-(C9))),1-SQRT(RAND()*((E9)-(D9))/((E9)-(C9))))</f>
        <v>1299499.6347822102</v>
      </c>
      <c r="E234" s="72">
        <f ca="1">(C10)+(E10-C10)*IF(RAND()&lt;((D10)-(C10))/((E10)-(C10)),SQRT(RAND()*((D10)-(C10))/((E10)-(C10))),1-SQRT(RAND()*((E10)-(D10))/((E10)-(C10))))</f>
        <v>3164717.3587092226</v>
      </c>
      <c r="F234" s="71">
        <f ca="1">(C11)+(E11-C11)*IF(RAND()&lt;((D11)-(C11))/((E11)-(C11)),SQRT(RAND()*((D11)-(C11))/((E11)-(C11))),1-SQRT(RAND()*((E11)-(D11))/((E11)-(C11))))</f>
        <v>2.3568150105836582E-2</v>
      </c>
      <c r="G234" s="71">
        <f ca="1">(C12)+(E12-C12)*IF(RAND()&lt;((D12)-(C12))/((E12)-(C12)),SQRT(RAND()*((D12)-(C12))/((E12)-(C12))),1-SQRT(RAND()*((E12)-(D12))/((E12)-(C12))))</f>
        <v>0.17451931589171871</v>
      </c>
      <c r="H234" s="72">
        <f t="shared" ca="1" si="6"/>
        <v>350969526.22592038</v>
      </c>
      <c r="I234" s="73">
        <f t="shared" ca="1" si="7"/>
        <v>357.55178030368018</v>
      </c>
    </row>
    <row r="235" spans="1:9" ht="16.05" customHeight="1" x14ac:dyDescent="0.3">
      <c r="A235" s="66">
        <v>219</v>
      </c>
      <c r="B235" s="67">
        <f ca="1">(C7)+(E7-C7)*IF(RAND()&lt;((D7)-(C7))/((E7)-(C7)),SQRT(RAND()*((D7)-(C7))/((E7)-(C7))),1-SQRT(RAND()*((E7)-(D7))/((E7)-(C7))))</f>
        <v>0.26257136772177653</v>
      </c>
      <c r="C235" s="67">
        <f ca="1">(C8)+(E8-C8)*IF(RAND()&lt;((D8)-(C8))/((E8)-(C8)),SQRT(RAND()*((D8)-(C8))/((E8)-(C8))),1-SQRT(RAND()*((E8)-(D8))/((E8)-(C8))))</f>
        <v>0.61831460659127369</v>
      </c>
      <c r="D235" s="68">
        <f ca="1">(C9)+(E9-C9)*IF(RAND()&lt;((D9)-(C9))/((E9)-(C9)),SQRT(RAND()*((D9)-(C9))/((E9)-(C9))),1-SQRT(RAND()*((E9)-(D9))/((E9)-(C9))))</f>
        <v>1127022.8494817303</v>
      </c>
      <c r="E235" s="68">
        <f ca="1">(C10)+(E10-C10)*IF(RAND()&lt;((D10)-(C10))/((E10)-(C10)),SQRT(RAND()*((D10)-(C10))/((E10)-(C10))),1-SQRT(RAND()*((E10)-(D10))/((E10)-(C10))))</f>
        <v>4142926.0445448915</v>
      </c>
      <c r="F235" s="67">
        <f ca="1">(C11)+(E11-C11)*IF(RAND()&lt;((D11)-(C11))/((E11)-(C11)),SQRT(RAND()*((D11)-(C11))/((E11)-(C11))),1-SQRT(RAND()*((E11)-(D11))/((E11)-(C11))))</f>
        <v>1.323724408126869E-2</v>
      </c>
      <c r="G235" s="67">
        <f ca="1">(C12)+(E12-C12)*IF(RAND()&lt;((D12)-(C12))/((E12)-(C12)),SQRT(RAND()*((D12)-(C12))/((E12)-(C12))),1-SQRT(RAND()*((E12)-(D12))/((E12)-(C12))))</f>
        <v>0.18143488946786218</v>
      </c>
      <c r="H235" s="68">
        <f t="shared" ca="1" si="6"/>
        <v>255341415.7713694</v>
      </c>
      <c r="I235" s="69">
        <f t="shared" ca="1" si="7"/>
        <v>300.15242389563912</v>
      </c>
    </row>
    <row r="236" spans="1:9" ht="16.05" customHeight="1" x14ac:dyDescent="0.3">
      <c r="A236" s="70">
        <v>220</v>
      </c>
      <c r="B236" s="71">
        <f ca="1">(C7)+(E7-C7)*IF(RAND()&lt;((D7)-(C7))/((E7)-(C7)),SQRT(RAND()*((D7)-(C7))/((E7)-(C7))),1-SQRT(RAND()*((E7)-(D7))/((E7)-(C7))))</f>
        <v>0.30334059544496927</v>
      </c>
      <c r="C236" s="71">
        <f ca="1">(C8)+(E8-C8)*IF(RAND()&lt;((D8)-(C8))/((E8)-(C8)),SQRT(RAND()*((D8)-(C8))/((E8)-(C8))),1-SQRT(RAND()*((E8)-(D8))/((E8)-(C8))))</f>
        <v>0.68636952484476677</v>
      </c>
      <c r="D236" s="72">
        <f ca="1">(C9)+(E9-C9)*IF(RAND()&lt;((D9)-(C9))/((E9)-(C9)),SQRT(RAND()*((D9)-(C9))/((E9)-(C9))),1-SQRT(RAND()*((E9)-(D9))/((E9)-(C9))))</f>
        <v>1281409.419704478</v>
      </c>
      <c r="E236" s="72">
        <f ca="1">(C10)+(E10-C10)*IF(RAND()&lt;((D10)-(C10))/((E10)-(C10)),SQRT(RAND()*((D10)-(C10))/((E10)-(C10))),1-SQRT(RAND()*((E10)-(D10))/((E10)-(C10))))</f>
        <v>5082208.6360287666</v>
      </c>
      <c r="F236" s="71">
        <f ca="1">(C11)+(E11-C11)*IF(RAND()&lt;((D11)-(C11))/((E11)-(C11)),SQRT(RAND()*((D11)-(C11))/((E11)-(C11))),1-SQRT(RAND()*((E11)-(D11))/((E11)-(C11))))</f>
        <v>1.3873401831642622E-2</v>
      </c>
      <c r="G236" s="71">
        <f ca="1">(C12)+(E12-C12)*IF(RAND()&lt;((D12)-(C12))/((E12)-(C12)),SQRT(RAND()*((D12)-(C12))/((E12)-(C12))),1-SQRT(RAND()*((E12)-(D12))/((E12)-(C12))))</f>
        <v>0.14041000320817543</v>
      </c>
      <c r="H236" s="72">
        <f t="shared" ca="1" si="6"/>
        <v>306102958.66043103</v>
      </c>
      <c r="I236" s="73">
        <f t="shared" ca="1" si="7"/>
        <v>316.39857132439755</v>
      </c>
    </row>
    <row r="237" spans="1:9" ht="16.05" customHeight="1" x14ac:dyDescent="0.3">
      <c r="A237" s="66">
        <v>221</v>
      </c>
      <c r="B237" s="67">
        <f ca="1">(C7)+(E7-C7)*IF(RAND()&lt;((D7)-(C7))/((E7)-(C7)),SQRT(RAND()*((D7)-(C7))/((E7)-(C7))),1-SQRT(RAND()*((E7)-(D7))/((E7)-(C7))))</f>
        <v>0.28319226265118819</v>
      </c>
      <c r="C237" s="67">
        <f ca="1">(C8)+(E8-C8)*IF(RAND()&lt;((D8)-(C8))/((E8)-(C8)),SQRT(RAND()*((D8)-(C8))/((E8)-(C8))),1-SQRT(RAND()*((E8)-(D8))/((E8)-(C8))))</f>
        <v>0.82242435799204139</v>
      </c>
      <c r="D237" s="68">
        <f ca="1">(C9)+(E9-C9)*IF(RAND()&lt;((D9)-(C9))/((E9)-(C9)),SQRT(RAND()*((D9)-(C9))/((E9)-(C9))),1-SQRT(RAND()*((E9)-(D9))/((E9)-(C9))))</f>
        <v>1323893.7225739453</v>
      </c>
      <c r="E237" s="68">
        <f ca="1">(C10)+(E10-C10)*IF(RAND()&lt;((D10)-(C10))/((E10)-(C10)),SQRT(RAND()*((D10)-(C10))/((E10)-(C10))),1-SQRT(RAND()*((E10)-(D10))/((E10)-(C10))))</f>
        <v>2927536.9627232971</v>
      </c>
      <c r="F237" s="67">
        <f ca="1">(C11)+(E11-C11)*IF(RAND()&lt;((D11)-(C11))/((E11)-(C11)),SQRT(RAND()*((D11)-(C11))/((E11)-(C11))),1-SQRT(RAND()*((E11)-(D11))/((E11)-(C11))))</f>
        <v>6.0427949638425212E-3</v>
      </c>
      <c r="G237" s="67">
        <f ca="1">(C12)+(E12-C12)*IF(RAND()&lt;((D12)-(C12))/((E12)-(C12)),SQRT(RAND()*((D12)-(C12))/((E12)-(C12))),1-SQRT(RAND()*((E12)-(D12))/((E12)-(C12))))</f>
        <v>0.17408928705918375</v>
      </c>
      <c r="H237" s="68">
        <f t="shared" ca="1" si="6"/>
        <v>284582757.3515197</v>
      </c>
      <c r="I237" s="69">
        <f t="shared" ca="1" si="7"/>
        <v>284.84708783561558</v>
      </c>
    </row>
    <row r="238" spans="1:9" ht="16.05" customHeight="1" x14ac:dyDescent="0.3">
      <c r="A238" s="70">
        <v>222</v>
      </c>
      <c r="B238" s="71">
        <f ca="1">(C7)+(E7-C7)*IF(RAND()&lt;((D7)-(C7))/((E7)-(C7)),SQRT(RAND()*((D7)-(C7))/((E7)-(C7))),1-SQRT(RAND()*((E7)-(D7))/((E7)-(C7))))</f>
        <v>0.28030698306696838</v>
      </c>
      <c r="C238" s="71">
        <f ca="1">(C8)+(E8-C8)*IF(RAND()&lt;((D8)-(C8))/((E8)-(C8)),SQRT(RAND()*((D8)-(C8))/((E8)-(C8))),1-SQRT(RAND()*((E8)-(D8))/((E8)-(C8))))</f>
        <v>0.57355287500106922</v>
      </c>
      <c r="D238" s="72">
        <f ca="1">(C9)+(E9-C9)*IF(RAND()&lt;((D9)-(C9))/((E9)-(C9)),SQRT(RAND()*((D9)-(C9))/((E9)-(C9))),1-SQRT(RAND()*((E9)-(D9))/((E9)-(C9))))</f>
        <v>1224265.004077978</v>
      </c>
      <c r="E238" s="72">
        <f ca="1">(C10)+(E10-C10)*IF(RAND()&lt;((D10)-(C10))/((E10)-(C10)),SQRT(RAND()*((D10)-(C10))/((E10)-(C10))),1-SQRT(RAND()*((E10)-(D10))/((E10)-(C10))))</f>
        <v>3906935.078939517</v>
      </c>
      <c r="F238" s="71">
        <f ca="1">(C11)+(E11-C11)*IF(RAND()&lt;((D11)-(C11))/((E11)-(C11)),SQRT(RAND()*((D11)-(C11))/((E11)-(C11))),1-SQRT(RAND()*((E11)-(D11))/((E11)-(C11))))</f>
        <v>1.6998726969813346E-2</v>
      </c>
      <c r="G238" s="71">
        <f ca="1">(C12)+(E12-C12)*IF(RAND()&lt;((D12)-(C12))/((E12)-(C12)),SQRT(RAND()*((D12)-(C12))/((E12)-(C12))),1-SQRT(RAND()*((E12)-(D12))/((E12)-(C12))))</f>
        <v>0.12929958369130762</v>
      </c>
      <c r="H238" s="72">
        <f t="shared" ca="1" si="6"/>
        <v>281567982.53689879</v>
      </c>
      <c r="I238" s="73">
        <f t="shared" ca="1" si="7"/>
        <v>304.67211854093847</v>
      </c>
    </row>
    <row r="239" spans="1:9" ht="16.05" customHeight="1" x14ac:dyDescent="0.3">
      <c r="A239" s="66">
        <v>223</v>
      </c>
      <c r="B239" s="67">
        <f ca="1">(C7)+(E7-C7)*IF(RAND()&lt;((D7)-(C7))/((E7)-(C7)),SQRT(RAND()*((D7)-(C7))/((E7)-(C7))),1-SQRT(RAND()*((E7)-(D7))/((E7)-(C7))))</f>
        <v>0.23171328803689051</v>
      </c>
      <c r="C239" s="67">
        <f ca="1">(C8)+(E8-C8)*IF(RAND()&lt;((D8)-(C8))/((E8)-(C8)),SQRT(RAND()*((D8)-(C8))/((E8)-(C8))),1-SQRT(RAND()*((E8)-(D8))/((E8)-(C8))))</f>
        <v>0.72945656712650353</v>
      </c>
      <c r="D239" s="68">
        <f ca="1">(C9)+(E9-C9)*IF(RAND()&lt;((D9)-(C9))/((E9)-(C9)),SQRT(RAND()*((D9)-(C9))/((E9)-(C9))),1-SQRT(RAND()*((E9)-(D9))/((E9)-(C9))))</f>
        <v>1348947.1402993794</v>
      </c>
      <c r="E239" s="68">
        <f ca="1">(C10)+(E10-C10)*IF(RAND()&lt;((D10)-(C10))/((E10)-(C10)),SQRT(RAND()*((D10)-(C10))/((E10)-(C10))),1-SQRT(RAND()*((E10)-(D10))/((E10)-(C10))))</f>
        <v>2938071.5900791562</v>
      </c>
      <c r="F239" s="67">
        <f ca="1">(C11)+(E11-C11)*IF(RAND()&lt;((D11)-(C11))/((E11)-(C11)),SQRT(RAND()*((D11)-(C11))/((E11)-(C11))),1-SQRT(RAND()*((E11)-(D11))/((E11)-(C11))))</f>
        <v>1.1276739740237832E-2</v>
      </c>
      <c r="G239" s="67">
        <f ca="1">(C12)+(E12-C12)*IF(RAND()&lt;((D12)-(C12))/((E12)-(C12)),SQRT(RAND()*((D12)-(C12))/((E12)-(C12))),1-SQRT(RAND()*((E12)-(D12))/((E12)-(C12))))</f>
        <v>0.19911019560292259</v>
      </c>
      <c r="H239" s="68">
        <f t="shared" ca="1" si="6"/>
        <v>252796590.68899065</v>
      </c>
      <c r="I239" s="69">
        <f t="shared" ca="1" si="7"/>
        <v>248.50103696321673</v>
      </c>
    </row>
    <row r="240" spans="1:9" ht="16.05" customHeight="1" x14ac:dyDescent="0.3">
      <c r="A240" s="70">
        <v>224</v>
      </c>
      <c r="B240" s="71">
        <f ca="1">(C7)+(E7-C7)*IF(RAND()&lt;((D7)-(C7))/((E7)-(C7)),SQRT(RAND()*((D7)-(C7))/((E7)-(C7))),1-SQRT(RAND()*((E7)-(D7))/((E7)-(C7))))</f>
        <v>0.2598478034344408</v>
      </c>
      <c r="C240" s="71">
        <f ca="1">(C8)+(E8-C8)*IF(RAND()&lt;((D8)-(C8))/((E8)-(C8)),SQRT(RAND()*((D8)-(C8))/((E8)-(C8))),1-SQRT(RAND()*((E8)-(D8))/((E8)-(C8))))</f>
        <v>0.75738873182946254</v>
      </c>
      <c r="D240" s="72">
        <f ca="1">(C9)+(E9-C9)*IF(RAND()&lt;((D9)-(C9))/((E9)-(C9)),SQRT(RAND()*((D9)-(C9))/((E9)-(C9))),1-SQRT(RAND()*((E9)-(D9))/((E9)-(C9))))</f>
        <v>1162469.0965735773</v>
      </c>
      <c r="E240" s="72">
        <f ca="1">(C10)+(E10-C10)*IF(RAND()&lt;((D10)-(C10))/((E10)-(C10)),SQRT(RAND()*((D10)-(C10))/((E10)-(C10))),1-SQRT(RAND()*((E10)-(D10))/((E10)-(C10))))</f>
        <v>3050679.9019471058</v>
      </c>
      <c r="F240" s="71">
        <f ca="1">(C11)+(E11-C11)*IF(RAND()&lt;((D11)-(C11))/((E11)-(C11)),SQRT(RAND()*((D11)-(C11))/((E11)-(C11))),1-SQRT(RAND()*((E11)-(D11))/((E11)-(C11))))</f>
        <v>1.1690121613211795E-2</v>
      </c>
      <c r="G240" s="71">
        <f ca="1">(C12)+(E12-C12)*IF(RAND()&lt;((D12)-(C12))/((E12)-(C12)),SQRT(RAND()*((D12)-(C12))/((E12)-(C12))),1-SQRT(RAND()*((E12)-(D12))/((E12)-(C12))))</f>
        <v>0.13734121552650458</v>
      </c>
      <c r="H240" s="72">
        <f t="shared" ca="1" si="6"/>
        <v>285764364.08274531</v>
      </c>
      <c r="I240" s="73">
        <f t="shared" ca="1" si="7"/>
        <v>325.5595180474877</v>
      </c>
    </row>
    <row r="241" spans="1:9" ht="16.05" customHeight="1" x14ac:dyDescent="0.3">
      <c r="A241" s="66">
        <v>225</v>
      </c>
      <c r="B241" s="67">
        <f ca="1">(C7)+(E7-C7)*IF(RAND()&lt;((D7)-(C7))/((E7)-(C7)),SQRT(RAND()*((D7)-(C7))/((E7)-(C7))),1-SQRT(RAND()*((E7)-(D7))/((E7)-(C7))))</f>
        <v>0.26046403662674916</v>
      </c>
      <c r="C241" s="67">
        <f ca="1">(C8)+(E8-C8)*IF(RAND()&lt;((D8)-(C8))/((E8)-(C8)),SQRT(RAND()*((D8)-(C8))/((E8)-(C8))),1-SQRT(RAND()*((E8)-(D8))/((E8)-(C8))))</f>
        <v>0.72064678744043353</v>
      </c>
      <c r="D241" s="68">
        <f ca="1">(C9)+(E9-C9)*IF(RAND()&lt;((D9)-(C9))/((E9)-(C9)),SQRT(RAND()*((D9)-(C9))/((E9)-(C9))),1-SQRT(RAND()*((E9)-(D9))/((E9)-(C9))))</f>
        <v>1194197.925499063</v>
      </c>
      <c r="E241" s="68">
        <f ca="1">(C10)+(E10-C10)*IF(RAND()&lt;((D10)-(C10))/((E10)-(C10)),SQRT(RAND()*((D10)-(C10))/((E10)-(C10))),1-SQRT(RAND()*((E10)-(D10))/((E10)-(C10))))</f>
        <v>3293071.0278399126</v>
      </c>
      <c r="F241" s="67">
        <f ca="1">(C11)+(E11-C11)*IF(RAND()&lt;((D11)-(C11))/((E11)-(C11)),SQRT(RAND()*((D11)-(C11))/((E11)-(C11))),1-SQRT(RAND()*((E11)-(D11))/((E11)-(C11))))</f>
        <v>1.5318368300686256E-2</v>
      </c>
      <c r="G241" s="67">
        <f ca="1">(C12)+(E12-C12)*IF(RAND()&lt;((D12)-(C12))/((E12)-(C12)),SQRT(RAND()*((D12)-(C12))/((E12)-(C12))),1-SQRT(RAND()*((E12)-(D12))/((E12)-(C12))))</f>
        <v>0.14760320601073434</v>
      </c>
      <c r="H241" s="68">
        <f t="shared" ca="1" si="6"/>
        <v>301097317.22455996</v>
      </c>
      <c r="I241" s="69">
        <f t="shared" ca="1" si="7"/>
        <v>333.87991412263887</v>
      </c>
    </row>
    <row r="242" spans="1:9" ht="16.05" customHeight="1" x14ac:dyDescent="0.3">
      <c r="A242" s="70">
        <v>226</v>
      </c>
      <c r="B242" s="71">
        <f ca="1">(C7)+(E7-C7)*IF(RAND()&lt;((D7)-(C7))/((E7)-(C7)),SQRT(RAND()*((D7)-(C7))/((E7)-(C7))),1-SQRT(RAND()*((E7)-(D7))/((E7)-(C7))))</f>
        <v>0.28282496234386278</v>
      </c>
      <c r="C242" s="71">
        <f ca="1">(C8)+(E8-C8)*IF(RAND()&lt;((D8)-(C8))/((E8)-(C8)),SQRT(RAND()*((D8)-(C8))/((E8)-(C8))),1-SQRT(RAND()*((E8)-(D8))/((E8)-(C8))))</f>
        <v>0.76914564286914766</v>
      </c>
      <c r="D242" s="72">
        <f ca="1">(C9)+(E9-C9)*IF(RAND()&lt;((D9)-(C9))/((E9)-(C9)),SQRT(RAND()*((D9)-(C9))/((E9)-(C9))),1-SQRT(RAND()*((E9)-(D9))/((E9)-(C9))))</f>
        <v>1156308.0324616742</v>
      </c>
      <c r="E242" s="72">
        <f ca="1">(C10)+(E10-C10)*IF(RAND()&lt;((D10)-(C10))/((E10)-(C10)),SQRT(RAND()*((D10)-(C10))/((E10)-(C10))),1-SQRT(RAND()*((E10)-(D10))/((E10)-(C10))))</f>
        <v>3839916.2637715153</v>
      </c>
      <c r="F242" s="71">
        <f ca="1">(C11)+(E11-C11)*IF(RAND()&lt;((D11)-(C11))/((E11)-(C11)),SQRT(RAND()*((D11)-(C11))/((E11)-(C11))),1-SQRT(RAND()*((E11)-(D11))/((E11)-(C11))))</f>
        <v>6.8364488255240607E-3</v>
      </c>
      <c r="G242" s="71">
        <f ca="1">(C12)+(E12-C12)*IF(RAND()&lt;((D12)-(C12))/((E12)-(C12)),SQRT(RAND()*((D12)-(C12))/((E12)-(C12))),1-SQRT(RAND()*((E12)-(D12))/((E12)-(C12))))</f>
        <v>0.1566260852838805</v>
      </c>
      <c r="H242" s="72">
        <f t="shared" ca="1" si="6"/>
        <v>270297466.62624687</v>
      </c>
      <c r="I242" s="73">
        <f t="shared" ca="1" si="7"/>
        <v>309.64422929218574</v>
      </c>
    </row>
    <row r="243" spans="1:9" ht="16.05" customHeight="1" x14ac:dyDescent="0.3">
      <c r="A243" s="66">
        <v>227</v>
      </c>
      <c r="B243" s="67">
        <f ca="1">(C7)+(E7-C7)*IF(RAND()&lt;((D7)-(C7))/((E7)-(C7)),SQRT(RAND()*((D7)-(C7))/((E7)-(C7))),1-SQRT(RAND()*((E7)-(D7))/((E7)-(C7))))</f>
        <v>0.29198831263186958</v>
      </c>
      <c r="C243" s="67">
        <f ca="1">(C8)+(E8-C8)*IF(RAND()&lt;((D8)-(C8))/((E8)-(C8)),SQRT(RAND()*((D8)-(C8))/((E8)-(C8))),1-SQRT(RAND()*((E8)-(D8))/((E8)-(C8))))</f>
        <v>0.76107309213065977</v>
      </c>
      <c r="D243" s="68">
        <f ca="1">(C9)+(E9-C9)*IF(RAND()&lt;((D9)-(C9))/((E9)-(C9)),SQRT(RAND()*((D9)-(C9))/((E9)-(C9))),1-SQRT(RAND()*((E9)-(D9))/((E9)-(C9))))</f>
        <v>1154070.038385686</v>
      </c>
      <c r="E243" s="68">
        <f ca="1">(C10)+(E10-C10)*IF(RAND()&lt;((D10)-(C10))/((E10)-(C10)),SQRT(RAND()*((D10)-(C10))/((E10)-(C10))),1-SQRT(RAND()*((E10)-(D10))/((E10)-(C10))))</f>
        <v>3759560.5019138064</v>
      </c>
      <c r="F243" s="67">
        <f ca="1">(C11)+(E11-C11)*IF(RAND()&lt;((D11)-(C11))/((E11)-(C11)),SQRT(RAND()*((D11)-(C11))/((E11)-(C11))),1-SQRT(RAND()*((E11)-(D11))/((E11)-(C11))))</f>
        <v>6.4408727614052187E-3</v>
      </c>
      <c r="G243" s="67">
        <f ca="1">(C12)+(E12-C12)*IF(RAND()&lt;((D12)-(C12))/((E12)-(C12)),SQRT(RAND()*((D12)-(C12))/((E12)-(C12))),1-SQRT(RAND()*((E12)-(D12))/((E12)-(C12))))</f>
        <v>0.16700434637328193</v>
      </c>
      <c r="H243" s="68">
        <f t="shared" ca="1" si="6"/>
        <v>272852632.31059688</v>
      </c>
      <c r="I243" s="69">
        <f t="shared" ca="1" si="7"/>
        <v>313.16243987083186</v>
      </c>
    </row>
    <row r="244" spans="1:9" ht="16.05" customHeight="1" x14ac:dyDescent="0.3">
      <c r="A244" s="70">
        <v>228</v>
      </c>
      <c r="B244" s="71">
        <f ca="1">(C7)+(E7-C7)*IF(RAND()&lt;((D7)-(C7))/((E7)-(C7)),SQRT(RAND()*((D7)-(C7))/((E7)-(C7))),1-SQRT(RAND()*((E7)-(D7))/((E7)-(C7))))</f>
        <v>0.24714521539804396</v>
      </c>
      <c r="C244" s="71">
        <f ca="1">(C8)+(E8-C8)*IF(RAND()&lt;((D8)-(C8))/((E8)-(C8)),SQRT(RAND()*((D8)-(C8))/((E8)-(C8))),1-SQRT(RAND()*((E8)-(D8))/((E8)-(C8))))</f>
        <v>0.52157369960040079</v>
      </c>
      <c r="D244" s="72">
        <f ca="1">(C9)+(E9-C9)*IF(RAND()&lt;((D9)-(C9))/((E9)-(C9)),SQRT(RAND()*((D9)-(C9))/((E9)-(C9))),1-SQRT(RAND()*((E9)-(D9))/((E9)-(C9))))</f>
        <v>1120418.5090441564</v>
      </c>
      <c r="E244" s="72">
        <f ca="1">(C10)+(E10-C10)*IF(RAND()&lt;((D10)-(C10))/((E10)-(C10)),SQRT(RAND()*((D10)-(C10))/((E10)-(C10))),1-SQRT(RAND()*((E10)-(D10))/((E10)-(C10))))</f>
        <v>3394991.8401417774</v>
      </c>
      <c r="F244" s="71">
        <f ca="1">(C11)+(E11-C11)*IF(RAND()&lt;((D11)-(C11))/((E11)-(C11)),SQRT(RAND()*((D11)-(C11))/((E11)-(C11))),1-SQRT(RAND()*((E11)-(D11))/((E11)-(C11))))</f>
        <v>1.0206721243590082E-2</v>
      </c>
      <c r="G244" s="71">
        <f ca="1">(C12)+(E12-C12)*IF(RAND()&lt;((D12)-(C12))/((E12)-(C12)),SQRT(RAND()*((D12)-(C12))/((E12)-(C12))),1-SQRT(RAND()*((E12)-(D12))/((E12)-(C12))))</f>
        <v>0.15423621028113249</v>
      </c>
      <c r="H244" s="72">
        <f t="shared" ca="1" si="6"/>
        <v>199920852.89221343</v>
      </c>
      <c r="I244" s="73">
        <f t="shared" ca="1" si="7"/>
        <v>236.67129962298</v>
      </c>
    </row>
    <row r="245" spans="1:9" ht="16.05" customHeight="1" x14ac:dyDescent="0.3">
      <c r="A245" s="66">
        <v>229</v>
      </c>
      <c r="B245" s="67">
        <f ca="1">(C7)+(E7-C7)*IF(RAND()&lt;((D7)-(C7))/((E7)-(C7)),SQRT(RAND()*((D7)-(C7))/((E7)-(C7))),1-SQRT(RAND()*((E7)-(D7))/((E7)-(C7))))</f>
        <v>0.24091829536757928</v>
      </c>
      <c r="C245" s="67">
        <f ca="1">(C8)+(E8-C8)*IF(RAND()&lt;((D8)-(C8))/((E8)-(C8)),SQRT(RAND()*((D8)-(C8))/((E8)-(C8))),1-SQRT(RAND()*((E8)-(D8))/((E8)-(C8))))</f>
        <v>0.74601881575394313</v>
      </c>
      <c r="D245" s="68">
        <f ca="1">(C9)+(E9-C9)*IF(RAND()&lt;((D9)-(C9))/((E9)-(C9)),SQRT(RAND()*((D9)-(C9))/((E9)-(C9))),1-SQRT(RAND()*((E9)-(D9))/((E9)-(C9))))</f>
        <v>1460790.7263158695</v>
      </c>
      <c r="E245" s="68">
        <f ca="1">(C10)+(E10-C10)*IF(RAND()&lt;((D10)-(C10))/((E10)-(C10)),SQRT(RAND()*((D10)-(C10))/((E10)-(C10))),1-SQRT(RAND()*((E10)-(D10))/((E10)-(C10))))</f>
        <v>2965041.4990300406</v>
      </c>
      <c r="F245" s="67">
        <f ca="1">(C11)+(E11-C11)*IF(RAND()&lt;((D11)-(C11))/((E11)-(C11)),SQRT(RAND()*((D11)-(C11))/((E11)-(C11))),1-SQRT(RAND()*((E11)-(D11))/((E11)-(C11))))</f>
        <v>9.4741853154788405E-3</v>
      </c>
      <c r="G245" s="67">
        <f ca="1">(C12)+(E12-C12)*IF(RAND()&lt;((D12)-(C12))/((E12)-(C12)),SQRT(RAND()*((D12)-(C12))/((E12)-(C12))),1-SQRT(RAND()*((E12)-(D12))/((E12)-(C12))))</f>
        <v>0.19988732716317842</v>
      </c>
      <c r="H245" s="68">
        <f t="shared" ca="1" si="6"/>
        <v>251218639.73546651</v>
      </c>
      <c r="I245" s="69">
        <f t="shared" ca="1" si="7"/>
        <v>228.15108284735919</v>
      </c>
    </row>
    <row r="246" spans="1:9" ht="16.05" customHeight="1" x14ac:dyDescent="0.3">
      <c r="A246" s="70">
        <v>230</v>
      </c>
      <c r="B246" s="71">
        <f ca="1">(C7)+(E7-C7)*IF(RAND()&lt;((D7)-(C7))/((E7)-(C7)),SQRT(RAND()*((D7)-(C7))/((E7)-(C7))),1-SQRT(RAND()*((E7)-(D7))/((E7)-(C7))))</f>
        <v>0.28272397544502875</v>
      </c>
      <c r="C246" s="71">
        <f ca="1">(C8)+(E8-C8)*IF(RAND()&lt;((D8)-(C8))/((E8)-(C8)),SQRT(RAND()*((D8)-(C8))/((E8)-(C8))),1-SQRT(RAND()*((E8)-(D8))/((E8)-(C8))))</f>
        <v>0.7217353653206976</v>
      </c>
      <c r="D246" s="72">
        <f ca="1">(C9)+(E9-C9)*IF(RAND()&lt;((D9)-(C9))/((E9)-(C9)),SQRT(RAND()*((D9)-(C9))/((E9)-(C9))),1-SQRT(RAND()*((E9)-(D9))/((E9)-(C9))))</f>
        <v>1238966.1180495885</v>
      </c>
      <c r="E246" s="72">
        <f ca="1">(C10)+(E10-C10)*IF(RAND()&lt;((D10)-(C10))/((E10)-(C10)),SQRT(RAND()*((D10)-(C10))/((E10)-(C10))),1-SQRT(RAND()*((E10)-(D10))/((E10)-(C10))))</f>
        <v>2116289.8788247565</v>
      </c>
      <c r="F246" s="71">
        <f ca="1">(C11)+(E11-C11)*IF(RAND()&lt;((D11)-(C11))/((E11)-(C11)),SQRT(RAND()*((D11)-(C11))/((E11)-(C11))),1-SQRT(RAND()*((E11)-(D11))/((E11)-(C11))))</f>
        <v>2.5599582724662867E-2</v>
      </c>
      <c r="G246" s="71">
        <f ca="1">(C12)+(E12-C12)*IF(RAND()&lt;((D12)-(C12))/((E12)-(C12)),SQRT(RAND()*((D12)-(C12))/((E12)-(C12))),1-SQRT(RAND()*((E12)-(D12))/((E12)-(C12))))</f>
        <v>0.14742980548667378</v>
      </c>
      <c r="H246" s="72">
        <f t="shared" ca="1" si="6"/>
        <v>397507103.14204168</v>
      </c>
      <c r="I246" s="73">
        <f t="shared" ca="1" si="7"/>
        <v>424.49993997095333</v>
      </c>
    </row>
    <row r="247" spans="1:9" ht="16.05" customHeight="1" x14ac:dyDescent="0.3">
      <c r="A247" s="66">
        <v>231</v>
      </c>
      <c r="B247" s="67">
        <f ca="1">(C7)+(E7-C7)*IF(RAND()&lt;((D7)-(C7))/((E7)-(C7)),SQRT(RAND()*((D7)-(C7))/((E7)-(C7))),1-SQRT(RAND()*((E7)-(D7))/((E7)-(C7))))</f>
        <v>0.31913405745082835</v>
      </c>
      <c r="C247" s="67">
        <f ca="1">(C8)+(E8-C8)*IF(RAND()&lt;((D8)-(C8))/((E8)-(C8)),SQRT(RAND()*((D8)-(C8))/((E8)-(C8))),1-SQRT(RAND()*((E8)-(D8))/((E8)-(C8))))</f>
        <v>0.62639017406802522</v>
      </c>
      <c r="D247" s="68">
        <f ca="1">(C9)+(E9-C9)*IF(RAND()&lt;((D9)-(C9))/((E9)-(C9)),SQRT(RAND()*((D9)-(C9))/((E9)-(C9))),1-SQRT(RAND()*((E9)-(D9))/((E9)-(C9))))</f>
        <v>1345305.9005147442</v>
      </c>
      <c r="E247" s="68">
        <f ca="1">(C10)+(E10-C10)*IF(RAND()&lt;((D10)-(C10))/((E10)-(C10)),SQRT(RAND()*((D10)-(C10))/((E10)-(C10))),1-SQRT(RAND()*((E10)-(D10))/((E10)-(C10))))</f>
        <v>4038712.9106141832</v>
      </c>
      <c r="F247" s="67">
        <f ca="1">(C11)+(E11-C11)*IF(RAND()&lt;((D11)-(C11))/((E11)-(C11)),SQRT(RAND()*((D11)-(C11))/((E11)-(C11))),1-SQRT(RAND()*((E11)-(D11))/((E11)-(C11))))</f>
        <v>2.3040731146822944E-2</v>
      </c>
      <c r="G247" s="67">
        <f ca="1">(C12)+(E12-C12)*IF(RAND()&lt;((D12)-(C12))/((E12)-(C12)),SQRT(RAND()*((D12)-(C12))/((E12)-(C12))),1-SQRT(RAND()*((E12)-(D12))/((E12)-(C12))))</f>
        <v>0.14862828329601907</v>
      </c>
      <c r="H247" s="68">
        <f t="shared" ca="1" si="6"/>
        <v>367129929.52637821</v>
      </c>
      <c r="I247" s="69">
        <f t="shared" ca="1" si="7"/>
        <v>361.26667846945821</v>
      </c>
    </row>
    <row r="248" spans="1:9" ht="16.05" customHeight="1" x14ac:dyDescent="0.3">
      <c r="A248" s="70">
        <v>232</v>
      </c>
      <c r="B248" s="71">
        <f ca="1">(C7)+(E7-C7)*IF(RAND()&lt;((D7)-(C7))/((E7)-(C7)),SQRT(RAND()*((D7)-(C7))/((E7)-(C7))),1-SQRT(RAND()*((E7)-(D7))/((E7)-(C7))))</f>
        <v>0.28345557931309684</v>
      </c>
      <c r="C248" s="71">
        <f ca="1">(C8)+(E8-C8)*IF(RAND()&lt;((D8)-(C8))/((E8)-(C8)),SQRT(RAND()*((D8)-(C8))/((E8)-(C8))),1-SQRT(RAND()*((E8)-(D8))/((E8)-(C8))))</f>
        <v>0.54885858638453311</v>
      </c>
      <c r="D248" s="72">
        <f ca="1">(C9)+(E9-C9)*IF(RAND()&lt;((D9)-(C9))/((E9)-(C9)),SQRT(RAND()*((D9)-(C9))/((E9)-(C9))),1-SQRT(RAND()*((E9)-(D9))/((E9)-(C9))))</f>
        <v>1161464.1775273466</v>
      </c>
      <c r="E248" s="72">
        <f ca="1">(C10)+(E10-C10)*IF(RAND()&lt;((D10)-(C10))/((E10)-(C10)),SQRT(RAND()*((D10)-(C10))/((E10)-(C10))),1-SQRT(RAND()*((E10)-(D10))/((E10)-(C10))))</f>
        <v>2882192.4271111833</v>
      </c>
      <c r="F248" s="71">
        <f ca="1">(C11)+(E11-C11)*IF(RAND()&lt;((D11)-(C11))/((E11)-(C11)),SQRT(RAND()*((D11)-(C11))/((E11)-(C11))),1-SQRT(RAND()*((E11)-(D11))/((E11)-(C11))))</f>
        <v>1.664326742241367E-2</v>
      </c>
      <c r="G248" s="71">
        <f ca="1">(C12)+(E12-C12)*IF(RAND()&lt;((D12)-(C12))/((E12)-(C12)),SQRT(RAND()*((D12)-(C12))/((E12)-(C12))),1-SQRT(RAND()*((E12)-(D12))/((E12)-(C12))))</f>
        <v>0.17615026533179873</v>
      </c>
      <c r="H248" s="72">
        <f t="shared" ca="1" si="6"/>
        <v>277299102.32181174</v>
      </c>
      <c r="I248" s="73">
        <f t="shared" ca="1" si="7"/>
        <v>316.22669628772832</v>
      </c>
    </row>
    <row r="249" spans="1:9" ht="16.05" customHeight="1" x14ac:dyDescent="0.3">
      <c r="A249" s="66">
        <v>233</v>
      </c>
      <c r="B249" s="67">
        <f ca="1">(C7)+(E7-C7)*IF(RAND()&lt;((D7)-(C7))/((E7)-(C7)),SQRT(RAND()*((D7)-(C7))/((E7)-(C7))),1-SQRT(RAND()*((E7)-(D7))/((E7)-(C7))))</f>
        <v>0.28035937000284916</v>
      </c>
      <c r="C249" s="67">
        <f ca="1">(C8)+(E8-C8)*IF(RAND()&lt;((D8)-(C8))/((E8)-(C8)),SQRT(RAND()*((D8)-(C8))/((E8)-(C8))),1-SQRT(RAND()*((E8)-(D8))/((E8)-(C8))))</f>
        <v>0.74066881446186539</v>
      </c>
      <c r="D249" s="68">
        <f ca="1">(C9)+(E9-C9)*IF(RAND()&lt;((D9)-(C9))/((E9)-(C9)),SQRT(RAND()*((D9)-(C9))/((E9)-(C9))),1-SQRT(RAND()*((E9)-(D9))/((E9)-(C9))))</f>
        <v>1149560.5494085585</v>
      </c>
      <c r="E249" s="68">
        <f ca="1">(C10)+(E10-C10)*IF(RAND()&lt;((D10)-(C10))/((E10)-(C10)),SQRT(RAND()*((D10)-(C10))/((E10)-(C10))),1-SQRT(RAND()*((E10)-(D10))/((E10)-(C10))))</f>
        <v>3578563.4344888143</v>
      </c>
      <c r="F249" s="67">
        <f ca="1">(C11)+(E11-C11)*IF(RAND()&lt;((D11)-(C11))/((E11)-(C11)),SQRT(RAND()*((D11)-(C11))/((E11)-(C11))),1-SQRT(RAND()*((E11)-(D11))/((E11)-(C11))))</f>
        <v>1.6093180158923564E-2</v>
      </c>
      <c r="G249" s="67">
        <f ca="1">(C12)+(E12-C12)*IF(RAND()&lt;((D12)-(C12))/((E12)-(C12)),SQRT(RAND()*((D12)-(C12))/((E12)-(C12))),1-SQRT(RAND()*((E12)-(D12))/((E12)-(C12))))</f>
        <v>0.1557044622468885</v>
      </c>
      <c r="H249" s="68">
        <f t="shared" ca="1" si="6"/>
        <v>327357706.61389065</v>
      </c>
      <c r="I249" s="69">
        <f t="shared" ca="1" si="7"/>
        <v>376.92398867128122</v>
      </c>
    </row>
    <row r="250" spans="1:9" ht="16.05" customHeight="1" x14ac:dyDescent="0.3">
      <c r="A250" s="70">
        <v>234</v>
      </c>
      <c r="B250" s="71">
        <f ca="1">(C7)+(E7-C7)*IF(RAND()&lt;((D7)-(C7))/((E7)-(C7)),SQRT(RAND()*((D7)-(C7))/((E7)-(C7))),1-SQRT(RAND()*((E7)-(D7))/((E7)-(C7))))</f>
        <v>0.21172947729916353</v>
      </c>
      <c r="C250" s="71">
        <f ca="1">(C8)+(E8-C8)*IF(RAND()&lt;((D8)-(C8))/((E8)-(C8)),SQRT(RAND()*((D8)-(C8))/((E8)-(C8))),1-SQRT(RAND()*((E8)-(D8))/((E8)-(C8))))</f>
        <v>0.75801786333013887</v>
      </c>
      <c r="D250" s="72">
        <f ca="1">(C9)+(E9-C9)*IF(RAND()&lt;((D9)-(C9))/((E9)-(C9)),SQRT(RAND()*((D9)-(C9))/((E9)-(C9))),1-SQRT(RAND()*((E9)-(D9))/((E9)-(C9))))</f>
        <v>1204937.2480689234</v>
      </c>
      <c r="E250" s="72">
        <f ca="1">(C10)+(E10-C10)*IF(RAND()&lt;((D10)-(C10))/((E10)-(C10)),SQRT(RAND()*((D10)-(C10))/((E10)-(C10))),1-SQRT(RAND()*((E10)-(D10))/((E10)-(C10))))</f>
        <v>3043875.8650501547</v>
      </c>
      <c r="F250" s="71">
        <f ca="1">(C11)+(E11-C11)*IF(RAND()&lt;((D11)-(C11))/((E11)-(C11)),SQRT(RAND()*((D11)-(C11))/((E11)-(C11))),1-SQRT(RAND()*((E11)-(D11))/((E11)-(C11))))</f>
        <v>1.5019119355043836E-2</v>
      </c>
      <c r="G250" s="71">
        <f ca="1">(C12)+(E12-C12)*IF(RAND()&lt;((D12)-(C12))/((E12)-(C12)),SQRT(RAND()*((D12)-(C12))/((E12)-(C12))),1-SQRT(RAND()*((E12)-(D12))/((E12)-(C12))))</f>
        <v>0.15017057640277731</v>
      </c>
      <c r="H250" s="72">
        <f t="shared" ca="1" si="6"/>
        <v>270270413.9541986</v>
      </c>
      <c r="I250" s="73">
        <f t="shared" ca="1" si="7"/>
        <v>297.17113426362624</v>
      </c>
    </row>
    <row r="251" spans="1:9" ht="16.05" customHeight="1" x14ac:dyDescent="0.3">
      <c r="A251" s="66">
        <v>235</v>
      </c>
      <c r="B251" s="67">
        <f ca="1">(C7)+(E7-C7)*IF(RAND()&lt;((D7)-(C7))/((E7)-(C7)),SQRT(RAND()*((D7)-(C7))/((E7)-(C7))),1-SQRT(RAND()*((E7)-(D7))/((E7)-(C7))))</f>
        <v>0.26795843793518259</v>
      </c>
      <c r="C251" s="67">
        <f ca="1">(C8)+(E8-C8)*IF(RAND()&lt;((D8)-(C8))/((E8)-(C8)),SQRT(RAND()*((D8)-(C8))/((E8)-(C8))),1-SQRT(RAND()*((E8)-(D8))/((E8)-(C8))))</f>
        <v>0.7036128511147568</v>
      </c>
      <c r="D251" s="68">
        <f ca="1">(C9)+(E9-C9)*IF(RAND()&lt;((D9)-(C9))/((E9)-(C9)),SQRT(RAND()*((D9)-(C9))/((E9)-(C9))),1-SQRT(RAND()*((E9)-(D9))/((E9)-(C9))))</f>
        <v>1327549.5110485014</v>
      </c>
      <c r="E251" s="68">
        <f ca="1">(C10)+(E10-C10)*IF(RAND()&lt;((D10)-(C10))/((E10)-(C10)),SQRT(RAND()*((D10)-(C10))/((E10)-(C10))),1-SQRT(RAND()*((E10)-(D10))/((E10)-(C10))))</f>
        <v>3916741.3281786647</v>
      </c>
      <c r="F251" s="67">
        <f ca="1">(C11)+(E11-C11)*IF(RAND()&lt;((D11)-(C11))/((E11)-(C11)),SQRT(RAND()*((D11)-(C11))/((E11)-(C11))),1-SQRT(RAND()*((E11)-(D11))/((E11)-(C11))))</f>
        <v>2.1693376067251455E-2</v>
      </c>
      <c r="G251" s="67">
        <f ca="1">(C12)+(E12-C12)*IF(RAND()&lt;((D12)-(C12))/((E12)-(C12)),SQRT(RAND()*((D12)-(C12))/((E12)-(C12))),1-SQRT(RAND()*((E12)-(D12))/((E12)-(C12))))</f>
        <v>0.15649331894708848</v>
      </c>
      <c r="H251" s="68">
        <f t="shared" ca="1" si="6"/>
        <v>345522388.44330239</v>
      </c>
      <c r="I251" s="69">
        <f t="shared" ca="1" si="7"/>
        <v>344.61290929144343</v>
      </c>
    </row>
    <row r="252" spans="1:9" ht="16.05" customHeight="1" x14ac:dyDescent="0.3">
      <c r="A252" s="70">
        <v>236</v>
      </c>
      <c r="B252" s="71">
        <f ca="1">(C7)+(E7-C7)*IF(RAND()&lt;((D7)-(C7))/((E7)-(C7)),SQRT(RAND()*((D7)-(C7))/((E7)-(C7))),1-SQRT(RAND()*((E7)-(D7))/((E7)-(C7))))</f>
        <v>0.26871340264962496</v>
      </c>
      <c r="C252" s="71">
        <f ca="1">(C8)+(E8-C8)*IF(RAND()&lt;((D8)-(C8))/((E8)-(C8)),SQRT(RAND()*((D8)-(C8))/((E8)-(C8))),1-SQRT(RAND()*((E8)-(D8))/((E8)-(C8))))</f>
        <v>0.63722174995349912</v>
      </c>
      <c r="D252" s="72">
        <f ca="1">(C9)+(E9-C9)*IF(RAND()&lt;((D9)-(C9))/((E9)-(C9)),SQRT(RAND()*((D9)-(C9))/((E9)-(C9))),1-SQRT(RAND()*((E9)-(D9))/((E9)-(C9))))</f>
        <v>1201704.3905222935</v>
      </c>
      <c r="E252" s="72">
        <f ca="1">(C10)+(E10-C10)*IF(RAND()&lt;((D10)-(C10))/((E10)-(C10)),SQRT(RAND()*((D10)-(C10))/((E10)-(C10))),1-SQRT(RAND()*((E10)-(D10))/((E10)-(C10))))</f>
        <v>4287302.3290782953</v>
      </c>
      <c r="F252" s="71">
        <f ca="1">(C11)+(E11-C11)*IF(RAND()&lt;((D11)-(C11))/((E11)-(C11)),SQRT(RAND()*((D11)-(C11))/((E11)-(C11))),1-SQRT(RAND()*((E11)-(D11))/((E11)-(C11))))</f>
        <v>8.5160586190982605E-3</v>
      </c>
      <c r="G252" s="71">
        <f ca="1">(C12)+(E12-C12)*IF(RAND()&lt;((D12)-(C12))/((E12)-(C12)),SQRT(RAND()*((D12)-(C12))/((E12)-(C12))),1-SQRT(RAND()*((E12)-(D12))/((E12)-(C12))))</f>
        <v>0.17273870540953851</v>
      </c>
      <c r="H252" s="72">
        <f t="shared" ca="1" si="6"/>
        <v>230302744.32014436</v>
      </c>
      <c r="I252" s="73">
        <f t="shared" ca="1" si="7"/>
        <v>254.09864041566559</v>
      </c>
    </row>
    <row r="253" spans="1:9" ht="16.05" customHeight="1" x14ac:dyDescent="0.3">
      <c r="A253" s="66">
        <v>237</v>
      </c>
      <c r="B253" s="67">
        <f ca="1">(C7)+(E7-C7)*IF(RAND()&lt;((D7)-(C7))/((E7)-(C7)),SQRT(RAND()*((D7)-(C7))/((E7)-(C7))),1-SQRT(RAND()*((E7)-(D7))/((E7)-(C7))))</f>
        <v>0.24890254322532476</v>
      </c>
      <c r="C253" s="67">
        <f ca="1">(C8)+(E8-C8)*IF(RAND()&lt;((D8)-(C8))/((E8)-(C8)),SQRT(RAND()*((D8)-(C8))/((E8)-(C8))),1-SQRT(RAND()*((E8)-(D8))/((E8)-(C8))))</f>
        <v>0.61120688173809667</v>
      </c>
      <c r="D253" s="68">
        <f ca="1">(C9)+(E9-C9)*IF(RAND()&lt;((D9)-(C9))/((E9)-(C9)),SQRT(RAND()*((D9)-(C9))/((E9)-(C9))),1-SQRT(RAND()*((E9)-(D9))/((E9)-(C9))))</f>
        <v>1240824.7812111191</v>
      </c>
      <c r="E253" s="68">
        <f ca="1">(C10)+(E10-C10)*IF(RAND()&lt;((D10)-(C10))/((E10)-(C10)),SQRT(RAND()*((D10)-(C10))/((E10)-(C10))),1-SQRT(RAND()*((E10)-(D10))/((E10)-(C10))))</f>
        <v>4079374.153905483</v>
      </c>
      <c r="F253" s="67">
        <f ca="1">(C11)+(E11-C11)*IF(RAND()&lt;((D11)-(C11))/((E11)-(C11)),SQRT(RAND()*((D11)-(C11))/((E11)-(C11))),1-SQRT(RAND()*((E11)-(D11))/((E11)-(C11))))</f>
        <v>1.3657593393338241E-2</v>
      </c>
      <c r="G253" s="67">
        <f ca="1">(C12)+(E12-C12)*IF(RAND()&lt;((D12)-(C12))/((E12)-(C12)),SQRT(RAND()*((D12)-(C12))/((E12)-(C12))),1-SQRT(RAND()*((E12)-(D12))/((E12)-(C12))))</f>
        <v>0.11193609077484483</v>
      </c>
      <c r="H253" s="68">
        <f t="shared" ca="1" si="6"/>
        <v>247382722.89228943</v>
      </c>
      <c r="I253" s="69">
        <f t="shared" ca="1" si="7"/>
        <v>264.28496003483093</v>
      </c>
    </row>
    <row r="254" spans="1:9" ht="16.05" customHeight="1" x14ac:dyDescent="0.3">
      <c r="A254" s="70">
        <v>238</v>
      </c>
      <c r="B254" s="71">
        <f ca="1">(C7)+(E7-C7)*IF(RAND()&lt;((D7)-(C7))/((E7)-(C7)),SQRT(RAND()*((D7)-(C7))/((E7)-(C7))),1-SQRT(RAND()*((E7)-(D7))/((E7)-(C7))))</f>
        <v>0.30431066253648076</v>
      </c>
      <c r="C254" s="71">
        <f ca="1">(C8)+(E8-C8)*IF(RAND()&lt;((D8)-(C8))/((E8)-(C8)),SQRT(RAND()*((D8)-(C8))/((E8)-(C8))),1-SQRT(RAND()*((E8)-(D8))/((E8)-(C8))))</f>
        <v>0.782783437277212</v>
      </c>
      <c r="D254" s="72">
        <f ca="1">(C9)+(E9-C9)*IF(RAND()&lt;((D9)-(C9))/((E9)-(C9)),SQRT(RAND()*((D9)-(C9))/((E9)-(C9))),1-SQRT(RAND()*((E9)-(D9))/((E9)-(C9))))</f>
        <v>1279155.3397151134</v>
      </c>
      <c r="E254" s="72">
        <f ca="1">(C10)+(E10-C10)*IF(RAND()&lt;((D10)-(C10))/((E10)-(C10)),SQRT(RAND()*((D10)-(C10))/((E10)-(C10))),1-SQRT(RAND()*((E10)-(D10))/((E10)-(C10))))</f>
        <v>3033849.5550332568</v>
      </c>
      <c r="F254" s="71">
        <f ca="1">(C11)+(E11-C11)*IF(RAND()&lt;((D11)-(C11))/((E11)-(C11)),SQRT(RAND()*((D11)-(C11))/((E11)-(C11))),1-SQRT(RAND()*((E11)-(D11))/((E11)-(C11))))</f>
        <v>1.0538123715517461E-2</v>
      </c>
      <c r="G254" s="71">
        <f ca="1">(C12)+(E12-C12)*IF(RAND()&lt;((D12)-(C12))/((E12)-(C12)),SQRT(RAND()*((D12)-(C12))/((E12)-(C12))),1-SQRT(RAND()*((E12)-(D12))/((E12)-(C12))))</f>
        <v>0.16097798308734904</v>
      </c>
      <c r="H254" s="72">
        <f t="shared" ca="1" si="6"/>
        <v>322441981.66543919</v>
      </c>
      <c r="I254" s="73">
        <f t="shared" ca="1" si="7"/>
        <v>333.80160239564566</v>
      </c>
    </row>
    <row r="255" spans="1:9" ht="16.05" customHeight="1" x14ac:dyDescent="0.3">
      <c r="A255" s="66">
        <v>239</v>
      </c>
      <c r="B255" s="67">
        <f ca="1">(C7)+(E7-C7)*IF(RAND()&lt;((D7)-(C7))/((E7)-(C7)),SQRT(RAND()*((D7)-(C7))/((E7)-(C7))),1-SQRT(RAND()*((E7)-(D7))/((E7)-(C7))))</f>
        <v>0.1841844829665012</v>
      </c>
      <c r="C255" s="67">
        <f ca="1">(C8)+(E8-C8)*IF(RAND()&lt;((D8)-(C8))/((E8)-(C8)),SQRT(RAND()*((D8)-(C8))/((E8)-(C8))),1-SQRT(RAND()*((E8)-(D8))/((E8)-(C8))))</f>
        <v>0.56984776251062375</v>
      </c>
      <c r="D255" s="68">
        <f ca="1">(C9)+(E9-C9)*IF(RAND()&lt;((D9)-(C9))/((E9)-(C9)),SQRT(RAND()*((D9)-(C9))/((E9)-(C9))),1-SQRT(RAND()*((E9)-(D9))/((E9)-(C9))))</f>
        <v>1256012.5008125289</v>
      </c>
      <c r="E255" s="68">
        <f ca="1">(C10)+(E10-C10)*IF(RAND()&lt;((D10)-(C10))/((E10)-(C10)),SQRT(RAND()*((D10)-(C10))/((E10)-(C10))),1-SQRT(RAND()*((E10)-(D10))/((E10)-(C10))))</f>
        <v>3229761.4341021315</v>
      </c>
      <c r="F255" s="67">
        <f ca="1">(C11)+(E11-C11)*IF(RAND()&lt;((D11)-(C11))/((E11)-(C11)),SQRT(RAND()*((D11)-(C11))/((E11)-(C11))),1-SQRT(RAND()*((E11)-(D11))/((E11)-(C11))))</f>
        <v>1.9788530856073957E-2</v>
      </c>
      <c r="G255" s="67">
        <f ca="1">(C12)+(E12-C12)*IF(RAND()&lt;((D12)-(C12))/((E12)-(C12)),SQRT(RAND()*((D12)-(C12))/((E12)-(C12))),1-SQRT(RAND()*((E12)-(D12))/((E12)-(C12))))</f>
        <v>0.14202646850957057</v>
      </c>
      <c r="H255" s="68">
        <f t="shared" ca="1" si="6"/>
        <v>243516201.66902298</v>
      </c>
      <c r="I255" s="69">
        <f t="shared" ca="1" si="7"/>
        <v>257.04478826756576</v>
      </c>
    </row>
    <row r="256" spans="1:9" ht="16.05" customHeight="1" x14ac:dyDescent="0.3">
      <c r="A256" s="70">
        <v>240</v>
      </c>
      <c r="B256" s="71">
        <f ca="1">(C7)+(E7-C7)*IF(RAND()&lt;((D7)-(C7))/((E7)-(C7)),SQRT(RAND()*((D7)-(C7))/((E7)-(C7))),1-SQRT(RAND()*((E7)-(D7))/((E7)-(C7))))</f>
        <v>0.28293528039313132</v>
      </c>
      <c r="C256" s="71">
        <f ca="1">(C8)+(E8-C8)*IF(RAND()&lt;((D8)-(C8))/((E8)-(C8)),SQRT(RAND()*((D8)-(C8))/((E8)-(C8))),1-SQRT(RAND()*((E8)-(D8))/((E8)-(C8))))</f>
        <v>0.66825247595725079</v>
      </c>
      <c r="D256" s="72">
        <f ca="1">(C9)+(E9-C9)*IF(RAND()&lt;((D9)-(C9))/((E9)-(C9)),SQRT(RAND()*((D9)-(C9))/((E9)-(C9))),1-SQRT(RAND()*((E9)-(D9))/((E9)-(C9))))</f>
        <v>1348980.2841289977</v>
      </c>
      <c r="E256" s="72">
        <f ca="1">(C10)+(E10-C10)*IF(RAND()&lt;((D10)-(C10))/((E10)-(C10)),SQRT(RAND()*((D10)-(C10))/((E10)-(C10))),1-SQRT(RAND()*((E10)-(D10))/((E10)-(C10))))</f>
        <v>2986478.4845869699</v>
      </c>
      <c r="F256" s="71">
        <f ca="1">(C11)+(E11-C11)*IF(RAND()&lt;((D11)-(C11))/((E11)-(C11)),SQRT(RAND()*((D11)-(C11))/((E11)-(C11))),1-SQRT(RAND()*((E11)-(D11))/((E11)-(C11))))</f>
        <v>6.2514073751773922E-3</v>
      </c>
      <c r="G256" s="71">
        <f ca="1">(C12)+(E12-C12)*IF(RAND()&lt;((D12)-(C12))/((E12)-(C12)),SQRT(RAND()*((D12)-(C12))/((E12)-(C12))),1-SQRT(RAND()*((E12)-(D12))/((E12)-(C12))))</f>
        <v>0.17942784903659192</v>
      </c>
      <c r="H256" s="72">
        <f t="shared" ca="1" si="6"/>
        <v>238152636.04427534</v>
      </c>
      <c r="I256" s="73">
        <f t="shared" ca="1" si="7"/>
        <v>234.17659908386412</v>
      </c>
    </row>
    <row r="257" spans="1:9" ht="16.05" customHeight="1" x14ac:dyDescent="0.3">
      <c r="A257" s="66">
        <v>241</v>
      </c>
      <c r="B257" s="67">
        <f ca="1">(C7)+(E7-C7)*IF(RAND()&lt;((D7)-(C7))/((E7)-(C7)),SQRT(RAND()*((D7)-(C7))/((E7)-(C7))),1-SQRT(RAND()*((E7)-(D7))/((E7)-(C7))))</f>
        <v>0.30447623438916421</v>
      </c>
      <c r="C257" s="67">
        <f ca="1">(C8)+(E8-C8)*IF(RAND()&lt;((D8)-(C8))/((E8)-(C8)),SQRT(RAND()*((D8)-(C8))/((E8)-(C8))),1-SQRT(RAND()*((E8)-(D8))/((E8)-(C8))))</f>
        <v>0.65720461354711768</v>
      </c>
      <c r="D257" s="68">
        <f ca="1">(C9)+(E9-C9)*IF(RAND()&lt;((D9)-(C9))/((E9)-(C9)),SQRT(RAND()*((D9)-(C9))/((E9)-(C9))),1-SQRT(RAND()*((E9)-(D9))/((E9)-(C9))))</f>
        <v>1380629.8965511818</v>
      </c>
      <c r="E257" s="68">
        <f ca="1">(C10)+(E10-C10)*IF(RAND()&lt;((D10)-(C10))/((E10)-(C10)),SQRT(RAND()*((D10)-(C10))/((E10)-(C10))),1-SQRT(RAND()*((E10)-(D10))/((E10)-(C10))))</f>
        <v>3907767.3683165452</v>
      </c>
      <c r="F257" s="67">
        <f ca="1">(C11)+(E11-C11)*IF(RAND()&lt;((D11)-(C11))/((E11)-(C11)),SQRT(RAND()*((D11)-(C11))/((E11)-(C11))),1-SQRT(RAND()*((E11)-(D11))/((E11)-(C11))))</f>
        <v>1.1102961665087528E-2</v>
      </c>
      <c r="G257" s="67">
        <f ca="1">(C12)+(E12-C12)*IF(RAND()&lt;((D12)-(C12))/((E12)-(C12)),SQRT(RAND()*((D12)-(C12))/((E12)-(C12))),1-SQRT(RAND()*((E12)-(D12))/((E12)-(C12))))</f>
        <v>0.1719392524377461</v>
      </c>
      <c r="H257" s="68">
        <f t="shared" ca="1" si="6"/>
        <v>281646659.77449137</v>
      </c>
      <c r="I257" s="69">
        <f t="shared" ca="1" si="7"/>
        <v>270.39066080595268</v>
      </c>
    </row>
    <row r="258" spans="1:9" ht="16.05" customHeight="1" x14ac:dyDescent="0.3">
      <c r="A258" s="70">
        <v>242</v>
      </c>
      <c r="B258" s="71">
        <f ca="1">(C7)+(E7-C7)*IF(RAND()&lt;((D7)-(C7))/((E7)-(C7)),SQRT(RAND()*((D7)-(C7))/((E7)-(C7))),1-SQRT(RAND()*((E7)-(D7))/((E7)-(C7))))</f>
        <v>0.24048207704697228</v>
      </c>
      <c r="C258" s="71">
        <f ca="1">(C8)+(E8-C8)*IF(RAND()&lt;((D8)-(C8))/((E8)-(C8)),SQRT(RAND()*((D8)-(C8))/((E8)-(C8))),1-SQRT(RAND()*((E8)-(D8))/((E8)-(C8))))</f>
        <v>0.64078814946046614</v>
      </c>
      <c r="D258" s="72">
        <f ca="1">(C9)+(E9-C9)*IF(RAND()&lt;((D9)-(C9))/((E9)-(C9)),SQRT(RAND()*((D9)-(C9))/((E9)-(C9))),1-SQRT(RAND()*((E9)-(D9))/((E9)-(C9))))</f>
        <v>1231961.2435735438</v>
      </c>
      <c r="E258" s="72">
        <f ca="1">(C10)+(E10-C10)*IF(RAND()&lt;((D10)-(C10))/((E10)-(C10)),SQRT(RAND()*((D10)-(C10))/((E10)-(C10))),1-SQRT(RAND()*((E10)-(D10))/((E10)-(C10))))</f>
        <v>3124828.306284504</v>
      </c>
      <c r="F258" s="71">
        <f ca="1">(C11)+(E11-C11)*IF(RAND()&lt;((D11)-(C11))/((E11)-(C11)),SQRT(RAND()*((D11)-(C11))/((E11)-(C11))),1-SQRT(RAND()*((E11)-(D11))/((E11)-(C11))))</f>
        <v>2.7627119797124493E-3</v>
      </c>
      <c r="G258" s="71">
        <f ca="1">(C12)+(E12-C12)*IF(RAND()&lt;((D12)-(C12))/((E12)-(C12)),SQRT(RAND()*((D12)-(C12))/((E12)-(C12))),1-SQRT(RAND()*((E12)-(D12))/((E12)-(C12))))</f>
        <v>0.13783078105067409</v>
      </c>
      <c r="H258" s="72">
        <f t="shared" ca="1" si="6"/>
        <v>174514675.36392695</v>
      </c>
      <c r="I258" s="73">
        <f t="shared" ca="1" si="7"/>
        <v>188.16143866964333</v>
      </c>
    </row>
    <row r="259" spans="1:9" ht="16.05" customHeight="1" x14ac:dyDescent="0.3">
      <c r="A259" s="66">
        <v>243</v>
      </c>
      <c r="B259" s="67">
        <f ca="1">(C7)+(E7-C7)*IF(RAND()&lt;((D7)-(C7))/((E7)-(C7)),SQRT(RAND()*((D7)-(C7))/((E7)-(C7))),1-SQRT(RAND()*((E7)-(D7))/((E7)-(C7))))</f>
        <v>0.25569920882191832</v>
      </c>
      <c r="C259" s="67">
        <f ca="1">(C8)+(E8-C8)*IF(RAND()&lt;((D8)-(C8))/((E8)-(C8)),SQRT(RAND()*((D8)-(C8))/((E8)-(C8))),1-SQRT(RAND()*((E8)-(D8))/((E8)-(C8))))</f>
        <v>0.67271791383465962</v>
      </c>
      <c r="D259" s="68">
        <f ca="1">(C9)+(E9-C9)*IF(RAND()&lt;((D9)-(C9))/((E9)-(C9)),SQRT(RAND()*((D9)-(C9))/((E9)-(C9))),1-SQRT(RAND()*((E9)-(D9))/((E9)-(C9))))</f>
        <v>1159539.3144062157</v>
      </c>
      <c r="E259" s="68">
        <f ca="1">(C10)+(E10-C10)*IF(RAND()&lt;((D10)-(C10))/((E10)-(C10)),SQRT(RAND()*((D10)-(C10))/((E10)-(C10))),1-SQRT(RAND()*((E10)-(D10))/((E10)-(C10))))</f>
        <v>3330278.2882118374</v>
      </c>
      <c r="F259" s="67">
        <f ca="1">(C11)+(E11-C11)*IF(RAND()&lt;((D11)-(C11))/((E11)-(C11)),SQRT(RAND()*((D11)-(C11))/((E11)-(C11))),1-SQRT(RAND()*((E11)-(D11))/((E11)-(C11))))</f>
        <v>9.7484684204778779E-3</v>
      </c>
      <c r="G259" s="67">
        <f ca="1">(C12)+(E12-C12)*IF(RAND()&lt;((D12)-(C12))/((E12)-(C12)),SQRT(RAND()*((D12)-(C12))/((E12)-(C12))),1-SQRT(RAND()*((E12)-(D12))/((E12)-(C12))))</f>
        <v>0.17083242897628725</v>
      </c>
      <c r="H259" s="68">
        <f t="shared" ca="1" si="6"/>
        <v>243720215.37413403</v>
      </c>
      <c r="I259" s="69">
        <f t="shared" ca="1" si="7"/>
        <v>278.55313563711383</v>
      </c>
    </row>
    <row r="260" spans="1:9" ht="16.05" customHeight="1" x14ac:dyDescent="0.3">
      <c r="A260" s="70">
        <v>244</v>
      </c>
      <c r="B260" s="71">
        <f ca="1">(C7)+(E7-C7)*IF(RAND()&lt;((D7)-(C7))/((E7)-(C7)),SQRT(RAND()*((D7)-(C7))/((E7)-(C7))),1-SQRT(RAND()*((E7)-(D7))/((E7)-(C7))))</f>
        <v>0.33884747633325812</v>
      </c>
      <c r="C260" s="71">
        <f ca="1">(C8)+(E8-C8)*IF(RAND()&lt;((D8)-(C8))/((E8)-(C8)),SQRT(RAND()*((D8)-(C8))/((E8)-(C8))),1-SQRT(RAND()*((E8)-(D8))/((E8)-(C8))))</f>
        <v>0.73003829575226431</v>
      </c>
      <c r="D260" s="72">
        <f ca="1">(C9)+(E9-C9)*IF(RAND()&lt;((D9)-(C9))/((E9)-(C9)),SQRT(RAND()*((D9)-(C9))/((E9)-(C9))),1-SQRT(RAND()*((E9)-(D9))/((E9)-(C9))))</f>
        <v>1322849.4309502873</v>
      </c>
      <c r="E260" s="72">
        <f ca="1">(C10)+(E10-C10)*IF(RAND()&lt;((D10)-(C10))/((E10)-(C10)),SQRT(RAND()*((D10)-(C10))/((E10)-(C10))),1-SQRT(RAND()*((E10)-(D10))/((E10)-(C10))))</f>
        <v>3877216.0271618338</v>
      </c>
      <c r="F260" s="71">
        <f ca="1">(C11)+(E11-C11)*IF(RAND()&lt;((D11)-(C11))/((E11)-(C11)),SQRT(RAND()*((D11)-(C11))/((E11)-(C11))),1-SQRT(RAND()*((E11)-(D11))/((E11)-(C11))))</f>
        <v>1.2852961137291263E-2</v>
      </c>
      <c r="G260" s="71">
        <f ca="1">(C12)+(E12-C12)*IF(RAND()&lt;((D12)-(C12))/((E12)-(C12)),SQRT(RAND()*((D12)-(C12))/((E12)-(C12))),1-SQRT(RAND()*((E12)-(D12))/((E12)-(C12))))</f>
        <v>0.16036894154843673</v>
      </c>
      <c r="H260" s="72">
        <f t="shared" ca="1" si="6"/>
        <v>345877134.06071049</v>
      </c>
      <c r="I260" s="73">
        <f t="shared" ca="1" si="7"/>
        <v>346.18634152218652</v>
      </c>
    </row>
    <row r="261" spans="1:9" ht="16.05" customHeight="1" x14ac:dyDescent="0.3">
      <c r="A261" s="66">
        <v>245</v>
      </c>
      <c r="B261" s="67">
        <f ca="1">(C7)+(E7-C7)*IF(RAND()&lt;((D7)-(C7))/((E7)-(C7)),SQRT(RAND()*((D7)-(C7))/((E7)-(C7))),1-SQRT(RAND()*((E7)-(D7))/((E7)-(C7))))</f>
        <v>0.25126935905279441</v>
      </c>
      <c r="C261" s="67">
        <f ca="1">(C8)+(E8-C8)*IF(RAND()&lt;((D8)-(C8))/((E8)-(C8)),SQRT(RAND()*((D8)-(C8))/((E8)-(C8))),1-SQRT(RAND()*((E8)-(D8))/((E8)-(C8))))</f>
        <v>0.66756174572072802</v>
      </c>
      <c r="D261" s="68">
        <f ca="1">(C9)+(E9-C9)*IF(RAND()&lt;((D9)-(C9))/((E9)-(C9)),SQRT(RAND()*((D9)-(C9))/((E9)-(C9))),1-SQRT(RAND()*((E9)-(D9))/((E9)-(C9))))</f>
        <v>1199030.0230194973</v>
      </c>
      <c r="E261" s="68">
        <f ca="1">(C10)+(E10-C10)*IF(RAND()&lt;((D10)-(C10))/((E10)-(C10)),SQRT(RAND()*((D10)-(C10))/((E10)-(C10))),1-SQRT(RAND()*((E10)-(D10))/((E10)-(C10))))</f>
        <v>4088337.0992270019</v>
      </c>
      <c r="F261" s="67">
        <f ca="1">(C11)+(E11-C11)*IF(RAND()&lt;((D11)-(C11))/((E11)-(C11)),SQRT(RAND()*((D11)-(C11))/((E11)-(C11))),1-SQRT(RAND()*((E11)-(D11))/((E11)-(C11))))</f>
        <v>1.1388936060406835E-2</v>
      </c>
      <c r="G261" s="67">
        <f ca="1">(C12)+(E12-C12)*IF(RAND()&lt;((D12)-(C12))/((E12)-(C12)),SQRT(RAND()*((D12)-(C12))/((E12)-(C12))),1-SQRT(RAND()*((E12)-(D12))/((E12)-(C12))))</f>
        <v>0.1412223516262032</v>
      </c>
      <c r="H261" s="68">
        <f t="shared" ca="1" si="6"/>
        <v>247995727.25322318</v>
      </c>
      <c r="I261" s="69">
        <f t="shared" ca="1" si="7"/>
        <v>274.12553453493416</v>
      </c>
    </row>
    <row r="262" spans="1:9" ht="16.05" customHeight="1" x14ac:dyDescent="0.3">
      <c r="A262" s="70">
        <v>246</v>
      </c>
      <c r="B262" s="71">
        <f ca="1">(C7)+(E7-C7)*IF(RAND()&lt;((D7)-(C7))/((E7)-(C7)),SQRT(RAND()*((D7)-(C7))/((E7)-(C7))),1-SQRT(RAND()*((E7)-(D7))/((E7)-(C7))))</f>
        <v>0.34117562373587385</v>
      </c>
      <c r="C262" s="71">
        <f ca="1">(C8)+(E8-C8)*IF(RAND()&lt;((D8)-(C8))/((E8)-(C8)),SQRT(RAND()*((D8)-(C8))/((E8)-(C8))),1-SQRT(RAND()*((E8)-(D8))/((E8)-(C8))))</f>
        <v>0.66521318811549224</v>
      </c>
      <c r="D262" s="72">
        <f ca="1">(C9)+(E9-C9)*IF(RAND()&lt;((D9)-(C9))/((E9)-(C9)),SQRT(RAND()*((D9)-(C9))/((E9)-(C9))),1-SQRT(RAND()*((E9)-(D9))/((E9)-(C9))))</f>
        <v>1159963.6170638443</v>
      </c>
      <c r="E262" s="72">
        <f ca="1">(C10)+(E10-C10)*IF(RAND()&lt;((D10)-(C10))/((E10)-(C10)),SQRT(RAND()*((D10)-(C10))/((E10)-(C10))),1-SQRT(RAND()*((E10)-(D10))/((E10)-(C10))))</f>
        <v>3752114.7927903035</v>
      </c>
      <c r="F262" s="71">
        <f ca="1">(C11)+(E11-C11)*IF(RAND()&lt;((D11)-(C11))/((E11)-(C11)),SQRT(RAND()*((D11)-(C11))/((E11)-(C11))),1-SQRT(RAND()*((E11)-(D11))/((E11)-(C11))))</f>
        <v>8.8640736722351357E-3</v>
      </c>
      <c r="G262" s="71">
        <f ca="1">(C12)+(E12-C12)*IF(RAND()&lt;((D12)-(C12))/((E12)-(C12)),SQRT(RAND()*((D12)-(C12))/((E12)-(C12))),1-SQRT(RAND()*((E12)-(D12))/((E12)-(C12))))</f>
        <v>0.16297592436100453</v>
      </c>
      <c r="H262" s="72">
        <f t="shared" ca="1" si="6"/>
        <v>295510913.36899793</v>
      </c>
      <c r="I262" s="73">
        <f t="shared" ca="1" si="7"/>
        <v>337.34260636634843</v>
      </c>
    </row>
    <row r="263" spans="1:9" ht="16.05" customHeight="1" x14ac:dyDescent="0.3">
      <c r="A263" s="66">
        <v>247</v>
      </c>
      <c r="B263" s="67">
        <f ca="1">(C7)+(E7-C7)*IF(RAND()&lt;((D7)-(C7))/((E7)-(C7)),SQRT(RAND()*((D7)-(C7))/((E7)-(C7))),1-SQRT(RAND()*((E7)-(D7))/((E7)-(C7))))</f>
        <v>0.25449515078054369</v>
      </c>
      <c r="C263" s="67">
        <f ca="1">(C8)+(E8-C8)*IF(RAND()&lt;((D8)-(C8))/((E8)-(C8)),SQRT(RAND()*((D8)-(C8))/((E8)-(C8))),1-SQRT(RAND()*((E8)-(D8))/((E8)-(C8))))</f>
        <v>0.60086746187498674</v>
      </c>
      <c r="D263" s="68">
        <f ca="1">(C9)+(E9-C9)*IF(RAND()&lt;((D9)-(C9))/((E9)-(C9)),SQRT(RAND()*((D9)-(C9))/((E9)-(C9))),1-SQRT(RAND()*((E9)-(D9))/((E9)-(C9))))</f>
        <v>1324196.7768168384</v>
      </c>
      <c r="E263" s="68">
        <f ca="1">(C10)+(E10-C10)*IF(RAND()&lt;((D10)-(C10))/((E10)-(C10)),SQRT(RAND()*((D10)-(C10))/((E10)-(C10))),1-SQRT(RAND()*((E10)-(D10))/((E10)-(C10))))</f>
        <v>2965414.0339672198</v>
      </c>
      <c r="F263" s="67">
        <f ca="1">(C11)+(E11-C11)*IF(RAND()&lt;((D11)-(C11))/((E11)-(C11)),SQRT(RAND()*((D11)-(C11))/((E11)-(C11))),1-SQRT(RAND()*((E11)-(D11))/((E11)-(C11))))</f>
        <v>1.5363678898470966E-2</v>
      </c>
      <c r="G263" s="67">
        <f ca="1">(C12)+(E12-C12)*IF(RAND()&lt;((D12)-(C12))/((E12)-(C12)),SQRT(RAND()*((D12)-(C12))/((E12)-(C12))),1-SQRT(RAND()*((E12)-(D12))/((E12)-(C12))))</f>
        <v>0.15208256635603398</v>
      </c>
      <c r="H263" s="68">
        <f t="shared" ca="1" si="6"/>
        <v>264692199.02419105</v>
      </c>
      <c r="I263" s="69">
        <f t="shared" ca="1" si="7"/>
        <v>264.9698907706607</v>
      </c>
    </row>
    <row r="264" spans="1:9" ht="16.05" customHeight="1" x14ac:dyDescent="0.3">
      <c r="A264" s="70">
        <v>248</v>
      </c>
      <c r="B264" s="71">
        <f ca="1">(C7)+(E7-C7)*IF(RAND()&lt;((D7)-(C7))/((E7)-(C7)),SQRT(RAND()*((D7)-(C7))/((E7)-(C7))),1-SQRT(RAND()*((E7)-(D7))/((E7)-(C7))))</f>
        <v>0.25899742609197574</v>
      </c>
      <c r="C264" s="71">
        <f ca="1">(C8)+(E8-C8)*IF(RAND()&lt;((D8)-(C8))/((E8)-(C8)),SQRT(RAND()*((D8)-(C8))/((E8)-(C8))),1-SQRT(RAND()*((E8)-(D8))/((E8)-(C8))))</f>
        <v>0.79571261022854434</v>
      </c>
      <c r="D264" s="72">
        <f ca="1">(C9)+(E9-C9)*IF(RAND()&lt;((D9)-(C9))/((E9)-(C9)),SQRT(RAND()*((D9)-(C9))/((E9)-(C9))),1-SQRT(RAND()*((E9)-(D9))/((E9)-(C9))))</f>
        <v>1253433.5946235631</v>
      </c>
      <c r="E264" s="72">
        <f ca="1">(C10)+(E10-C10)*IF(RAND()&lt;((D10)-(C10))/((E10)-(C10)),SQRT(RAND()*((D10)-(C10))/((E10)-(C10))),1-SQRT(RAND()*((E10)-(D10))/((E10)-(C10))))</f>
        <v>4100201.4690523627</v>
      </c>
      <c r="F264" s="71">
        <f ca="1">(C11)+(E11-C11)*IF(RAND()&lt;((D11)-(C11))/((E11)-(C11)),SQRT(RAND()*((D11)-(C11))/((E11)-(C11))),1-SQRT(RAND()*((E11)-(D11))/((E11)-(C11))))</f>
        <v>1.0581843859605542E-2</v>
      </c>
      <c r="G264" s="71">
        <f ca="1">(C12)+(E12-C12)*IF(RAND()&lt;((D12)-(C12))/((E12)-(C12)),SQRT(RAND()*((D12)-(C12))/((E12)-(C12))),1-SQRT(RAND()*((E12)-(D12))/((E12)-(C12))))</f>
        <v>0.13381106080178748</v>
      </c>
      <c r="H264" s="72">
        <f t="shared" ca="1" si="6"/>
        <v>283793818.05871761</v>
      </c>
      <c r="I264" s="73">
        <f t="shared" ca="1" si="7"/>
        <v>299.95504834143208</v>
      </c>
    </row>
    <row r="265" spans="1:9" ht="16.05" customHeight="1" x14ac:dyDescent="0.3">
      <c r="A265" s="66">
        <v>249</v>
      </c>
      <c r="B265" s="67">
        <f ca="1">(C7)+(E7-C7)*IF(RAND()&lt;((D7)-(C7))/((E7)-(C7)),SQRT(RAND()*((D7)-(C7))/((E7)-(C7))),1-SQRT(RAND()*((E7)-(D7))/((E7)-(C7))))</f>
        <v>0.20832029342810499</v>
      </c>
      <c r="C265" s="67">
        <f ca="1">(C8)+(E8-C8)*IF(RAND()&lt;((D8)-(C8))/((E8)-(C8)),SQRT(RAND()*((D8)-(C8))/((E8)-(C8))),1-SQRT(RAND()*((E8)-(D8))/((E8)-(C8))))</f>
        <v>0.70670068586693646</v>
      </c>
      <c r="D265" s="68">
        <f ca="1">(C9)+(E9-C9)*IF(RAND()&lt;((D9)-(C9))/((E9)-(C9)),SQRT(RAND()*((D9)-(C9))/((E9)-(C9))),1-SQRT(RAND()*((E9)-(D9))/((E9)-(C9))))</f>
        <v>1185274.785153677</v>
      </c>
      <c r="E265" s="68">
        <f ca="1">(C10)+(E10-C10)*IF(RAND()&lt;((D10)-(C10))/((E10)-(C10)),SQRT(RAND()*((D10)-(C10))/((E10)-(C10))),1-SQRT(RAND()*((E10)-(D10))/((E10)-(C10))))</f>
        <v>4152076.6472556684</v>
      </c>
      <c r="F265" s="67">
        <f ca="1">(C11)+(E11-C11)*IF(RAND()&lt;((D11)-(C11))/((E11)-(C11)),SQRT(RAND()*((D11)-(C11))/((E11)-(C11))),1-SQRT(RAND()*((E11)-(D11))/((E11)-(C11))))</f>
        <v>1.9246354041498524E-2</v>
      </c>
      <c r="G265" s="67">
        <f ca="1">(C12)+(E12-C12)*IF(RAND()&lt;((D12)-(C12))/((E12)-(C12)),SQRT(RAND()*((D12)-(C12))/((E12)-(C12))),1-SQRT(RAND()*((E12)-(D12))/((E12)-(C12))))</f>
        <v>0.16806011028356818</v>
      </c>
      <c r="H265" s="68">
        <f t="shared" ca="1" si="6"/>
        <v>282157645.21192777</v>
      </c>
      <c r="I265" s="69">
        <f t="shared" ca="1" si="7"/>
        <v>315.30725799826251</v>
      </c>
    </row>
    <row r="266" spans="1:9" ht="16.05" customHeight="1" x14ac:dyDescent="0.3">
      <c r="A266" s="70">
        <v>250</v>
      </c>
      <c r="B266" s="71">
        <f ca="1">(C7)+(E7-C7)*IF(RAND()&lt;((D7)-(C7))/((E7)-(C7)),SQRT(RAND()*((D7)-(C7))/((E7)-(C7))),1-SQRT(RAND()*((E7)-(D7))/((E7)-(C7))))</f>
        <v>0.2210510874569574</v>
      </c>
      <c r="C266" s="71">
        <f ca="1">(C8)+(E8-C8)*IF(RAND()&lt;((D8)-(C8))/((E8)-(C8)),SQRT(RAND()*((D8)-(C8))/((E8)-(C8))),1-SQRT(RAND()*((E8)-(D8))/((E8)-(C8))))</f>
        <v>0.62929833618436082</v>
      </c>
      <c r="D266" s="72">
        <f ca="1">(C9)+(E9-C9)*IF(RAND()&lt;((D9)-(C9))/((E9)-(C9)),SQRT(RAND()*((D9)-(C9))/((E9)-(C9))),1-SQRT(RAND()*((E9)-(D9))/((E9)-(C9))))</f>
        <v>1327906.6489327478</v>
      </c>
      <c r="E266" s="72">
        <f ca="1">(C10)+(E10-C10)*IF(RAND()&lt;((D10)-(C10))/((E10)-(C10)),SQRT(RAND()*((D10)-(C10))/((E10)-(C10))),1-SQRT(RAND()*((E10)-(D10))/((E10)-(C10))))</f>
        <v>3171967.7834579777</v>
      </c>
      <c r="F266" s="71">
        <f ca="1">(C11)+(E11-C11)*IF(RAND()&lt;((D11)-(C11))/((E11)-(C11)),SQRT(RAND()*((D11)-(C11))/((E11)-(C11))),1-SQRT(RAND()*((E11)-(D11))/((E11)-(C11))))</f>
        <v>1.4635268657162984E-2</v>
      </c>
      <c r="G266" s="71">
        <f ca="1">(C12)+(E12-C12)*IF(RAND()&lt;((D12)-(C12))/((E12)-(C12)),SQRT(RAND()*((D12)-(C12))/((E12)-(C12))),1-SQRT(RAND()*((E12)-(D12))/((E12)-(C12))))</f>
        <v>0.15323624147990039</v>
      </c>
      <c r="H266" s="72">
        <f t="shared" ca="1" si="6"/>
        <v>243622560.46508181</v>
      </c>
      <c r="I266" s="73">
        <f t="shared" ca="1" si="7"/>
        <v>243.30519090369316</v>
      </c>
    </row>
    <row r="267" spans="1:9" ht="16.05" customHeight="1" x14ac:dyDescent="0.3">
      <c r="A267" s="66">
        <v>251</v>
      </c>
      <c r="B267" s="67">
        <f ca="1">(C7)+(E7-C7)*IF(RAND()&lt;((D7)-(C7))/((E7)-(C7)),SQRT(RAND()*((D7)-(C7))/((E7)-(C7))),1-SQRT(RAND()*((E7)-(D7))/((E7)-(C7))))</f>
        <v>0.35028835003401548</v>
      </c>
      <c r="C267" s="67">
        <f ca="1">(C8)+(E8-C8)*IF(RAND()&lt;((D8)-(C8))/((E8)-(C8)),SQRT(RAND()*((D8)-(C8))/((E8)-(C8))),1-SQRT(RAND()*((E8)-(D8))/((E8)-(C8))))</f>
        <v>0.72309954310452951</v>
      </c>
      <c r="D267" s="68">
        <f ca="1">(C9)+(E9-C9)*IF(RAND()&lt;((D9)-(C9))/((E9)-(C9)),SQRT(RAND()*((D9)-(C9))/((E9)-(C9))),1-SQRT(RAND()*((E9)-(D9))/((E9)-(C9))))</f>
        <v>1310060.992883736</v>
      </c>
      <c r="E267" s="68">
        <f ca="1">(C10)+(E10-C10)*IF(RAND()&lt;((D10)-(C10))/((E10)-(C10)),SQRT(RAND()*((D10)-(C10))/((E10)-(C10))),1-SQRT(RAND()*((E10)-(D10))/((E10)-(C10))))</f>
        <v>4692361.1218953077</v>
      </c>
      <c r="F267" s="67">
        <f ca="1">(C11)+(E11-C11)*IF(RAND()&lt;((D11)-(C11))/((E11)-(C11)),SQRT(RAND()*((D11)-(C11))/((E11)-(C11))),1-SQRT(RAND()*((E11)-(D11))/((E11)-(C11))))</f>
        <v>9.2089825875042823E-3</v>
      </c>
      <c r="G267" s="67">
        <f ca="1">(C12)+(E12-C12)*IF(RAND()&lt;((D12)-(C12))/((E12)-(C12)),SQRT(RAND()*((D12)-(C12))/((E12)-(C12))),1-SQRT(RAND()*((E12)-(D12))/((E12)-(C12))))</f>
        <v>0.12271188307717905</v>
      </c>
      <c r="H267" s="68">
        <f t="shared" ca="1" si="6"/>
        <v>322941450.92492777</v>
      </c>
      <c r="I267" s="69">
        <f t="shared" ca="1" si="7"/>
        <v>326.46087644942617</v>
      </c>
    </row>
    <row r="268" spans="1:9" ht="16.05" customHeight="1" x14ac:dyDescent="0.3">
      <c r="A268" s="70">
        <v>252</v>
      </c>
      <c r="B268" s="71">
        <f ca="1">(C7)+(E7-C7)*IF(RAND()&lt;((D7)-(C7))/((E7)-(C7)),SQRT(RAND()*((D7)-(C7))/((E7)-(C7))),1-SQRT(RAND()*((E7)-(D7))/((E7)-(C7))))</f>
        <v>0.21611653290844449</v>
      </c>
      <c r="C268" s="71">
        <f ca="1">(C8)+(E8-C8)*IF(RAND()&lt;((D8)-(C8))/((E8)-(C8)),SQRT(RAND()*((D8)-(C8))/((E8)-(C8))),1-SQRT(RAND()*((E8)-(D8))/((E8)-(C8))))</f>
        <v>0.75601714356850569</v>
      </c>
      <c r="D268" s="72">
        <f ca="1">(C9)+(E9-C9)*IF(RAND()&lt;((D9)-(C9))/((E9)-(C9)),SQRT(RAND()*((D9)-(C9))/((E9)-(C9))),1-SQRT(RAND()*((E9)-(D9))/((E9)-(C9))))</f>
        <v>1349810.242530023</v>
      </c>
      <c r="E268" s="72">
        <f ca="1">(C10)+(E10-C10)*IF(RAND()&lt;((D10)-(C10))/((E10)-(C10)),SQRT(RAND()*((D10)-(C10))/((E10)-(C10))),1-SQRT(RAND()*((E10)-(D10))/((E10)-(C10))))</f>
        <v>3527062.0076049105</v>
      </c>
      <c r="F268" s="71">
        <f ca="1">(C11)+(E11-C11)*IF(RAND()&lt;((D11)-(C11))/((E11)-(C11)),SQRT(RAND()*((D11)-(C11))/((E11)-(C11))),1-SQRT(RAND()*((E11)-(D11))/((E11)-(C11))))</f>
        <v>1.5873471488770215E-2</v>
      </c>
      <c r="G268" s="71">
        <f ca="1">(C12)+(E12-C12)*IF(RAND()&lt;((D12)-(C12))/((E12)-(C12)),SQRT(RAND()*((D12)-(C12))/((E12)-(C12))),1-SQRT(RAND()*((E12)-(D12))/((E12)-(C12))))</f>
        <v>0.13994827147893629</v>
      </c>
      <c r="H268" s="72">
        <f t="shared" ca="1" si="6"/>
        <v>277607847.73429686</v>
      </c>
      <c r="I268" s="73">
        <f t="shared" ca="1" si="7"/>
        <v>272.58767604533239</v>
      </c>
    </row>
    <row r="269" spans="1:9" ht="16.05" customHeight="1" x14ac:dyDescent="0.3">
      <c r="A269" s="66">
        <v>253</v>
      </c>
      <c r="B269" s="67">
        <f ca="1">(C7)+(E7-C7)*IF(RAND()&lt;((D7)-(C7))/((E7)-(C7)),SQRT(RAND()*((D7)-(C7))/((E7)-(C7))),1-SQRT(RAND()*((E7)-(D7))/((E7)-(C7))))</f>
        <v>0.23528647229479233</v>
      </c>
      <c r="C269" s="67">
        <f ca="1">(C8)+(E8-C8)*IF(RAND()&lt;((D8)-(C8))/((E8)-(C8)),SQRT(RAND()*((D8)-(C8))/((E8)-(C8))),1-SQRT(RAND()*((E8)-(D8))/((E8)-(C8))))</f>
        <v>0.69957755727065707</v>
      </c>
      <c r="D269" s="68">
        <f ca="1">(C9)+(E9-C9)*IF(RAND()&lt;((D9)-(C9))/((E9)-(C9)),SQRT(RAND()*((D9)-(C9))/((E9)-(C9))),1-SQRT(RAND()*((E9)-(D9))/((E9)-(C9))))</f>
        <v>1152250.8640643181</v>
      </c>
      <c r="E269" s="68">
        <f ca="1">(C10)+(E10-C10)*IF(RAND()&lt;((D10)-(C10))/((E10)-(C10)),SQRT(RAND()*((D10)-(C10))/((E10)-(C10))),1-SQRT(RAND()*((E10)-(D10))/((E10)-(C10))))</f>
        <v>4258308.5484770872</v>
      </c>
      <c r="F269" s="67">
        <f ca="1">(C11)+(E11-C11)*IF(RAND()&lt;((D11)-(C11))/((E11)-(C11)),SQRT(RAND()*((D11)-(C11))/((E11)-(C11))),1-SQRT(RAND()*((E11)-(D11))/((E11)-(C11))))</f>
        <v>7.586346300272398E-3</v>
      </c>
      <c r="G269" s="67">
        <f ca="1">(C12)+(E12-C12)*IF(RAND()&lt;((D12)-(C12))/((E12)-(C12)),SQRT(RAND()*((D12)-(C12))/((E12)-(C12))),1-SQRT(RAND()*((E12)-(D12))/((E12)-(C12))))</f>
        <v>0.15582164493857864</v>
      </c>
      <c r="H269" s="68">
        <f t="shared" ca="1" si="6"/>
        <v>216539823.13212946</v>
      </c>
      <c r="I269" s="69">
        <f t="shared" ca="1" si="7"/>
        <v>249.19322041824759</v>
      </c>
    </row>
    <row r="270" spans="1:9" ht="16.05" customHeight="1" x14ac:dyDescent="0.3">
      <c r="A270" s="70">
        <v>254</v>
      </c>
      <c r="B270" s="71">
        <f ca="1">(C7)+(E7-C7)*IF(RAND()&lt;((D7)-(C7))/((E7)-(C7)),SQRT(RAND()*((D7)-(C7))/((E7)-(C7))),1-SQRT(RAND()*((E7)-(D7))/((E7)-(C7))))</f>
        <v>0.26067140019521434</v>
      </c>
      <c r="C270" s="71">
        <f ca="1">(C8)+(E8-C8)*IF(RAND()&lt;((D8)-(C8))/((E8)-(C8)),SQRT(RAND()*((D8)-(C8))/((E8)-(C8))),1-SQRT(RAND()*((E8)-(D8))/((E8)-(C8))))</f>
        <v>0.57448941215982174</v>
      </c>
      <c r="D270" s="72">
        <f ca="1">(C9)+(E9-C9)*IF(RAND()&lt;((D9)-(C9))/((E9)-(C9)),SQRT(RAND()*((D9)-(C9))/((E9)-(C9))),1-SQRT(RAND()*((E9)-(D9))/((E9)-(C9))))</f>
        <v>1292943.4770338282</v>
      </c>
      <c r="E270" s="72">
        <f ca="1">(C10)+(E10-C10)*IF(RAND()&lt;((D10)-(C10))/((E10)-(C10)),SQRT(RAND()*((D10)-(C10))/((E10)-(C10))),1-SQRT(RAND()*((E10)-(D10))/((E10)-(C10))))</f>
        <v>3692971.257405458</v>
      </c>
      <c r="F270" s="71">
        <f ca="1">(C11)+(E11-C11)*IF(RAND()&lt;((D11)-(C11))/((E11)-(C11)),SQRT(RAND()*((D11)-(C11))/((E11)-(C11))),1-SQRT(RAND()*((E11)-(D11))/((E11)-(C11))))</f>
        <v>1.4445782694885886E-2</v>
      </c>
      <c r="G270" s="71">
        <f ca="1">(C12)+(E12-C12)*IF(RAND()&lt;((D12)-(C12))/((E12)-(C12)),SQRT(RAND()*((D12)-(C12))/((E12)-(C12))),1-SQRT(RAND()*((E12)-(D12))/((E12)-(C12))))</f>
        <v>0.17674573243152542</v>
      </c>
      <c r="H270" s="72">
        <f t="shared" ca="1" si="6"/>
        <v>251897110.34341297</v>
      </c>
      <c r="I270" s="73">
        <f t="shared" ca="1" si="7"/>
        <v>258.29009367581318</v>
      </c>
    </row>
    <row r="271" spans="1:9" ht="16.05" customHeight="1" x14ac:dyDescent="0.3">
      <c r="A271" s="66">
        <v>255</v>
      </c>
      <c r="B271" s="67">
        <f ca="1">(C7)+(E7-C7)*IF(RAND()&lt;((D7)-(C7))/((E7)-(C7)),SQRT(RAND()*((D7)-(C7))/((E7)-(C7))),1-SQRT(RAND()*((E7)-(D7))/((E7)-(C7))))</f>
        <v>0.20980125742234992</v>
      </c>
      <c r="C271" s="67">
        <f ca="1">(C8)+(E8-C8)*IF(RAND()&lt;((D8)-(C8))/((E8)-(C8)),SQRT(RAND()*((D8)-(C8))/((E8)-(C8))),1-SQRT(RAND()*((E8)-(D8))/((E8)-(C8))))</f>
        <v>0.71991355830640136</v>
      </c>
      <c r="D271" s="68">
        <f ca="1">(C9)+(E9-C9)*IF(RAND()&lt;((D9)-(C9))/((E9)-(C9)),SQRT(RAND()*((D9)-(C9))/((E9)-(C9))),1-SQRT(RAND()*((E9)-(D9))/((E9)-(C9))))</f>
        <v>1173259.9593631013</v>
      </c>
      <c r="E271" s="68">
        <f ca="1">(C10)+(E10-C10)*IF(RAND()&lt;((D10)-(C10))/((E10)-(C10)),SQRT(RAND()*((D10)-(C10))/((E10)-(C10))),1-SQRT(RAND()*((E10)-(D10))/((E10)-(C10))))</f>
        <v>3524227.8533948245</v>
      </c>
      <c r="F271" s="67">
        <f ca="1">(C11)+(E11-C11)*IF(RAND()&lt;((D11)-(C11))/((E11)-(C11)),SQRT(RAND()*((D11)-(C11))/((E11)-(C11))),1-SQRT(RAND()*((E11)-(D11))/((E11)-(C11))))</f>
        <v>7.8225452632438002E-3</v>
      </c>
      <c r="G271" s="67">
        <f ca="1">(C12)+(E12-C12)*IF(RAND()&lt;((D12)-(C12))/((E12)-(C12)),SQRT(RAND()*((D12)-(C12))/((E12)-(C12))),1-SQRT(RAND()*((E12)-(D12))/((E12)-(C12))))</f>
        <v>0.12819876103021499</v>
      </c>
      <c r="H271" s="68">
        <f t="shared" ca="1" si="6"/>
        <v>206251106.2112734</v>
      </c>
      <c r="I271" s="69">
        <f t="shared" ca="1" si="7"/>
        <v>233.18798538460356</v>
      </c>
    </row>
    <row r="272" spans="1:9" ht="16.05" customHeight="1" x14ac:dyDescent="0.3">
      <c r="A272" s="70">
        <v>256</v>
      </c>
      <c r="B272" s="71">
        <f ca="1">(C7)+(E7-C7)*IF(RAND()&lt;((D7)-(C7))/((E7)-(C7)),SQRT(RAND()*((D7)-(C7))/((E7)-(C7))),1-SQRT(RAND()*((E7)-(D7))/((E7)-(C7))))</f>
        <v>0.21383026637803051</v>
      </c>
      <c r="C272" s="71">
        <f ca="1">(C8)+(E8-C8)*IF(RAND()&lt;((D8)-(C8))/((E8)-(C8)),SQRT(RAND()*((D8)-(C8))/((E8)-(C8))),1-SQRT(RAND()*((E8)-(D8))/((E8)-(C8))))</f>
        <v>0.66520583677772227</v>
      </c>
      <c r="D272" s="72">
        <f ca="1">(C9)+(E9-C9)*IF(RAND()&lt;((D9)-(C9))/((E9)-(C9)),SQRT(RAND()*((D9)-(C9))/((E9)-(C9))),1-SQRT(RAND()*((E9)-(D9))/((E9)-(C9))))</f>
        <v>1212577.9484478303</v>
      </c>
      <c r="E272" s="72">
        <f ca="1">(C10)+(E10-C10)*IF(RAND()&lt;((D10)-(C10))/((E10)-(C10)),SQRT(RAND()*((D10)-(C10))/((E10)-(C10))),1-SQRT(RAND()*((E10)-(D10))/((E10)-(C10))))</f>
        <v>3883663.6480823224</v>
      </c>
      <c r="F272" s="71">
        <f ca="1">(C11)+(E11-C11)*IF(RAND()&lt;((D11)-(C11))/((E11)-(C11)),SQRT(RAND()*((D11)-(C11))/((E11)-(C11))),1-SQRT(RAND()*((E11)-(D11))/((E11)-(C11))))</f>
        <v>1.6862916096266969E-2</v>
      </c>
      <c r="G272" s="71">
        <f ca="1">(C12)+(E12-C12)*IF(RAND()&lt;((D12)-(C12))/((E12)-(C12)),SQRT(RAND()*((D12)-(C12))/((E12)-(C12))),1-SQRT(RAND()*((E12)-(D12))/((E12)-(C12))))</f>
        <v>0.16542894006938441</v>
      </c>
      <c r="H272" s="72">
        <f t="shared" ca="1" si="6"/>
        <v>260528117.74336058</v>
      </c>
      <c r="I272" s="73">
        <f t="shared" ca="1" si="7"/>
        <v>284.70968086359574</v>
      </c>
    </row>
    <row r="273" spans="1:9" ht="16.05" customHeight="1" x14ac:dyDescent="0.3">
      <c r="A273" s="66">
        <v>257</v>
      </c>
      <c r="B273" s="67">
        <f ca="1">(C7)+(E7-C7)*IF(RAND()&lt;((D7)-(C7))/((E7)-(C7)),SQRT(RAND()*((D7)-(C7))/((E7)-(C7))),1-SQRT(RAND()*((E7)-(D7))/((E7)-(C7))))</f>
        <v>0.36173753480142501</v>
      </c>
      <c r="C273" s="67">
        <f ca="1">(C8)+(E8-C8)*IF(RAND()&lt;((D8)-(C8))/((E8)-(C8)),SQRT(RAND()*((D8)-(C8))/((E8)-(C8))),1-SQRT(RAND()*((E8)-(D8))/((E8)-(C8))))</f>
        <v>0.59937535704324763</v>
      </c>
      <c r="D273" s="68">
        <f ca="1">(C9)+(E9-C9)*IF(RAND()&lt;((D9)-(C9))/((E9)-(C9)),SQRT(RAND()*((D9)-(C9))/((E9)-(C9))),1-SQRT(RAND()*((E9)-(D9))/((E9)-(C9))))</f>
        <v>1270878.4647253321</v>
      </c>
      <c r="E273" s="68">
        <f ca="1">(C10)+(E10-C10)*IF(RAND()&lt;((D10)-(C10))/((E10)-(C10)),SQRT(RAND()*((D10)-(C10))/((E10)-(C10))),1-SQRT(RAND()*((E10)-(D10))/((E10)-(C10))))</f>
        <v>3970948.8164213928</v>
      </c>
      <c r="F273" s="67">
        <f ca="1">(C11)+(E11-C11)*IF(RAND()&lt;((D11)-(C11))/((E11)-(C11)),SQRT(RAND()*((D11)-(C11))/((E11)-(C11))),1-SQRT(RAND()*((E11)-(D11))/((E11)-(C11))))</f>
        <v>7.5164633395865032E-3</v>
      </c>
      <c r="G273" s="67">
        <f ca="1">(C12)+(E12-C12)*IF(RAND()&lt;((D12)-(C12))/((E12)-(C12)),SQRT(RAND()*((D12)-(C12))/((E12)-(C12))),1-SQRT(RAND()*((E12)-(D12))/((E12)-(C12))))</f>
        <v>0.16952064899818389</v>
      </c>
      <c r="H273" s="68">
        <f t="shared" ref="H273:H336" ca="1" si="8">-D273+($L$1*B273*C273+$M$1*F273-E273)*(1-(1+$N$1)^-5)/$N$1</f>
        <v>273814202.15767157</v>
      </c>
      <c r="I273" s="69">
        <f t="shared" ref="I273:I336" ca="1" si="9">($L$1*B273*C273+$M$1*F273-E273)*5/D273</f>
        <v>285.49839062734895</v>
      </c>
    </row>
    <row r="274" spans="1:9" ht="16.05" customHeight="1" x14ac:dyDescent="0.3">
      <c r="A274" s="70">
        <v>258</v>
      </c>
      <c r="B274" s="71">
        <f ca="1">(C7)+(E7-C7)*IF(RAND()&lt;((D7)-(C7))/((E7)-(C7)),SQRT(RAND()*((D7)-(C7))/((E7)-(C7))),1-SQRT(RAND()*((E7)-(D7))/((E7)-(C7))))</f>
        <v>0.28451664122707021</v>
      </c>
      <c r="C274" s="71">
        <f ca="1">(C8)+(E8-C8)*IF(RAND()&lt;((D8)-(C8))/((E8)-(C8)),SQRT(RAND()*((D8)-(C8))/((E8)-(C8))),1-SQRT(RAND()*((E8)-(D8))/((E8)-(C8))))</f>
        <v>0.83694467250002669</v>
      </c>
      <c r="D274" s="72">
        <f ca="1">(C9)+(E9-C9)*IF(RAND()&lt;((D9)-(C9))/((E9)-(C9)),SQRT(RAND()*((D9)-(C9))/((E9)-(C9))),1-SQRT(RAND()*((E9)-(D9))/((E9)-(C9))))</f>
        <v>1291228.3347761058</v>
      </c>
      <c r="E274" s="72">
        <f ca="1">(C10)+(E10-C10)*IF(RAND()&lt;((D10)-(C10))/((E10)-(C10)),SQRT(RAND()*((D10)-(C10))/((E10)-(C10))),1-SQRT(RAND()*((E10)-(D10))/((E10)-(C10))))</f>
        <v>3739491.4852343667</v>
      </c>
      <c r="F274" s="71">
        <f ca="1">(C11)+(E11-C11)*IF(RAND()&lt;((D11)-(C11))/((E11)-(C11)),SQRT(RAND()*((D11)-(C11))/((E11)-(C11))),1-SQRT(RAND()*((E11)-(D11))/((E11)-(C11))))</f>
        <v>2.4362229826395455E-2</v>
      </c>
      <c r="G274" s="71">
        <f ca="1">(C12)+(E12-C12)*IF(RAND()&lt;((D12)-(C12))/((E12)-(C12)),SQRT(RAND()*((D12)-(C12))/((E12)-(C12))),1-SQRT(RAND()*((E12)-(D12))/((E12)-(C12))))</f>
        <v>0.16128894279459732</v>
      </c>
      <c r="H274" s="72">
        <f t="shared" ca="1" si="8"/>
        <v>419440535.18003684</v>
      </c>
      <c r="I274" s="73">
        <f t="shared" ca="1" si="9"/>
        <v>429.77673396852407</v>
      </c>
    </row>
    <row r="275" spans="1:9" ht="16.05" customHeight="1" x14ac:dyDescent="0.3">
      <c r="A275" s="66">
        <v>259</v>
      </c>
      <c r="B275" s="67">
        <f ca="1">(C7)+(E7-C7)*IF(RAND()&lt;((D7)-(C7))/((E7)-(C7)),SQRT(RAND()*((D7)-(C7))/((E7)-(C7))),1-SQRT(RAND()*((E7)-(D7))/((E7)-(C7))))</f>
        <v>0.32375557421977497</v>
      </c>
      <c r="C275" s="67">
        <f ca="1">(C8)+(E8-C8)*IF(RAND()&lt;((D8)-(C8))/((E8)-(C8)),SQRT(RAND()*((D8)-(C8))/((E8)-(C8))),1-SQRT(RAND()*((E8)-(D8))/((E8)-(C8))))</f>
        <v>0.63765212875147814</v>
      </c>
      <c r="D275" s="68">
        <f ca="1">(C9)+(E9-C9)*IF(RAND()&lt;((D9)-(C9))/((E9)-(C9)),SQRT(RAND()*((D9)-(C9))/((E9)-(C9))),1-SQRT(RAND()*((E9)-(D9))/((E9)-(C9))))</f>
        <v>1301084.6113072422</v>
      </c>
      <c r="E275" s="68">
        <f ca="1">(C10)+(E10-C10)*IF(RAND()&lt;((D10)-(C10))/((E10)-(C10)),SQRT(RAND()*((D10)-(C10))/((E10)-(C10))),1-SQRT(RAND()*((E10)-(D10))/((E10)-(C10))))</f>
        <v>3081087.1047444385</v>
      </c>
      <c r="F275" s="67">
        <f ca="1">(C11)+(E11-C11)*IF(RAND()&lt;((D11)-(C11))/((E11)-(C11)),SQRT(RAND()*((D11)-(C11))/((E11)-(C11))),1-SQRT(RAND()*((E11)-(D11))/((E11)-(C11))))</f>
        <v>1.4522626311273067E-2</v>
      </c>
      <c r="G275" s="67">
        <f ca="1">(C12)+(E12-C12)*IF(RAND()&lt;((D12)-(C12))/((E12)-(C12)),SQRT(RAND()*((D12)-(C12))/((E12)-(C12))),1-SQRT(RAND()*((E12)-(D12))/((E12)-(C12))))</f>
        <v>0.16705409427865622</v>
      </c>
      <c r="H275" s="68">
        <f t="shared" ca="1" si="8"/>
        <v>316439850.07867634</v>
      </c>
      <c r="I275" s="69">
        <f t="shared" ca="1" si="9"/>
        <v>322.11301781660995</v>
      </c>
    </row>
    <row r="276" spans="1:9" ht="16.05" customHeight="1" x14ac:dyDescent="0.3">
      <c r="A276" s="70">
        <v>260</v>
      </c>
      <c r="B276" s="71">
        <f ca="1">(C7)+(E7-C7)*IF(RAND()&lt;((D7)-(C7))/((E7)-(C7)),SQRT(RAND()*((D7)-(C7))/((E7)-(C7))),1-SQRT(RAND()*((E7)-(D7))/((E7)-(C7))))</f>
        <v>0.20851074416471424</v>
      </c>
      <c r="C276" s="71">
        <f ca="1">(C8)+(E8-C8)*IF(RAND()&lt;((D8)-(C8))/((E8)-(C8)),SQRT(RAND()*((D8)-(C8))/((E8)-(C8))),1-SQRT(RAND()*((E8)-(D8))/((E8)-(C8))))</f>
        <v>0.617468813968992</v>
      </c>
      <c r="D276" s="72">
        <f ca="1">(C9)+(E9-C9)*IF(RAND()&lt;((D9)-(C9))/((E9)-(C9)),SQRT(RAND()*((D9)-(C9))/((E9)-(C9))),1-SQRT(RAND()*((E9)-(D9))/((E9)-(C9))))</f>
        <v>1273897.6475475184</v>
      </c>
      <c r="E276" s="72">
        <f ca="1">(C10)+(E10-C10)*IF(RAND()&lt;((D10)-(C10))/((E10)-(C10)),SQRT(RAND()*((D10)-(C10))/((E10)-(C10))),1-SQRT(RAND()*((E10)-(D10))/((E10)-(C10))))</f>
        <v>3715493.8314381754</v>
      </c>
      <c r="F276" s="71">
        <f ca="1">(C11)+(E11-C11)*IF(RAND()&lt;((D11)-(C11))/((E11)-(C11)),SQRT(RAND()*((D11)-(C11))/((E11)-(C11))),1-SQRT(RAND()*((E11)-(D11))/((E11)-(C11))))</f>
        <v>1.611577087138362E-2</v>
      </c>
      <c r="G276" s="71">
        <f ca="1">(C12)+(E12-C12)*IF(RAND()&lt;((D12)-(C12))/((E12)-(C12)),SQRT(RAND()*((D12)-(C12))/((E12)-(C12))),1-SQRT(RAND()*((E12)-(D12))/((E12)-(C12))))</f>
        <v>0.17481975834881947</v>
      </c>
      <c r="H276" s="72">
        <f t="shared" ca="1" si="8"/>
        <v>241032673.36354908</v>
      </c>
      <c r="I276" s="73">
        <f t="shared" ca="1" si="9"/>
        <v>250.88304046952882</v>
      </c>
    </row>
    <row r="277" spans="1:9" ht="16.05" customHeight="1" x14ac:dyDescent="0.3">
      <c r="A277" s="66">
        <v>261</v>
      </c>
      <c r="B277" s="67">
        <f ca="1">(C7)+(E7-C7)*IF(RAND()&lt;((D7)-(C7))/((E7)-(C7)),SQRT(RAND()*((D7)-(C7))/((E7)-(C7))),1-SQRT(RAND()*((E7)-(D7))/((E7)-(C7))))</f>
        <v>0.2523881296010998</v>
      </c>
      <c r="C277" s="67">
        <f ca="1">(C8)+(E8-C8)*IF(RAND()&lt;((D8)-(C8))/((E8)-(C8)),SQRT(RAND()*((D8)-(C8))/((E8)-(C8))),1-SQRT(RAND()*((E8)-(D8))/((E8)-(C8))))</f>
        <v>0.70869564783229566</v>
      </c>
      <c r="D277" s="68">
        <f ca="1">(C9)+(E9-C9)*IF(RAND()&lt;((D9)-(C9))/((E9)-(C9)),SQRT(RAND()*((D9)-(C9))/((E9)-(C9))),1-SQRT(RAND()*((E9)-(D9))/((E9)-(C9))))</f>
        <v>1427670.6174939002</v>
      </c>
      <c r="E277" s="68">
        <f ca="1">(C10)+(E10-C10)*IF(RAND()&lt;((D10)-(C10))/((E10)-(C10)),SQRT(RAND()*((D10)-(C10))/((E10)-(C10))),1-SQRT(RAND()*((E10)-(D10))/((E10)-(C10))))</f>
        <v>3660105.9305810248</v>
      </c>
      <c r="F277" s="67">
        <f ca="1">(C11)+(E11-C11)*IF(RAND()&lt;((D11)-(C11))/((E11)-(C11)),SQRT(RAND()*((D11)-(C11))/((E11)-(C11))),1-SQRT(RAND()*((E11)-(D11))/((E11)-(C11))))</f>
        <v>2.4869214170905162E-2</v>
      </c>
      <c r="G277" s="67">
        <f ca="1">(C12)+(E12-C12)*IF(RAND()&lt;((D12)-(C12))/((E12)-(C12)),SQRT(RAND()*((D12)-(C12))/((E12)-(C12))),1-SQRT(RAND()*((E12)-(D12))/((E12)-(C12))))</f>
        <v>0.12208145773683388</v>
      </c>
      <c r="H277" s="68">
        <f t="shared" ca="1" si="8"/>
        <v>358793835.1801396</v>
      </c>
      <c r="I277" s="69">
        <f t="shared" ca="1" si="9"/>
        <v>332.79919259076377</v>
      </c>
    </row>
    <row r="278" spans="1:9" ht="16.05" customHeight="1" x14ac:dyDescent="0.3">
      <c r="A278" s="70">
        <v>262</v>
      </c>
      <c r="B278" s="71">
        <f ca="1">(C7)+(E7-C7)*IF(RAND()&lt;((D7)-(C7))/((E7)-(C7)),SQRT(RAND()*((D7)-(C7))/((E7)-(C7))),1-SQRT(RAND()*((E7)-(D7))/((E7)-(C7))))</f>
        <v>0.2686722377273304</v>
      </c>
      <c r="C278" s="71">
        <f ca="1">(C8)+(E8-C8)*IF(RAND()&lt;((D8)-(C8))/((E8)-(C8)),SQRT(RAND()*((D8)-(C8))/((E8)-(C8))),1-SQRT(RAND()*((E8)-(D8))/((E8)-(C8))))</f>
        <v>0.67123177336463713</v>
      </c>
      <c r="D278" s="72">
        <f ca="1">(C9)+(E9-C9)*IF(RAND()&lt;((D9)-(C9))/((E9)-(C9)),SQRT(RAND()*((D9)-(C9))/((E9)-(C9))),1-SQRT(RAND()*((E9)-(D9))/((E9)-(C9))))</f>
        <v>1076788.902524116</v>
      </c>
      <c r="E278" s="72">
        <f ca="1">(C10)+(E10-C10)*IF(RAND()&lt;((D10)-(C10))/((E10)-(C10)),SQRT(RAND()*((D10)-(C10))/((E10)-(C10))),1-SQRT(RAND()*((E10)-(D10))/((E10)-(C10))))</f>
        <v>3885052.9480725084</v>
      </c>
      <c r="F278" s="71">
        <f ca="1">(C11)+(E11-C11)*IF(RAND()&lt;((D11)-(C11))/((E11)-(C11)),SQRT(RAND()*((D11)-(C11))/((E11)-(C11))),1-SQRT(RAND()*((E11)-(D11))/((E11)-(C11))))</f>
        <v>1.5988906496571937E-2</v>
      </c>
      <c r="G278" s="71">
        <f ca="1">(C12)+(E12-C12)*IF(RAND()&lt;((D12)-(C12))/((E12)-(C12)),SQRT(RAND()*((D12)-(C12))/((E12)-(C12))),1-SQRT(RAND()*((E12)-(D12))/((E12)-(C12))))</f>
        <v>0.1268537993247604</v>
      </c>
      <c r="H278" s="72">
        <f t="shared" ca="1" si="8"/>
        <v>295801672.96504122</v>
      </c>
      <c r="I278" s="73">
        <f t="shared" ca="1" si="9"/>
        <v>363.65433447215798</v>
      </c>
    </row>
    <row r="279" spans="1:9" ht="16.05" customHeight="1" x14ac:dyDescent="0.3">
      <c r="A279" s="66">
        <v>263</v>
      </c>
      <c r="B279" s="67">
        <f ca="1">(C7)+(E7-C7)*IF(RAND()&lt;((D7)-(C7))/((E7)-(C7)),SQRT(RAND()*((D7)-(C7))/((E7)-(C7))),1-SQRT(RAND()*((E7)-(D7))/((E7)-(C7))))</f>
        <v>0.34030584186968282</v>
      </c>
      <c r="C279" s="67">
        <f ca="1">(C8)+(E8-C8)*IF(RAND()&lt;((D8)-(C8))/((E8)-(C8)),SQRT(RAND()*((D8)-(C8))/((E8)-(C8))),1-SQRT(RAND()*((E8)-(D8))/((E8)-(C8))))</f>
        <v>0.68882288911726974</v>
      </c>
      <c r="D279" s="68">
        <f ca="1">(C9)+(E9-C9)*IF(RAND()&lt;((D9)-(C9))/((E9)-(C9)),SQRT(RAND()*((D9)-(C9))/((E9)-(C9))),1-SQRT(RAND()*((E9)-(D9))/((E9)-(C9))))</f>
        <v>1168927.6108534101</v>
      </c>
      <c r="E279" s="68">
        <f ca="1">(C10)+(E10-C10)*IF(RAND()&lt;((D10)-(C10))/((E10)-(C10)),SQRT(RAND()*((D10)-(C10))/((E10)-(C10))),1-SQRT(RAND()*((E10)-(D10))/((E10)-(C10))))</f>
        <v>4608171.461397673</v>
      </c>
      <c r="F279" s="67">
        <f ca="1">(C11)+(E11-C11)*IF(RAND()&lt;((D11)-(C11))/((E11)-(C11)),SQRT(RAND()*((D11)-(C11))/((E11)-(C11))),1-SQRT(RAND()*((E11)-(D11))/((E11)-(C11))))</f>
        <v>1.4548787864637577E-2</v>
      </c>
      <c r="G279" s="67">
        <f ca="1">(C12)+(E12-C12)*IF(RAND()&lt;((D12)-(C12))/((E12)-(C12)),SQRT(RAND()*((D12)-(C12))/((E12)-(C12))),1-SQRT(RAND()*((E12)-(D12))/((E12)-(C12))))</f>
        <v>0.16569200765478165</v>
      </c>
      <c r="H279" s="68">
        <f t="shared" ca="1" si="8"/>
        <v>341398865.01295769</v>
      </c>
      <c r="I279" s="69">
        <f t="shared" ca="1" si="9"/>
        <v>386.54455526806265</v>
      </c>
    </row>
    <row r="280" spans="1:9" ht="16.05" customHeight="1" x14ac:dyDescent="0.3">
      <c r="A280" s="70">
        <v>264</v>
      </c>
      <c r="B280" s="71">
        <f ca="1">(C7)+(E7-C7)*IF(RAND()&lt;((D7)-(C7))/((E7)-(C7)),SQRT(RAND()*((D7)-(C7))/((E7)-(C7))),1-SQRT(RAND()*((E7)-(D7))/((E7)-(C7))))</f>
        <v>0.37957534098272028</v>
      </c>
      <c r="C280" s="71">
        <f ca="1">(C8)+(E8-C8)*IF(RAND()&lt;((D8)-(C8))/((E8)-(C8)),SQRT(RAND()*((D8)-(C8))/((E8)-(C8))),1-SQRT(RAND()*((E8)-(D8))/((E8)-(C8))))</f>
        <v>0.74774908559443887</v>
      </c>
      <c r="D280" s="72">
        <f ca="1">(C9)+(E9-C9)*IF(RAND()&lt;((D9)-(C9))/((E9)-(C9)),SQRT(RAND()*((D9)-(C9))/((E9)-(C9))),1-SQRT(RAND()*((E9)-(D9))/((E9)-(C9))))</f>
        <v>1204329.0295635955</v>
      </c>
      <c r="E280" s="72">
        <f ca="1">(C10)+(E10-C10)*IF(RAND()&lt;((D10)-(C10))/((E10)-(C10)),SQRT(RAND()*((D10)-(C10))/((E10)-(C10))),1-SQRT(RAND()*((E10)-(D10))/((E10)-(C10))))</f>
        <v>3228249.563602698</v>
      </c>
      <c r="F280" s="71">
        <f ca="1">(C11)+(E11-C11)*IF(RAND()&lt;((D11)-(C11))/((E11)-(C11)),SQRT(RAND()*((D11)-(C11))/((E11)-(C11))),1-SQRT(RAND()*((E11)-(D11))/((E11)-(C11))))</f>
        <v>1.065448354574189E-2</v>
      </c>
      <c r="G280" s="71">
        <f ca="1">(C12)+(E12-C12)*IF(RAND()&lt;((D12)-(C12))/((E12)-(C12)),SQRT(RAND()*((D12)-(C12))/((E12)-(C12))),1-SQRT(RAND()*((E12)-(D12))/((E12)-(C12))))</f>
        <v>0.15667029638393601</v>
      </c>
      <c r="H280" s="72">
        <f t="shared" ca="1" si="8"/>
        <v>372249839.55140436</v>
      </c>
      <c r="I280" s="73">
        <f t="shared" ca="1" si="9"/>
        <v>409.00894375872559</v>
      </c>
    </row>
    <row r="281" spans="1:9" ht="16.05" customHeight="1" x14ac:dyDescent="0.3">
      <c r="A281" s="66">
        <v>265</v>
      </c>
      <c r="B281" s="67">
        <f ca="1">(C7)+(E7-C7)*IF(RAND()&lt;((D7)-(C7))/((E7)-(C7)),SQRT(RAND()*((D7)-(C7))/((E7)-(C7))),1-SQRT(RAND()*((E7)-(D7))/((E7)-(C7))))</f>
        <v>0.30216260380532456</v>
      </c>
      <c r="C281" s="67">
        <f ca="1">(C8)+(E8-C8)*IF(RAND()&lt;((D8)-(C8))/((E8)-(C8)),SQRT(RAND()*((D8)-(C8))/((E8)-(C8))),1-SQRT(RAND()*((E8)-(D8))/((E8)-(C8))))</f>
        <v>0.61558616779965614</v>
      </c>
      <c r="D281" s="68">
        <f ca="1">(C9)+(E9-C9)*IF(RAND()&lt;((D9)-(C9))/((E9)-(C9)),SQRT(RAND()*((D9)-(C9))/((E9)-(C9))),1-SQRT(RAND()*((E9)-(D9))/((E9)-(C9))))</f>
        <v>1198119.8703414281</v>
      </c>
      <c r="E281" s="68">
        <f ca="1">(C10)+(E10-C10)*IF(RAND()&lt;((D10)-(C10))/((E10)-(C10)),SQRT(RAND()*((D10)-(C10))/((E10)-(C10))),1-SQRT(RAND()*((E10)-(D10))/((E10)-(C10))))</f>
        <v>3490155.6707614558</v>
      </c>
      <c r="F281" s="67">
        <f ca="1">(C11)+(E11-C11)*IF(RAND()&lt;((D11)-(C11))/((E11)-(C11)),SQRT(RAND()*((D11)-(C11))/((E11)-(C11))),1-SQRT(RAND()*((E11)-(D11))/((E11)-(C11))))</f>
        <v>1.4479378718867213E-2</v>
      </c>
      <c r="G281" s="67">
        <f ca="1">(C12)+(E12-C12)*IF(RAND()&lt;((D12)-(C12))/((E12)-(C12)),SQRT(RAND()*((D12)-(C12))/((E12)-(C12))),1-SQRT(RAND()*((E12)-(D12))/((E12)-(C12))))</f>
        <v>0.13407643260809979</v>
      </c>
      <c r="H281" s="68">
        <f t="shared" ca="1" si="8"/>
        <v>292446172.8044008</v>
      </c>
      <c r="I281" s="69">
        <f t="shared" ca="1" si="9"/>
        <v>323.26742329745917</v>
      </c>
    </row>
    <row r="282" spans="1:9" ht="16.05" customHeight="1" x14ac:dyDescent="0.3">
      <c r="A282" s="70">
        <v>266</v>
      </c>
      <c r="B282" s="71">
        <f ca="1">(C7)+(E7-C7)*IF(RAND()&lt;((D7)-(C7))/((E7)-(C7)),SQRT(RAND()*((D7)-(C7))/((E7)-(C7))),1-SQRT(RAND()*((E7)-(D7))/((E7)-(C7))))</f>
        <v>0.37142660800811156</v>
      </c>
      <c r="C282" s="71">
        <f ca="1">(C8)+(E8-C8)*IF(RAND()&lt;((D8)-(C8))/((E8)-(C8)),SQRT(RAND()*((D8)-(C8))/((E8)-(C8))),1-SQRT(RAND()*((E8)-(D8))/((E8)-(C8))))</f>
        <v>0.73726542484736934</v>
      </c>
      <c r="D282" s="72">
        <f ca="1">(C9)+(E9-C9)*IF(RAND()&lt;((D9)-(C9))/((E9)-(C9)),SQRT(RAND()*((D9)-(C9))/((E9)-(C9))),1-SQRT(RAND()*((E9)-(D9))/((E9)-(C9))))</f>
        <v>1220542.3847625109</v>
      </c>
      <c r="E282" s="72">
        <f ca="1">(C10)+(E10-C10)*IF(RAND()&lt;((D10)-(C10))/((E10)-(C10)),SQRT(RAND()*((D10)-(C10))/((E10)-(C10))),1-SQRT(RAND()*((E10)-(D10))/((E10)-(C10))))</f>
        <v>5055058.2001996711</v>
      </c>
      <c r="F282" s="71">
        <f ca="1">(C11)+(E11-C11)*IF(RAND()&lt;((D11)-(C11))/((E11)-(C11)),SQRT(RAND()*((D11)-(C11))/((E11)-(C11))),1-SQRT(RAND()*((E11)-(D11))/((E11)-(C11))))</f>
        <v>6.6089464335731003E-3</v>
      </c>
      <c r="G282" s="71">
        <f ca="1">(C12)+(E12-C12)*IF(RAND()&lt;((D12)-(C12))/((E12)-(C12)),SQRT(RAND()*((D12)-(C12))/((E12)-(C12))),1-SQRT(RAND()*((E12)-(D12))/((E12)-(C12))))</f>
        <v>0.17084453128169122</v>
      </c>
      <c r="H282" s="72">
        <f t="shared" ca="1" si="8"/>
        <v>325243737.66938186</v>
      </c>
      <c r="I282" s="73">
        <f t="shared" ca="1" si="9"/>
        <v>352.79583782955029</v>
      </c>
    </row>
    <row r="283" spans="1:9" ht="16.05" customHeight="1" x14ac:dyDescent="0.3">
      <c r="A283" s="66">
        <v>267</v>
      </c>
      <c r="B283" s="67">
        <f ca="1">(C7)+(E7-C7)*IF(RAND()&lt;((D7)-(C7))/((E7)-(C7)),SQRT(RAND()*((D7)-(C7))/((E7)-(C7))),1-SQRT(RAND()*((E7)-(D7))/((E7)-(C7))))</f>
        <v>0.26348597577967442</v>
      </c>
      <c r="C283" s="67">
        <f ca="1">(C8)+(E8-C8)*IF(RAND()&lt;((D8)-(C8))/((E8)-(C8)),SQRT(RAND()*((D8)-(C8))/((E8)-(C8))),1-SQRT(RAND()*((E8)-(D8))/((E8)-(C8))))</f>
        <v>0.69671946434264698</v>
      </c>
      <c r="D283" s="68">
        <f ca="1">(C9)+(E9-C9)*IF(RAND()&lt;((D9)-(C9))/((E9)-(C9)),SQRT(RAND()*((D9)-(C9))/((E9)-(C9))),1-SQRT(RAND()*((E9)-(D9))/((E9)-(C9))))</f>
        <v>1399103.9775721573</v>
      </c>
      <c r="E283" s="68">
        <f ca="1">(C10)+(E10-C10)*IF(RAND()&lt;((D10)-(C10))/((E10)-(C10)),SQRT(RAND()*((D10)-(C10))/((E10)-(C10))),1-SQRT(RAND()*((E10)-(D10))/((E10)-(C10))))</f>
        <v>3745291.4338648571</v>
      </c>
      <c r="F283" s="67">
        <f ca="1">(C11)+(E11-C11)*IF(RAND()&lt;((D11)-(C11))/((E11)-(C11)),SQRT(RAND()*((D11)-(C11))/((E11)-(C11))),1-SQRT(RAND()*((E11)-(D11))/((E11)-(C11))))</f>
        <v>6.7439154475787489E-3</v>
      </c>
      <c r="G283" s="67">
        <f ca="1">(C12)+(E12-C12)*IF(RAND()&lt;((D12)-(C12))/((E12)-(C12)),SQRT(RAND()*((D12)-(C12))/((E12)-(C12))),1-SQRT(RAND()*((E12)-(D12))/((E12)-(C12))))</f>
        <v>0.14536633616126851</v>
      </c>
      <c r="H283" s="68">
        <f t="shared" ca="1" si="8"/>
        <v>232800935.61912474</v>
      </c>
      <c r="I283" s="69">
        <f t="shared" ca="1" si="9"/>
        <v>220.78909587136786</v>
      </c>
    </row>
    <row r="284" spans="1:9" ht="16.05" customHeight="1" x14ac:dyDescent="0.3">
      <c r="A284" s="70">
        <v>268</v>
      </c>
      <c r="B284" s="71">
        <f ca="1">(C7)+(E7-C7)*IF(RAND()&lt;((D7)-(C7))/((E7)-(C7)),SQRT(RAND()*((D7)-(C7))/((E7)-(C7))),1-SQRT(RAND()*((E7)-(D7))/((E7)-(C7))))</f>
        <v>0.25717460365707273</v>
      </c>
      <c r="C284" s="71">
        <f ca="1">(C8)+(E8-C8)*IF(RAND()&lt;((D8)-(C8))/((E8)-(C8)),SQRT(RAND()*((D8)-(C8))/((E8)-(C8))),1-SQRT(RAND()*((E8)-(D8))/((E8)-(C8))))</f>
        <v>0.82792040661969368</v>
      </c>
      <c r="D284" s="72">
        <f ca="1">(C9)+(E9-C9)*IF(RAND()&lt;((D9)-(C9))/((E9)-(C9)),SQRT(RAND()*((D9)-(C9))/((E9)-(C9))),1-SQRT(RAND()*((E9)-(D9))/((E9)-(C9))))</f>
        <v>1314254.8951549686</v>
      </c>
      <c r="E284" s="72">
        <f ca="1">(C10)+(E10-C10)*IF(RAND()&lt;((D10)-(C10))/((E10)-(C10)),SQRT(RAND()*((D10)-(C10))/((E10)-(C10))),1-SQRT(RAND()*((E10)-(D10))/((E10)-(C10))))</f>
        <v>3126922.9714743285</v>
      </c>
      <c r="F284" s="71">
        <f ca="1">(C11)+(E11-C11)*IF(RAND()&lt;((D11)-(C11))/((E11)-(C11)),SQRT(RAND()*((D11)-(C11))/((E11)-(C11))),1-SQRT(RAND()*((E11)-(D11))/((E11)-(C11))))</f>
        <v>1.6450060771496283E-2</v>
      </c>
      <c r="G284" s="71">
        <f ca="1">(C12)+(E12-C12)*IF(RAND()&lt;((D12)-(C12))/((E12)-(C12)),SQRT(RAND()*((D12)-(C12))/((E12)-(C12))),1-SQRT(RAND()*((E12)-(D12))/((E12)-(C12))))</f>
        <v>0.15049133615885613</v>
      </c>
      <c r="H284" s="72">
        <f t="shared" ca="1" si="8"/>
        <v>337210820.72878116</v>
      </c>
      <c r="I284" s="73">
        <f t="shared" ca="1" si="9"/>
        <v>339.74407272386463</v>
      </c>
    </row>
    <row r="285" spans="1:9" ht="16.05" customHeight="1" x14ac:dyDescent="0.3">
      <c r="A285" s="66">
        <v>269</v>
      </c>
      <c r="B285" s="67">
        <f ca="1">(C7)+(E7-C7)*IF(RAND()&lt;((D7)-(C7))/((E7)-(C7)),SQRT(RAND()*((D7)-(C7))/((E7)-(C7))),1-SQRT(RAND()*((E7)-(D7))/((E7)-(C7))))</f>
        <v>0.22708945637225711</v>
      </c>
      <c r="C285" s="67">
        <f ca="1">(C8)+(E8-C8)*IF(RAND()&lt;((D8)-(C8))/((E8)-(C8)),SQRT(RAND()*((D8)-(C8))/((E8)-(C8))),1-SQRT(RAND()*((E8)-(D8))/((E8)-(C8))))</f>
        <v>0.66118540964051076</v>
      </c>
      <c r="D285" s="68">
        <f ca="1">(C9)+(E9-C9)*IF(RAND()&lt;((D9)-(C9))/((E9)-(C9)),SQRT(RAND()*((D9)-(C9))/((E9)-(C9))),1-SQRT(RAND()*((E9)-(D9))/((E9)-(C9))))</f>
        <v>1476933.5788735277</v>
      </c>
      <c r="E285" s="68">
        <f ca="1">(C10)+(E10-C10)*IF(RAND()&lt;((D10)-(C10))/((E10)-(C10)),SQRT(RAND()*((D10)-(C10))/((E10)-(C10))),1-SQRT(RAND()*((E10)-(D10))/((E10)-(C10))))</f>
        <v>4031338.2834301805</v>
      </c>
      <c r="F285" s="67">
        <f ca="1">(C11)+(E11-C11)*IF(RAND()&lt;((D11)-(C11))/((E11)-(C11)),SQRT(RAND()*((D11)-(C11))/((E11)-(C11))),1-SQRT(RAND()*((E11)-(D11))/((E11)-(C11))))</f>
        <v>1.1908242793019738E-2</v>
      </c>
      <c r="G285" s="67">
        <f ca="1">(C12)+(E12-C12)*IF(RAND()&lt;((D12)-(C12))/((E12)-(C12)),SQRT(RAND()*((D12)-(C12))/((E12)-(C12))),1-SQRT(RAND()*((E12)-(D12))/((E12)-(C12))))</f>
        <v>0.14716025302447755</v>
      </c>
      <c r="H285" s="68">
        <f t="shared" ca="1" si="8"/>
        <v>232545390.36969444</v>
      </c>
      <c r="I285" s="69">
        <f t="shared" ca="1" si="9"/>
        <v>208.99551743704524</v>
      </c>
    </row>
    <row r="286" spans="1:9" ht="16.05" customHeight="1" x14ac:dyDescent="0.3">
      <c r="A286" s="70">
        <v>270</v>
      </c>
      <c r="B286" s="71">
        <f ca="1">(C7)+(E7-C7)*IF(RAND()&lt;((D7)-(C7))/((E7)-(C7)),SQRT(RAND()*((D7)-(C7))/((E7)-(C7))),1-SQRT(RAND()*((E7)-(D7))/((E7)-(C7))))</f>
        <v>0.21096670667011697</v>
      </c>
      <c r="C286" s="71">
        <f ca="1">(C8)+(E8-C8)*IF(RAND()&lt;((D8)-(C8))/((E8)-(C8)),SQRT(RAND()*((D8)-(C8))/((E8)-(C8))),1-SQRT(RAND()*((E8)-(D8))/((E8)-(C8))))</f>
        <v>0.63569099734954504</v>
      </c>
      <c r="D286" s="72">
        <f ca="1">(C9)+(E9-C9)*IF(RAND()&lt;((D9)-(C9))/((E9)-(C9)),SQRT(RAND()*((D9)-(C9))/((E9)-(C9))),1-SQRT(RAND()*((E9)-(D9))/((E9)-(C9))))</f>
        <v>1221546.2553156961</v>
      </c>
      <c r="E286" s="72">
        <f ca="1">(C10)+(E10-C10)*IF(RAND()&lt;((D10)-(C10))/((E10)-(C10)),SQRT(RAND()*((D10)-(C10))/((E10)-(C10))),1-SQRT(RAND()*((E10)-(D10))/((E10)-(C10))))</f>
        <v>4120362.5418245709</v>
      </c>
      <c r="F286" s="71">
        <f ca="1">(C11)+(E11-C11)*IF(RAND()&lt;((D11)-(C11))/((E11)-(C11)),SQRT(RAND()*((D11)-(C11))/((E11)-(C11))),1-SQRT(RAND()*((E11)-(D11))/((E11)-(C11))))</f>
        <v>6.4627480182926113E-3</v>
      </c>
      <c r="G286" s="71">
        <f ca="1">(C12)+(E12-C12)*IF(RAND()&lt;((D12)-(C12))/((E12)-(C12)),SQRT(RAND()*((D12)-(C12))/((E12)-(C12))),1-SQRT(RAND()*((E12)-(D12))/((E12)-(C12))))</f>
        <v>0.1991006213112731</v>
      </c>
      <c r="H286" s="72">
        <f t="shared" ca="1" si="8"/>
        <v>175710299.81604445</v>
      </c>
      <c r="I286" s="73">
        <f t="shared" ca="1" si="9"/>
        <v>191.04546824518727</v>
      </c>
    </row>
    <row r="287" spans="1:9" ht="16.05" customHeight="1" x14ac:dyDescent="0.3">
      <c r="A287" s="66">
        <v>271</v>
      </c>
      <c r="B287" s="67">
        <f ca="1">(C7)+(E7-C7)*IF(RAND()&lt;((D7)-(C7))/((E7)-(C7)),SQRT(RAND()*((D7)-(C7))/((E7)-(C7))),1-SQRT(RAND()*((E7)-(D7))/((E7)-(C7))))</f>
        <v>0.29621584102335563</v>
      </c>
      <c r="C287" s="67">
        <f ca="1">(C8)+(E8-C8)*IF(RAND()&lt;((D8)-(C8))/((E8)-(C8)),SQRT(RAND()*((D8)-(C8))/((E8)-(C8))),1-SQRT(RAND()*((E8)-(D8))/((E8)-(C8))))</f>
        <v>0.72144942259161637</v>
      </c>
      <c r="D287" s="68">
        <f ca="1">(C9)+(E9-C9)*IF(RAND()&lt;((D9)-(C9))/((E9)-(C9)),SQRT(RAND()*((D9)-(C9))/((E9)-(C9))),1-SQRT(RAND()*((E9)-(D9))/((E9)-(C9))))</f>
        <v>1230867.177419883</v>
      </c>
      <c r="E287" s="68">
        <f ca="1">(C10)+(E10-C10)*IF(RAND()&lt;((D10)-(C10))/((E10)-(C10)),SQRT(RAND()*((D10)-(C10))/((E10)-(C10))),1-SQRT(RAND()*((E10)-(D10))/((E10)-(C10))))</f>
        <v>2990069.9108440084</v>
      </c>
      <c r="F287" s="67">
        <f ca="1">(C11)+(E11-C11)*IF(RAND()&lt;((D11)-(C11))/((E11)-(C11)),SQRT(RAND()*((D11)-(C11))/((E11)-(C11))),1-SQRT(RAND()*((E11)-(D11))/((E11)-(C11))))</f>
        <v>5.5783575953904235E-3</v>
      </c>
      <c r="G287" s="67">
        <f ca="1">(C12)+(E12-C12)*IF(RAND()&lt;((D12)-(C12))/((E12)-(C12)),SQRT(RAND()*((D12)-(C12))/((E12)-(C12))),1-SQRT(RAND()*((E12)-(D12))/((E12)-(C12))))</f>
        <v>0.1285576203872856</v>
      </c>
      <c r="H287" s="68">
        <f t="shared" ca="1" si="8"/>
        <v>260198412.83902454</v>
      </c>
      <c r="I287" s="69">
        <f t="shared" ca="1" si="9"/>
        <v>280.1455215455648</v>
      </c>
    </row>
    <row r="288" spans="1:9" ht="16.05" customHeight="1" x14ac:dyDescent="0.3">
      <c r="A288" s="70">
        <v>272</v>
      </c>
      <c r="B288" s="71">
        <f ca="1">(C7)+(E7-C7)*IF(RAND()&lt;((D7)-(C7))/((E7)-(C7)),SQRT(RAND()*((D7)-(C7))/((E7)-(C7))),1-SQRT(RAND()*((E7)-(D7))/((E7)-(C7))))</f>
        <v>0.29135153219775189</v>
      </c>
      <c r="C288" s="71">
        <f ca="1">(C8)+(E8-C8)*IF(RAND()&lt;((D8)-(C8))/((E8)-(C8)),SQRT(RAND()*((D8)-(C8))/((E8)-(C8))),1-SQRT(RAND()*((E8)-(D8))/((E8)-(C8))))</f>
        <v>0.69855279905554202</v>
      </c>
      <c r="D288" s="72">
        <f ca="1">(C9)+(E9-C9)*IF(RAND()&lt;((D9)-(C9))/((E9)-(C9)),SQRT(RAND()*((D9)-(C9))/((E9)-(C9))),1-SQRT(RAND()*((E9)-(D9))/((E9)-(C9))))</f>
        <v>1245715.918488509</v>
      </c>
      <c r="E288" s="72">
        <f ca="1">(C10)+(E10-C10)*IF(RAND()&lt;((D10)-(C10))/((E10)-(C10)),SQRT(RAND()*((D10)-(C10))/((E10)-(C10))),1-SQRT(RAND()*((E10)-(D10))/((E10)-(C10))))</f>
        <v>3461615.8909434108</v>
      </c>
      <c r="F288" s="71">
        <f ca="1">(C11)+(E11-C11)*IF(RAND()&lt;((D11)-(C11))/((E11)-(C11)),SQRT(RAND()*((D11)-(C11))/((E11)-(C11))),1-SQRT(RAND()*((E11)-(D11))/((E11)-(C11))))</f>
        <v>1.4359487137621009E-2</v>
      </c>
      <c r="G288" s="71">
        <f ca="1">(C12)+(E12-C12)*IF(RAND()&lt;((D12)-(C12))/((E12)-(C12)),SQRT(RAND()*((D12)-(C12))/((E12)-(C12))),1-SQRT(RAND()*((E12)-(D12))/((E12)-(C12))))</f>
        <v>0.20488072679053013</v>
      </c>
      <c r="H288" s="72">
        <f t="shared" ca="1" si="8"/>
        <v>310699486.51745588</v>
      </c>
      <c r="I288" s="73">
        <f t="shared" ca="1" si="9"/>
        <v>330.29343740126586</v>
      </c>
    </row>
    <row r="289" spans="1:9" ht="16.05" customHeight="1" x14ac:dyDescent="0.3">
      <c r="A289" s="66">
        <v>273</v>
      </c>
      <c r="B289" s="67">
        <f ca="1">(C7)+(E7-C7)*IF(RAND()&lt;((D7)-(C7))/((E7)-(C7)),SQRT(RAND()*((D7)-(C7))/((E7)-(C7))),1-SQRT(RAND()*((E7)-(D7))/((E7)-(C7))))</f>
        <v>0.25904992636336732</v>
      </c>
      <c r="C289" s="67">
        <f ca="1">(C8)+(E8-C8)*IF(RAND()&lt;((D8)-(C8))/((E8)-(C8)),SQRT(RAND()*((D8)-(C8))/((E8)-(C8))),1-SQRT(RAND()*((E8)-(D8))/((E8)-(C8))))</f>
        <v>0.63171683596663464</v>
      </c>
      <c r="D289" s="68">
        <f ca="1">(C9)+(E9-C9)*IF(RAND()&lt;((D9)-(C9))/((E9)-(C9)),SQRT(RAND()*((D9)-(C9))/((E9)-(C9))),1-SQRT(RAND()*((E9)-(D9))/((E9)-(C9))))</f>
        <v>1328994.6747623342</v>
      </c>
      <c r="E289" s="68">
        <f ca="1">(C10)+(E10-C10)*IF(RAND()&lt;((D10)-(C10))/((E10)-(C10)),SQRT(RAND()*((D10)-(C10))/((E10)-(C10))),1-SQRT(RAND()*((E10)-(D10))/((E10)-(C10))))</f>
        <v>3061872.3285017232</v>
      </c>
      <c r="F289" s="67">
        <f ca="1">(C11)+(E11-C11)*IF(RAND()&lt;((D11)-(C11))/((E11)-(C11)),SQRT(RAND()*((D11)-(C11))/((E11)-(C11))),1-SQRT(RAND()*((E11)-(D11))/((E11)-(C11))))</f>
        <v>2.719199084048738E-2</v>
      </c>
      <c r="G289" s="67">
        <f ca="1">(C12)+(E12-C12)*IF(RAND()&lt;((D12)-(C12))/((E12)-(C12)),SQRT(RAND()*((D12)-(C12))/((E12)-(C12))),1-SQRT(RAND()*((E12)-(D12))/((E12)-(C12))))</f>
        <v>0.16969120323258985</v>
      </c>
      <c r="H289" s="68">
        <f t="shared" ca="1" si="8"/>
        <v>361366423.40700674</v>
      </c>
      <c r="I289" s="69">
        <f t="shared" ca="1" si="9"/>
        <v>359.96433771594229</v>
      </c>
    </row>
    <row r="290" spans="1:9" ht="16.05" customHeight="1" x14ac:dyDescent="0.3">
      <c r="A290" s="70">
        <v>274</v>
      </c>
      <c r="B290" s="71">
        <f ca="1">(C7)+(E7-C7)*IF(RAND()&lt;((D7)-(C7))/((E7)-(C7)),SQRT(RAND()*((D7)-(C7))/((E7)-(C7))),1-SQRT(RAND()*((E7)-(D7))/((E7)-(C7))))</f>
        <v>0.25047684137041515</v>
      </c>
      <c r="C290" s="71">
        <f ca="1">(C8)+(E8-C8)*IF(RAND()&lt;((D8)-(C8))/((E8)-(C8)),SQRT(RAND()*((D8)-(C8))/((E8)-(C8))),1-SQRT(RAND()*((E8)-(D8))/((E8)-(C8))))</f>
        <v>0.60757002430837925</v>
      </c>
      <c r="D290" s="72">
        <f ca="1">(C9)+(E9-C9)*IF(RAND()&lt;((D9)-(C9))/((E9)-(C9)),SQRT(RAND()*((D9)-(C9))/((E9)-(C9))),1-SQRT(RAND()*((E9)-(D9))/((E9)-(C9))))</f>
        <v>1226759.1920048036</v>
      </c>
      <c r="E290" s="72">
        <f ca="1">(C10)+(E10-C10)*IF(RAND()&lt;((D10)-(C10))/((E10)-(C10)),SQRT(RAND()*((D10)-(C10))/((E10)-(C10))),1-SQRT(RAND()*((E10)-(D10))/((E10)-(C10))))</f>
        <v>4569632.2384563237</v>
      </c>
      <c r="F290" s="71">
        <f ca="1">(C11)+(E11-C11)*IF(RAND()&lt;((D11)-(C11))/((E11)-(C11)),SQRT(RAND()*((D11)-(C11))/((E11)-(C11))),1-SQRT(RAND()*((E11)-(D11))/((E11)-(C11))))</f>
        <v>2.0303169531382836E-2</v>
      </c>
      <c r="G290" s="71">
        <f ca="1">(C12)+(E12-C12)*IF(RAND()&lt;((D12)-(C12))/((E12)-(C12)),SQRT(RAND()*((D12)-(C12))/((E12)-(C12))),1-SQRT(RAND()*((E12)-(D12))/((E12)-(C12))))</f>
        <v>0.15623933334104517</v>
      </c>
      <c r="H290" s="72">
        <f t="shared" ca="1" si="8"/>
        <v>293559603.54067892</v>
      </c>
      <c r="I290" s="73">
        <f t="shared" ca="1" si="9"/>
        <v>316.94851103762278</v>
      </c>
    </row>
    <row r="291" spans="1:9" ht="16.05" customHeight="1" x14ac:dyDescent="0.3">
      <c r="A291" s="66">
        <v>275</v>
      </c>
      <c r="B291" s="67">
        <f ca="1">(C7)+(E7-C7)*IF(RAND()&lt;((D7)-(C7))/((E7)-(C7)),SQRT(RAND()*((D7)-(C7))/((E7)-(C7))),1-SQRT(RAND()*((E7)-(D7))/((E7)-(C7))))</f>
        <v>0.21956846992452034</v>
      </c>
      <c r="C291" s="67">
        <f ca="1">(C8)+(E8-C8)*IF(RAND()&lt;((D8)-(C8))/((E8)-(C8)),SQRT(RAND()*((D8)-(C8))/((E8)-(C8))),1-SQRT(RAND()*((E8)-(D8))/((E8)-(C8))))</f>
        <v>0.72285068702123134</v>
      </c>
      <c r="D291" s="68">
        <f ca="1">(C9)+(E9-C9)*IF(RAND()&lt;((D9)-(C9))/((E9)-(C9)),SQRT(RAND()*((D9)-(C9))/((E9)-(C9))),1-SQRT(RAND()*((E9)-(D9))/((E9)-(C9))))</f>
        <v>1195028.1620520628</v>
      </c>
      <c r="E291" s="68">
        <f ca="1">(C10)+(E10-C10)*IF(RAND()&lt;((D10)-(C10))/((E10)-(C10)),SQRT(RAND()*((D10)-(C10))/((E10)-(C10))),1-SQRT(RAND()*((E10)-(D10))/((E10)-(C10))))</f>
        <v>3751447.5876328321</v>
      </c>
      <c r="F291" s="67">
        <f ca="1">(C11)+(E11-C11)*IF(RAND()&lt;((D11)-(C11))/((E11)-(C11)),SQRT(RAND()*((D11)-(C11))/((E11)-(C11))),1-SQRT(RAND()*((E11)-(D11))/((E11)-(C11))))</f>
        <v>1.4206009752037401E-2</v>
      </c>
      <c r="G291" s="67">
        <f ca="1">(C12)+(E12-C12)*IF(RAND()&lt;((D12)-(C12))/((E12)-(C12)),SQRT(RAND()*((D12)-(C12))/((E12)-(C12))),1-SQRT(RAND()*((E12)-(D12))/((E12)-(C12))))</f>
        <v>0.10449785954861718</v>
      </c>
      <c r="H291" s="68">
        <f t="shared" ca="1" si="8"/>
        <v>259793297.88806167</v>
      </c>
      <c r="I291" s="69">
        <f t="shared" ca="1" si="9"/>
        <v>288.06042031107432</v>
      </c>
    </row>
    <row r="292" spans="1:9" ht="16.05" customHeight="1" x14ac:dyDescent="0.3">
      <c r="A292" s="70">
        <v>276</v>
      </c>
      <c r="B292" s="71">
        <f ca="1">(C7)+(E7-C7)*IF(RAND()&lt;((D7)-(C7))/((E7)-(C7)),SQRT(RAND()*((D7)-(C7))/((E7)-(C7))),1-SQRT(RAND()*((E7)-(D7))/((E7)-(C7))))</f>
        <v>0.32661983278830542</v>
      </c>
      <c r="C292" s="71">
        <f ca="1">(C8)+(E8-C8)*IF(RAND()&lt;((D8)-(C8))/((E8)-(C8)),SQRT(RAND()*((D8)-(C8))/((E8)-(C8))),1-SQRT(RAND()*((E8)-(D8))/((E8)-(C8))))</f>
        <v>0.74194069806924534</v>
      </c>
      <c r="D292" s="72">
        <f ca="1">(C9)+(E9-C9)*IF(RAND()&lt;((D9)-(C9))/((E9)-(C9)),SQRT(RAND()*((D9)-(C9))/((E9)-(C9))),1-SQRT(RAND()*((E9)-(D9))/((E9)-(C9))))</f>
        <v>1332527.0496632513</v>
      </c>
      <c r="E292" s="72">
        <f ca="1">(C10)+(E10-C10)*IF(RAND()&lt;((D10)-(C10))/((E10)-(C10)),SQRT(RAND()*((D10)-(C10))/((E10)-(C10))),1-SQRT(RAND()*((E10)-(D10))/((E10)-(C10))))</f>
        <v>4251241.0669147652</v>
      </c>
      <c r="F292" s="71">
        <f ca="1">(C11)+(E11-C11)*IF(RAND()&lt;((D11)-(C11))/((E11)-(C11)),SQRT(RAND()*((D11)-(C11))/((E11)-(C11))),1-SQRT(RAND()*((E11)-(D11))/((E11)-(C11))))</f>
        <v>1.6806004445155585E-2</v>
      </c>
      <c r="G292" s="71">
        <f ca="1">(C12)+(E12-C12)*IF(RAND()&lt;((D12)-(C12))/((E12)-(C12)),SQRT(RAND()*((D12)-(C12))/((E12)-(C12))),1-SQRT(RAND()*((E12)-(D12))/((E12)-(C12))))</f>
        <v>0.1059067947061435</v>
      </c>
      <c r="H292" s="72">
        <f t="shared" ca="1" si="8"/>
        <v>367499017.58279574</v>
      </c>
      <c r="I292" s="73">
        <f t="shared" ca="1" si="9"/>
        <v>365.08389205406985</v>
      </c>
    </row>
    <row r="293" spans="1:9" ht="16.05" customHeight="1" x14ac:dyDescent="0.3">
      <c r="A293" s="66">
        <v>277</v>
      </c>
      <c r="B293" s="67">
        <f ca="1">(C7)+(E7-C7)*IF(RAND()&lt;((D7)-(C7))/((E7)-(C7)),SQRT(RAND()*((D7)-(C7))/((E7)-(C7))),1-SQRT(RAND()*((E7)-(D7))/((E7)-(C7))))</f>
        <v>0.23698045090813261</v>
      </c>
      <c r="C293" s="67">
        <f ca="1">(C8)+(E8-C8)*IF(RAND()&lt;((D8)-(C8))/((E8)-(C8)),SQRT(RAND()*((D8)-(C8))/((E8)-(C8))),1-SQRT(RAND()*((E8)-(D8))/((E8)-(C8))))</f>
        <v>0.7037013662079471</v>
      </c>
      <c r="D293" s="68">
        <f ca="1">(C9)+(E9-C9)*IF(RAND()&lt;((D9)-(C9))/((E9)-(C9)),SQRT(RAND()*((D9)-(C9))/((E9)-(C9))),1-SQRT(RAND()*((E9)-(D9))/((E9)-(C9))))</f>
        <v>1328484.6044677175</v>
      </c>
      <c r="E293" s="68">
        <f ca="1">(C10)+(E10-C10)*IF(RAND()&lt;((D10)-(C10))/((E10)-(C10)),SQRT(RAND()*((D10)-(C10))/((E10)-(C10))),1-SQRT(RAND()*((E10)-(D10))/((E10)-(C10))))</f>
        <v>4106443.7446275069</v>
      </c>
      <c r="F293" s="67">
        <f ca="1">(C11)+(E11-C11)*IF(RAND()&lt;((D11)-(C11))/((E11)-(C11)),SQRT(RAND()*((D11)-(C11))/((E11)-(C11))),1-SQRT(RAND()*((E11)-(D11))/((E11)-(C11))))</f>
        <v>1.5765009807305094E-2</v>
      </c>
      <c r="G293" s="67">
        <f ca="1">(C12)+(E12-C12)*IF(RAND()&lt;((D12)-(C12))/((E12)-(C12)),SQRT(RAND()*((D12)-(C12))/((E12)-(C12))),1-SQRT(RAND()*((E12)-(D12))/((E12)-(C12))))</f>
        <v>0.14499688455428172</v>
      </c>
      <c r="H293" s="68">
        <f t="shared" ca="1" si="8"/>
        <v>278322593.77174103</v>
      </c>
      <c r="I293" s="69">
        <f t="shared" ca="1" si="9"/>
        <v>277.65188143349076</v>
      </c>
    </row>
    <row r="294" spans="1:9" ht="16.05" customHeight="1" x14ac:dyDescent="0.3">
      <c r="A294" s="70">
        <v>278</v>
      </c>
      <c r="B294" s="71">
        <f ca="1">(C7)+(E7-C7)*IF(RAND()&lt;((D7)-(C7))/((E7)-(C7)),SQRT(RAND()*((D7)-(C7))/((E7)-(C7))),1-SQRT(RAND()*((E7)-(D7))/((E7)-(C7))))</f>
        <v>0.23061956340847878</v>
      </c>
      <c r="C294" s="71">
        <f ca="1">(C8)+(E8-C8)*IF(RAND()&lt;((D8)-(C8))/((E8)-(C8)),SQRT(RAND()*((D8)-(C8))/((E8)-(C8))),1-SQRT(RAND()*((E8)-(D8))/((E8)-(C8))))</f>
        <v>0.74260101452898875</v>
      </c>
      <c r="D294" s="72">
        <f ca="1">(C9)+(E9-C9)*IF(RAND()&lt;((D9)-(C9))/((E9)-(C9)),SQRT(RAND()*((D9)-(C9))/((E9)-(C9))),1-SQRT(RAND()*((E9)-(D9))/((E9)-(C9))))</f>
        <v>1328650.1934656389</v>
      </c>
      <c r="E294" s="72">
        <f ca="1">(C10)+(E10-C10)*IF(RAND()&lt;((D10)-(C10))/((E10)-(C10)),SQRT(RAND()*((D10)-(C10))/((E10)-(C10))),1-SQRT(RAND()*((E10)-(D10))/((E10)-(C10))))</f>
        <v>3038991.4049229049</v>
      </c>
      <c r="F294" s="71">
        <f ca="1">(C11)+(E11-C11)*IF(RAND()&lt;((D11)-(C11))/((E11)-(C11)),SQRT(RAND()*((D11)-(C11))/((E11)-(C11))),1-SQRT(RAND()*((E11)-(D11))/((E11)-(C11))))</f>
        <v>1.3373229850343879E-2</v>
      </c>
      <c r="G294" s="71">
        <f ca="1">(C12)+(E12-C12)*IF(RAND()&lt;((D12)-(C12))/((E12)-(C12)),SQRT(RAND()*((D12)-(C12))/((E12)-(C12))),1-SQRT(RAND()*((E12)-(D12))/((E12)-(C12))))</f>
        <v>0.13785112511306533</v>
      </c>
      <c r="H294" s="72">
        <f t="shared" ca="1" si="8"/>
        <v>269996065.86850226</v>
      </c>
      <c r="I294" s="73">
        <f t="shared" ca="1" si="9"/>
        <v>269.35147011043478</v>
      </c>
    </row>
    <row r="295" spans="1:9" ht="16.05" customHeight="1" x14ac:dyDescent="0.3">
      <c r="A295" s="66">
        <v>279</v>
      </c>
      <c r="B295" s="67">
        <f ca="1">(C7)+(E7-C7)*IF(RAND()&lt;((D7)-(C7))/((E7)-(C7)),SQRT(RAND()*((D7)-(C7))/((E7)-(C7))),1-SQRT(RAND()*((E7)-(D7))/((E7)-(C7))))</f>
        <v>0.36922080065402274</v>
      </c>
      <c r="C295" s="67">
        <f ca="1">(C8)+(E8-C8)*IF(RAND()&lt;((D8)-(C8))/((E8)-(C8)),SQRT(RAND()*((D8)-(C8))/((E8)-(C8))),1-SQRT(RAND()*((E8)-(D8))/((E8)-(C8))))</f>
        <v>0.64345993418821379</v>
      </c>
      <c r="D295" s="68">
        <f ca="1">(C9)+(E9-C9)*IF(RAND()&lt;((D9)-(C9))/((E9)-(C9)),SQRT(RAND()*((D9)-(C9))/((E9)-(C9))),1-SQRT(RAND()*((E9)-(D9))/((E9)-(C9))))</f>
        <v>1300691.5196252542</v>
      </c>
      <c r="E295" s="68">
        <f ca="1">(C10)+(E10-C10)*IF(RAND()&lt;((D10)-(C10))/((E10)-(C10)),SQRT(RAND()*((D10)-(C10))/((E10)-(C10))),1-SQRT(RAND()*((E10)-(D10))/((E10)-(C10))))</f>
        <v>4065310.2204406075</v>
      </c>
      <c r="F295" s="67">
        <f ca="1">(C11)+(E11-C11)*IF(RAND()&lt;((D11)-(C11))/((E11)-(C11)),SQRT(RAND()*((D11)-(C11))/((E11)-(C11))),1-SQRT(RAND()*((E11)-(D11))/((E11)-(C11))))</f>
        <v>7.9175192762008691E-3</v>
      </c>
      <c r="G295" s="67">
        <f ca="1">(C12)+(E12-C12)*IF(RAND()&lt;((D12)-(C12))/((E12)-(C12)),SQRT(RAND()*((D12)-(C12))/((E12)-(C12))),1-SQRT(RAND()*((E12)-(D12))/((E12)-(C12))))</f>
        <v>0.13765879855917276</v>
      </c>
      <c r="H295" s="68">
        <f t="shared" ca="1" si="8"/>
        <v>298909756.17917502</v>
      </c>
      <c r="I295" s="69">
        <f t="shared" ca="1" si="9"/>
        <v>304.43329035474585</v>
      </c>
    </row>
    <row r="296" spans="1:9" ht="16.05" customHeight="1" x14ac:dyDescent="0.3">
      <c r="A296" s="70">
        <v>280</v>
      </c>
      <c r="B296" s="71">
        <f ca="1">(C7)+(E7-C7)*IF(RAND()&lt;((D7)-(C7))/((E7)-(C7)),SQRT(RAND()*((D7)-(C7))/((E7)-(C7))),1-SQRT(RAND()*((E7)-(D7))/((E7)-(C7))))</f>
        <v>0.25396343202572247</v>
      </c>
      <c r="C296" s="71">
        <f ca="1">(C8)+(E8-C8)*IF(RAND()&lt;((D8)-(C8))/((E8)-(C8)),SQRT(RAND()*((D8)-(C8))/((E8)-(C8))),1-SQRT(RAND()*((E8)-(D8))/((E8)-(C8))))</f>
        <v>0.73600941407965692</v>
      </c>
      <c r="D296" s="72">
        <f ca="1">(C9)+(E9-C9)*IF(RAND()&lt;((D9)-(C9))/((E9)-(C9)),SQRT(RAND()*((D9)-(C9))/((E9)-(C9))),1-SQRT(RAND()*((E9)-(D9))/((E9)-(C9))))</f>
        <v>1337733.1075680347</v>
      </c>
      <c r="E296" s="72">
        <f ca="1">(C10)+(E10-C10)*IF(RAND()&lt;((D10)-(C10))/((E10)-(C10)),SQRT(RAND()*((D10)-(C10))/((E10)-(C10))),1-SQRT(RAND()*((E10)-(D10))/((E10)-(C10))))</f>
        <v>3550500.2970514772</v>
      </c>
      <c r="F296" s="71">
        <f ca="1">(C11)+(E11-C11)*IF(RAND()&lt;((D11)-(C11))/((E11)-(C11)),SQRT(RAND()*((D11)-(C11))/((E11)-(C11))),1-SQRT(RAND()*((E11)-(D11))/((E11)-(C11))))</f>
        <v>1.5189005226438746E-2</v>
      </c>
      <c r="G296" s="71">
        <f ca="1">(C12)+(E12-C12)*IF(RAND()&lt;((D12)-(C12))/((E12)-(C12)),SQRT(RAND()*((D12)-(C12))/((E12)-(C12))),1-SQRT(RAND()*((E12)-(D12))/((E12)-(C12))))</f>
        <v>0.1272761802499667</v>
      </c>
      <c r="H296" s="72">
        <f t="shared" ca="1" si="8"/>
        <v>298192252.01008081</v>
      </c>
      <c r="I296" s="73">
        <f t="shared" ca="1" si="9"/>
        <v>295.33266033974087</v>
      </c>
    </row>
    <row r="297" spans="1:9" ht="16.05" customHeight="1" x14ac:dyDescent="0.3">
      <c r="A297" s="66">
        <v>281</v>
      </c>
      <c r="B297" s="67">
        <f ca="1">(C7)+(E7-C7)*IF(RAND()&lt;((D7)-(C7))/((E7)-(C7)),SQRT(RAND()*((D7)-(C7))/((E7)-(C7))),1-SQRT(RAND()*((E7)-(D7))/((E7)-(C7))))</f>
        <v>0.29358878839920777</v>
      </c>
      <c r="C297" s="67">
        <f ca="1">(C8)+(E8-C8)*IF(RAND()&lt;((D8)-(C8))/((E8)-(C8)),SQRT(RAND()*((D8)-(C8))/((E8)-(C8))),1-SQRT(RAND()*((E8)-(D8))/((E8)-(C8))))</f>
        <v>0.6885474735417616</v>
      </c>
      <c r="D297" s="68">
        <f ca="1">(C9)+(E9-C9)*IF(RAND()&lt;((D9)-(C9))/((E9)-(C9)),SQRT(RAND()*((D9)-(C9))/((E9)-(C9))),1-SQRT(RAND()*((E9)-(D9))/((E9)-(C9))))</f>
        <v>1146015.5954926021</v>
      </c>
      <c r="E297" s="68">
        <f ca="1">(C10)+(E10-C10)*IF(RAND()&lt;((D10)-(C10))/((E10)-(C10)),SQRT(RAND()*((D10)-(C10))/((E10)-(C10))),1-SQRT(RAND()*((E10)-(D10))/((E10)-(C10))))</f>
        <v>3593288.4028641968</v>
      </c>
      <c r="F297" s="67">
        <f ca="1">(C11)+(E11-C11)*IF(RAND()&lt;((D11)-(C11))/((E11)-(C11)),SQRT(RAND()*((D11)-(C11))/((E11)-(C11))),1-SQRT(RAND()*((E11)-(D11))/((E11)-(C11))))</f>
        <v>3.1685113814895953E-3</v>
      </c>
      <c r="G297" s="67">
        <f ca="1">(C12)+(E12-C12)*IF(RAND()&lt;((D12)-(C12))/((E12)-(C12)),SQRT(RAND()*((D12)-(C12))/((E12)-(C12))),1-SQRT(RAND()*((E12)-(D12))/((E12)-(C12))))</f>
        <v>0.13858658385929784</v>
      </c>
      <c r="H297" s="68">
        <f t="shared" ca="1" si="8"/>
        <v>228031893.90701804</v>
      </c>
      <c r="I297" s="69">
        <f t="shared" ca="1" si="9"/>
        <v>263.76846623357613</v>
      </c>
    </row>
    <row r="298" spans="1:9" ht="16.05" customHeight="1" x14ac:dyDescent="0.3">
      <c r="A298" s="70">
        <v>282</v>
      </c>
      <c r="B298" s="71">
        <f ca="1">(C7)+(E7-C7)*IF(RAND()&lt;((D7)-(C7))/((E7)-(C7)),SQRT(RAND()*((D7)-(C7))/((E7)-(C7))),1-SQRT(RAND()*((E7)-(D7))/((E7)-(C7))))</f>
        <v>0.24777956026195097</v>
      </c>
      <c r="C298" s="71">
        <f ca="1">(C8)+(E8-C8)*IF(RAND()&lt;((D8)-(C8))/((E8)-(C8)),SQRT(RAND()*((D8)-(C8))/((E8)-(C8))),1-SQRT(RAND()*((E8)-(D8))/((E8)-(C8))))</f>
        <v>0.58061513237069806</v>
      </c>
      <c r="D298" s="72">
        <f ca="1">(C9)+(E9-C9)*IF(RAND()&lt;((D9)-(C9))/((E9)-(C9)),SQRT(RAND()*((D9)-(C9))/((E9)-(C9))),1-SQRT(RAND()*((E9)-(D9))/((E9)-(C9))))</f>
        <v>1352056.9303411448</v>
      </c>
      <c r="E298" s="72">
        <f ca="1">(C10)+(E10-C10)*IF(RAND()&lt;((D10)-(C10))/((E10)-(C10)),SQRT(RAND()*((D10)-(C10))/((E10)-(C10))),1-SQRT(RAND()*((E10)-(D10))/((E10)-(C10))))</f>
        <v>2994822.6635449552</v>
      </c>
      <c r="F298" s="71">
        <f ca="1">(C11)+(E11-C11)*IF(RAND()&lt;((D11)-(C11))/((E11)-(C11)),SQRT(RAND()*((D11)-(C11))/((E11)-(C11))),1-SQRT(RAND()*((E11)-(D11))/((E11)-(C11))))</f>
        <v>2.5339720712549405E-2</v>
      </c>
      <c r="G298" s="71">
        <f ca="1">(C12)+(E12-C12)*IF(RAND()&lt;((D12)-(C12))/((E12)-(C12)),SQRT(RAND()*((D12)-(C12))/((E12)-(C12))),1-SQRT(RAND()*((E12)-(D12))/((E12)-(C12))))</f>
        <v>0.12798799686992646</v>
      </c>
      <c r="H298" s="72">
        <f t="shared" ca="1" si="8"/>
        <v>326706932.32973975</v>
      </c>
      <c r="I298" s="73">
        <f t="shared" ca="1" si="9"/>
        <v>320.03509976848409</v>
      </c>
    </row>
    <row r="299" spans="1:9" ht="16.05" customHeight="1" x14ac:dyDescent="0.3">
      <c r="A299" s="66">
        <v>283</v>
      </c>
      <c r="B299" s="67">
        <f ca="1">(C7)+(E7-C7)*IF(RAND()&lt;((D7)-(C7))/((E7)-(C7)),SQRT(RAND()*((D7)-(C7))/((E7)-(C7))),1-SQRT(RAND()*((E7)-(D7))/((E7)-(C7))))</f>
        <v>0.23702468047623398</v>
      </c>
      <c r="C299" s="67">
        <f ca="1">(C8)+(E8-C8)*IF(RAND()&lt;((D8)-(C8))/((E8)-(C8)),SQRT(RAND()*((D8)-(C8))/((E8)-(C8))),1-SQRT(RAND()*((E8)-(D8))/((E8)-(C8))))</f>
        <v>0.63265628772912064</v>
      </c>
      <c r="D299" s="68">
        <f ca="1">(C9)+(E9-C9)*IF(RAND()&lt;((D9)-(C9))/((E9)-(C9)),SQRT(RAND()*((D9)-(C9))/((E9)-(C9))),1-SQRT(RAND()*((E9)-(D9))/((E9)-(C9))))</f>
        <v>1235136.8743451184</v>
      </c>
      <c r="E299" s="68">
        <f ca="1">(C10)+(E10-C10)*IF(RAND()&lt;((D10)-(C10))/((E10)-(C10)),SQRT(RAND()*((D10)-(C10))/((E10)-(C10))),1-SQRT(RAND()*((E10)-(D10))/((E10)-(C10))))</f>
        <v>3676071.1146796057</v>
      </c>
      <c r="F299" s="67">
        <f ca="1">(C11)+(E11-C11)*IF(RAND()&lt;((D11)-(C11))/((E11)-(C11)),SQRT(RAND()*((D11)-(C11))/((E11)-(C11))),1-SQRT(RAND()*((E11)-(D11))/((E11)-(C11))))</f>
        <v>2.0607290227491415E-2</v>
      </c>
      <c r="G299" s="67">
        <f ca="1">(C12)+(E12-C12)*IF(RAND()&lt;((D12)-(C12))/((E12)-(C12)),SQRT(RAND()*((D12)-(C12))/((E12)-(C12))),1-SQRT(RAND()*((E12)-(D12))/((E12)-(C12))))</f>
        <v>0.17504382034187227</v>
      </c>
      <c r="H299" s="68">
        <f t="shared" ca="1" si="8"/>
        <v>296710615.18098938</v>
      </c>
      <c r="I299" s="69">
        <f t="shared" ca="1" si="9"/>
        <v>318.17258652959458</v>
      </c>
    </row>
    <row r="300" spans="1:9" ht="16.05" customHeight="1" x14ac:dyDescent="0.3">
      <c r="A300" s="70">
        <v>284</v>
      </c>
      <c r="B300" s="71">
        <f ca="1">(C7)+(E7-C7)*IF(RAND()&lt;((D7)-(C7))/((E7)-(C7)),SQRT(RAND()*((D7)-(C7))/((E7)-(C7))),1-SQRT(RAND()*((E7)-(D7))/((E7)-(C7))))</f>
        <v>0.29668671900475463</v>
      </c>
      <c r="C300" s="71">
        <f ca="1">(C8)+(E8-C8)*IF(RAND()&lt;((D8)-(C8))/((E8)-(C8)),SQRT(RAND()*((D8)-(C8))/((E8)-(C8))),1-SQRT(RAND()*((E8)-(D8))/((E8)-(C8))))</f>
        <v>0.75758995572598353</v>
      </c>
      <c r="D300" s="72">
        <f ca="1">(C9)+(E9-C9)*IF(RAND()&lt;((D9)-(C9))/((E9)-(C9)),SQRT(RAND()*((D9)-(C9))/((E9)-(C9))),1-SQRT(RAND()*((E9)-(D9))/((E9)-(C9))))</f>
        <v>1479779.3383091411</v>
      </c>
      <c r="E300" s="72">
        <f ca="1">(C10)+(E10-C10)*IF(RAND()&lt;((D10)-(C10))/((E10)-(C10)),SQRT(RAND()*((D10)-(C10))/((E10)-(C10))),1-SQRT(RAND()*((E10)-(D10))/((E10)-(C10))))</f>
        <v>3220385.8508851924</v>
      </c>
      <c r="F300" s="71">
        <f ca="1">(C11)+(E11-C11)*IF(RAND()&lt;((D11)-(C11))/((E11)-(C11)),SQRT(RAND()*((D11)-(C11))/((E11)-(C11))),1-SQRT(RAND()*((E11)-(D11))/((E11)-(C11))))</f>
        <v>1.0263451458860488E-2</v>
      </c>
      <c r="G300" s="71">
        <f ca="1">(C12)+(E12-C12)*IF(RAND()&lt;((D12)-(C12))/((E12)-(C12)),SQRT(RAND()*((D12)-(C12))/((E12)-(C12))),1-SQRT(RAND()*((E12)-(D12))/((E12)-(C12))))</f>
        <v>0.1480004832855677</v>
      </c>
      <c r="H300" s="72">
        <f t="shared" ca="1" si="8"/>
        <v>304926936.75223428</v>
      </c>
      <c r="I300" s="73">
        <f t="shared" ca="1" si="9"/>
        <v>273.11274630863244</v>
      </c>
    </row>
    <row r="301" spans="1:9" ht="16.05" customHeight="1" x14ac:dyDescent="0.3">
      <c r="A301" s="66">
        <v>285</v>
      </c>
      <c r="B301" s="67">
        <f ca="1">(C7)+(E7-C7)*IF(RAND()&lt;((D7)-(C7))/((E7)-(C7)),SQRT(RAND()*((D7)-(C7))/((E7)-(C7))),1-SQRT(RAND()*((E7)-(D7))/((E7)-(C7))))</f>
        <v>0.3056438552704262</v>
      </c>
      <c r="C301" s="67">
        <f ca="1">(C8)+(E8-C8)*IF(RAND()&lt;((D8)-(C8))/((E8)-(C8)),SQRT(RAND()*((D8)-(C8))/((E8)-(C8))),1-SQRT(RAND()*((E8)-(D8))/((E8)-(C8))))</f>
        <v>0.75552165040180919</v>
      </c>
      <c r="D301" s="68">
        <f ca="1">(C9)+(E9-C9)*IF(RAND()&lt;((D9)-(C9))/((E9)-(C9)),SQRT(RAND()*((D9)-(C9))/((E9)-(C9))),1-SQRT(RAND()*((E9)-(D9))/((E9)-(C9))))</f>
        <v>1193377.0731878004</v>
      </c>
      <c r="E301" s="68">
        <f ca="1">(C10)+(E10-C10)*IF(RAND()&lt;((D10)-(C10))/((E10)-(C10)),SQRT(RAND()*((D10)-(C10))/((E10)-(C10))),1-SQRT(RAND()*((E10)-(D10))/((E10)-(C10))))</f>
        <v>4968721.435670564</v>
      </c>
      <c r="F301" s="67">
        <f ca="1">(C11)+(E11-C11)*IF(RAND()&lt;((D11)-(C11))/((E11)-(C11)),SQRT(RAND()*((D11)-(C11))/((E11)-(C11))),1-SQRT(RAND()*((E11)-(D11))/((E11)-(C11))))</f>
        <v>1.3106485356161816E-2</v>
      </c>
      <c r="G301" s="67">
        <f ca="1">(C12)+(E12-C12)*IF(RAND()&lt;((D12)-(C12))/((E12)-(C12)),SQRT(RAND()*((D12)-(C12))/((E12)-(C12))),1-SQRT(RAND()*((E12)-(D12))/((E12)-(C12))))</f>
        <v>0.1371098351942327</v>
      </c>
      <c r="H301" s="68">
        <f t="shared" ca="1" si="8"/>
        <v>325800740.77703446</v>
      </c>
      <c r="I301" s="69">
        <f t="shared" ca="1" si="9"/>
        <v>361.41227471869655</v>
      </c>
    </row>
    <row r="302" spans="1:9" ht="16.05" customHeight="1" x14ac:dyDescent="0.3">
      <c r="A302" s="70">
        <v>286</v>
      </c>
      <c r="B302" s="71">
        <f ca="1">(C7)+(E7-C7)*IF(RAND()&lt;((D7)-(C7))/((E7)-(C7)),SQRT(RAND()*((D7)-(C7))/((E7)-(C7))),1-SQRT(RAND()*((E7)-(D7))/((E7)-(C7))))</f>
        <v>0.35382709145417773</v>
      </c>
      <c r="C302" s="71">
        <f ca="1">(C8)+(E8-C8)*IF(RAND()&lt;((D8)-(C8))/((E8)-(C8)),SQRT(RAND()*((D8)-(C8))/((E8)-(C8))),1-SQRT(RAND()*((E8)-(D8))/((E8)-(C8))))</f>
        <v>0.76227392384023906</v>
      </c>
      <c r="D302" s="72">
        <f ca="1">(C9)+(E9-C9)*IF(RAND()&lt;((D9)-(C9))/((E9)-(C9)),SQRT(RAND()*((D9)-(C9))/((E9)-(C9))),1-SQRT(RAND()*((E9)-(D9))/((E9)-(C9))))</f>
        <v>1357254.9207630102</v>
      </c>
      <c r="E302" s="72">
        <f ca="1">(C10)+(E10-C10)*IF(RAND()&lt;((D10)-(C10))/((E10)-(C10)),SQRT(RAND()*((D10)-(C10))/((E10)-(C10))),1-SQRT(RAND()*((E10)-(D10))/((E10)-(C10))))</f>
        <v>3850704.8942423351</v>
      </c>
      <c r="F302" s="71">
        <f ca="1">(C11)+(E11-C11)*IF(RAND()&lt;((D11)-(C11))/((E11)-(C11)),SQRT(RAND()*((D11)-(C11))/((E11)-(C11))),1-SQRT(RAND()*((E11)-(D11))/((E11)-(C11))))</f>
        <v>1.4979864063913865E-2</v>
      </c>
      <c r="G302" s="71">
        <f ca="1">(C12)+(E12-C12)*IF(RAND()&lt;((D12)-(C12))/((E12)-(C12)),SQRT(RAND()*((D12)-(C12))/((E12)-(C12))),1-SQRT(RAND()*((E12)-(D12))/((E12)-(C12))))</f>
        <v>0.12996049896592424</v>
      </c>
      <c r="H302" s="72">
        <f t="shared" ca="1" si="8"/>
        <v>385601083.10170066</v>
      </c>
      <c r="I302" s="73">
        <f t="shared" ca="1" si="9"/>
        <v>376.04812913649886</v>
      </c>
    </row>
    <row r="303" spans="1:9" ht="16.05" customHeight="1" x14ac:dyDescent="0.3">
      <c r="A303" s="66">
        <v>287</v>
      </c>
      <c r="B303" s="67">
        <f ca="1">(C7)+(E7-C7)*IF(RAND()&lt;((D7)-(C7))/((E7)-(C7)),SQRT(RAND()*((D7)-(C7))/((E7)-(C7))),1-SQRT(RAND()*((E7)-(D7))/((E7)-(C7))))</f>
        <v>0.29138770244240825</v>
      </c>
      <c r="C303" s="67">
        <f ca="1">(C8)+(E8-C8)*IF(RAND()&lt;((D8)-(C8))/((E8)-(C8)),SQRT(RAND()*((D8)-(C8))/((E8)-(C8))),1-SQRT(RAND()*((E8)-(D8))/((E8)-(C8))))</f>
        <v>0.68945199425814041</v>
      </c>
      <c r="D303" s="68">
        <f ca="1">(C9)+(E9-C9)*IF(RAND()&lt;((D9)-(C9))/((E9)-(C9)),SQRT(RAND()*((D9)-(C9))/((E9)-(C9))),1-SQRT(RAND()*((E9)-(D9))/((E9)-(C9))))</f>
        <v>1381102.8855391133</v>
      </c>
      <c r="E303" s="68">
        <f ca="1">(C10)+(E10-C10)*IF(RAND()&lt;((D10)-(C10))/((E10)-(C10)),SQRT(RAND()*((D10)-(C10))/((E10)-(C10))),1-SQRT(RAND()*((E10)-(D10))/((E10)-(C10))))</f>
        <v>3345514.763006065</v>
      </c>
      <c r="F303" s="67">
        <f ca="1">(C11)+(E11-C11)*IF(RAND()&lt;((D11)-(C11))/((E11)-(C11)),SQRT(RAND()*((D11)-(C11))/((E11)-(C11))),1-SQRT(RAND()*((E11)-(D11))/((E11)-(C11))))</f>
        <v>9.5386701580594934E-3</v>
      </c>
      <c r="G303" s="67">
        <f ca="1">(C12)+(E12-C12)*IF(RAND()&lt;((D12)-(C12))/((E12)-(C12)),SQRT(RAND()*((D12)-(C12))/((E12)-(C12))),1-SQRT(RAND()*((E12)-(D12))/((E12)-(C12))))</f>
        <v>0.17636935770956591</v>
      </c>
      <c r="H303" s="68">
        <f t="shared" ca="1" si="8"/>
        <v>273351585.77318382</v>
      </c>
      <c r="I303" s="69">
        <f t="shared" ca="1" si="9"/>
        <v>262.37651053725824</v>
      </c>
    </row>
    <row r="304" spans="1:9" ht="16.05" customHeight="1" x14ac:dyDescent="0.3">
      <c r="A304" s="70">
        <v>288</v>
      </c>
      <c r="B304" s="71">
        <f ca="1">(C7)+(E7-C7)*IF(RAND()&lt;((D7)-(C7))/((E7)-(C7)),SQRT(RAND()*((D7)-(C7))/((E7)-(C7))),1-SQRT(RAND()*((E7)-(D7))/((E7)-(C7))))</f>
        <v>0.27595646043824495</v>
      </c>
      <c r="C304" s="71">
        <f ca="1">(C8)+(E8-C8)*IF(RAND()&lt;((D8)-(C8))/((E8)-(C8)),SQRT(RAND()*((D8)-(C8))/((E8)-(C8))),1-SQRT(RAND()*((E8)-(D8))/((E8)-(C8))))</f>
        <v>0.74559011293652266</v>
      </c>
      <c r="D304" s="72">
        <f ca="1">(C9)+(E9-C9)*IF(RAND()&lt;((D9)-(C9))/((E9)-(C9)),SQRT(RAND()*((D9)-(C9))/((E9)-(C9))),1-SQRT(RAND()*((E9)-(D9))/((E9)-(C9))))</f>
        <v>1330665.9487072369</v>
      </c>
      <c r="E304" s="72">
        <f ca="1">(C10)+(E10-C10)*IF(RAND()&lt;((D10)-(C10))/((E10)-(C10)),SQRT(RAND()*((D10)-(C10))/((E10)-(C10))),1-SQRT(RAND()*((E10)-(D10))/((E10)-(C10))))</f>
        <v>2879892.6607917994</v>
      </c>
      <c r="F304" s="71">
        <f ca="1">(C11)+(E11-C11)*IF(RAND()&lt;((D11)-(C11))/((E11)-(C11)),SQRT(RAND()*((D11)-(C11))/((E11)-(C11))),1-SQRT(RAND()*((E11)-(D11))/((E11)-(C11))))</f>
        <v>1.6398396894959217E-2</v>
      </c>
      <c r="G304" s="71">
        <f ca="1">(C12)+(E12-C12)*IF(RAND()&lt;((D12)-(C12))/((E12)-(C12)),SQRT(RAND()*((D12)-(C12))/((E12)-(C12))),1-SQRT(RAND()*((E12)-(D12))/((E12)-(C12))))</f>
        <v>0.17518916592089784</v>
      </c>
      <c r="H304" s="72">
        <f t="shared" ca="1" si="8"/>
        <v>329957646.60259807</v>
      </c>
      <c r="I304" s="73">
        <f t="shared" ca="1" si="9"/>
        <v>328.38077187095757</v>
      </c>
    </row>
    <row r="305" spans="1:9" ht="16.05" customHeight="1" x14ac:dyDescent="0.3">
      <c r="A305" s="66">
        <v>289</v>
      </c>
      <c r="B305" s="67">
        <f ca="1">(C7)+(E7-C7)*IF(RAND()&lt;((D7)-(C7))/((E7)-(C7)),SQRT(RAND()*((D7)-(C7))/((E7)-(C7))),1-SQRT(RAND()*((E7)-(D7))/((E7)-(C7))))</f>
        <v>0.2901459507871112</v>
      </c>
      <c r="C305" s="67">
        <f ca="1">(C8)+(E8-C8)*IF(RAND()&lt;((D8)-(C8))/((E8)-(C8)),SQRT(RAND()*((D8)-(C8))/((E8)-(C8))),1-SQRT(RAND()*((E8)-(D8))/((E8)-(C8))))</f>
        <v>0.80326882601227934</v>
      </c>
      <c r="D305" s="68">
        <f ca="1">(C9)+(E9-C9)*IF(RAND()&lt;((D9)-(C9))/((E9)-(C9)),SQRT(RAND()*((D9)-(C9))/((E9)-(C9))),1-SQRT(RAND()*((E9)-(D9))/((E9)-(C9))))</f>
        <v>1479059.0644204179</v>
      </c>
      <c r="E305" s="68">
        <f ca="1">(C10)+(E10-C10)*IF(RAND()&lt;((D10)-(C10))/((E10)-(C10)),SQRT(RAND()*((D10)-(C10))/((E10)-(C10))),1-SQRT(RAND()*((E10)-(D10))/((E10)-(C10))))</f>
        <v>3933647.304863113</v>
      </c>
      <c r="F305" s="67">
        <f ca="1">(C11)+(E11-C11)*IF(RAND()&lt;((D11)-(C11))/((E11)-(C11)),SQRT(RAND()*((D11)-(C11))/((E11)-(C11))),1-SQRT(RAND()*((E11)-(D11))/((E11)-(C11))))</f>
        <v>8.3043228543982599E-3</v>
      </c>
      <c r="G305" s="67">
        <f ca="1">(C12)+(E12-C12)*IF(RAND()&lt;((D12)-(C12))/((E12)-(C12)),SQRT(RAND()*((D12)-(C12))/((E12)-(C12))),1-SQRT(RAND()*((E12)-(D12))/((E12)-(C12))))</f>
        <v>0.17438954603738924</v>
      </c>
      <c r="H305" s="68">
        <f t="shared" ca="1" si="8"/>
        <v>297111718.93129307</v>
      </c>
      <c r="I305" s="69">
        <f t="shared" ca="1" si="9"/>
        <v>266.27569148050884</v>
      </c>
    </row>
    <row r="306" spans="1:9" ht="16.05" customHeight="1" x14ac:dyDescent="0.3">
      <c r="A306" s="70">
        <v>290</v>
      </c>
      <c r="B306" s="71">
        <f ca="1">(C7)+(E7-C7)*IF(RAND()&lt;((D7)-(C7))/((E7)-(C7)),SQRT(RAND()*((D7)-(C7))/((E7)-(C7))),1-SQRT(RAND()*((E7)-(D7))/((E7)-(C7))))</f>
        <v>0.27415228715908124</v>
      </c>
      <c r="C306" s="71">
        <f ca="1">(C8)+(E8-C8)*IF(RAND()&lt;((D8)-(C8))/((E8)-(C8)),SQRT(RAND()*((D8)-(C8))/((E8)-(C8))),1-SQRT(RAND()*((E8)-(D8))/((E8)-(C8))))</f>
        <v>0.68759865281286936</v>
      </c>
      <c r="D306" s="72">
        <f ca="1">(C9)+(E9-C9)*IF(RAND()&lt;((D9)-(C9))/((E9)-(C9)),SQRT(RAND()*((D9)-(C9))/((E9)-(C9))),1-SQRT(RAND()*((E9)-(D9))/((E9)-(C9))))</f>
        <v>1155828.4061872978</v>
      </c>
      <c r="E306" s="72">
        <f ca="1">(C10)+(E10-C10)*IF(RAND()&lt;((D10)-(C10))/((E10)-(C10)),SQRT(RAND()*((D10)-(C10))/((E10)-(C10))),1-SQRT(RAND()*((E10)-(D10))/((E10)-(C10))))</f>
        <v>2637225.3843531385</v>
      </c>
      <c r="F306" s="71">
        <f ca="1">(C11)+(E11-C11)*IF(RAND()&lt;((D11)-(C11))/((E11)-(C11)),SQRT(RAND()*((D11)-(C11))/((E11)-(C11))),1-SQRT(RAND()*((E11)-(D11))/((E11)-(C11))))</f>
        <v>2.105863418197149E-2</v>
      </c>
      <c r="G306" s="71">
        <f ca="1">(C12)+(E12-C12)*IF(RAND()&lt;((D12)-(C12))/((E12)-(C12)),SQRT(RAND()*((D12)-(C12))/((E12)-(C12))),1-SQRT(RAND()*((E12)-(D12))/((E12)-(C12))))</f>
        <v>0.13541854883186011</v>
      </c>
      <c r="H306" s="72">
        <f t="shared" ca="1" si="8"/>
        <v>345928037.42154062</v>
      </c>
      <c r="I306" s="73">
        <f t="shared" ca="1" si="9"/>
        <v>396.07890297437035</v>
      </c>
    </row>
    <row r="307" spans="1:9" ht="16.05" customHeight="1" x14ac:dyDescent="0.3">
      <c r="A307" s="66">
        <v>291</v>
      </c>
      <c r="B307" s="67">
        <f ca="1">(C7)+(E7-C7)*IF(RAND()&lt;((D7)-(C7))/((E7)-(C7)),SQRT(RAND()*((D7)-(C7))/((E7)-(C7))),1-SQRT(RAND()*((E7)-(D7))/((E7)-(C7))))</f>
        <v>0.31991334556314638</v>
      </c>
      <c r="C307" s="67">
        <f ca="1">(C8)+(E8-C8)*IF(RAND()&lt;((D8)-(C8))/((E8)-(C8)),SQRT(RAND()*((D8)-(C8))/((E8)-(C8))),1-SQRT(RAND()*((E8)-(D8))/((E8)-(C8))))</f>
        <v>0.67274308135121308</v>
      </c>
      <c r="D307" s="68">
        <f ca="1">(C9)+(E9-C9)*IF(RAND()&lt;((D9)-(C9))/((E9)-(C9)),SQRT(RAND()*((D9)-(C9))/((E9)-(C9))),1-SQRT(RAND()*((E9)-(D9))/((E9)-(C9))))</f>
        <v>1256632.5320088072</v>
      </c>
      <c r="E307" s="68">
        <f ca="1">(C10)+(E10-C10)*IF(RAND()&lt;((D10)-(C10))/((E10)-(C10)),SQRT(RAND()*((D10)-(C10))/((E10)-(C10))),1-SQRT(RAND()*((E10)-(D10))/((E10)-(C10))))</f>
        <v>3249563.6592088435</v>
      </c>
      <c r="F307" s="67">
        <f ca="1">(C11)+(E11-C11)*IF(RAND()&lt;((D11)-(C11))/((E11)-(C11)),SQRT(RAND()*((D11)-(C11))/((E11)-(C11))),1-SQRT(RAND()*((E11)-(D11))/((E11)-(C11))))</f>
        <v>1.4489003564427713E-2</v>
      </c>
      <c r="G307" s="67">
        <f ca="1">(C12)+(E12-C12)*IF(RAND()&lt;((D12)-(C12))/((E12)-(C12)),SQRT(RAND()*((D12)-(C12))/((E12)-(C12))),1-SQRT(RAND()*((E12)-(D12))/((E12)-(C12))))</f>
        <v>0.14786925781686402</v>
      </c>
      <c r="H307" s="68">
        <f t="shared" ca="1" si="8"/>
        <v>325150930.03354257</v>
      </c>
      <c r="I307" s="69">
        <f t="shared" ca="1" si="9"/>
        <v>342.60410471588108</v>
      </c>
    </row>
    <row r="308" spans="1:9" ht="16.05" customHeight="1" x14ac:dyDescent="0.3">
      <c r="A308" s="70">
        <v>292</v>
      </c>
      <c r="B308" s="71">
        <f ca="1">(C7)+(E7-C7)*IF(RAND()&lt;((D7)-(C7))/((E7)-(C7)),SQRT(RAND()*((D7)-(C7))/((E7)-(C7))),1-SQRT(RAND()*((E7)-(D7))/((E7)-(C7))))</f>
        <v>0.22634850411946231</v>
      </c>
      <c r="C308" s="71">
        <f ca="1">(C8)+(E8-C8)*IF(RAND()&lt;((D8)-(C8))/((E8)-(C8)),SQRT(RAND()*((D8)-(C8))/((E8)-(C8))),1-SQRT(RAND()*((E8)-(D8))/((E8)-(C8))))</f>
        <v>0.74157883022878845</v>
      </c>
      <c r="D308" s="72">
        <f ca="1">(C9)+(E9-C9)*IF(RAND()&lt;((D9)-(C9))/((E9)-(C9)),SQRT(RAND()*((D9)-(C9))/((E9)-(C9))),1-SQRT(RAND()*((E9)-(D9))/((E9)-(C9))))</f>
        <v>1179003.7318524173</v>
      </c>
      <c r="E308" s="72">
        <f ca="1">(C10)+(E10-C10)*IF(RAND()&lt;((D10)-(C10))/((E10)-(C10)),SQRT(RAND()*((D10)-(C10))/((E10)-(C10))),1-SQRT(RAND()*((E10)-(D10))/((E10)-(C10))))</f>
        <v>4248209.8457243415</v>
      </c>
      <c r="F308" s="71">
        <f ca="1">(C11)+(E11-C11)*IF(RAND()&lt;((D11)-(C11))/((E11)-(C11)),SQRT(RAND()*((D11)-(C11))/((E11)-(C11))),1-SQRT(RAND()*((E11)-(D11))/((E11)-(C11))))</f>
        <v>1.0108455983720517E-2</v>
      </c>
      <c r="G308" s="71">
        <f ca="1">(C12)+(E12-C12)*IF(RAND()&lt;((D12)-(C12))/((E12)-(C12)),SQRT(RAND()*((D12)-(C12))/((E12)-(C12))),1-SQRT(RAND()*((E12)-(D12))/((E12)-(C12))))</f>
        <v>0.16283494214114935</v>
      </c>
      <c r="H308" s="72">
        <f t="shared" ca="1" si="8"/>
        <v>238295419.84424141</v>
      </c>
      <c r="I308" s="73">
        <f t="shared" ca="1" si="9"/>
        <v>267.90733543689487</v>
      </c>
    </row>
    <row r="309" spans="1:9" ht="16.05" customHeight="1" x14ac:dyDescent="0.3">
      <c r="A309" s="66">
        <v>293</v>
      </c>
      <c r="B309" s="67">
        <f ca="1">(C7)+(E7-C7)*IF(RAND()&lt;((D7)-(C7))/((E7)-(C7)),SQRT(RAND()*((D7)-(C7))/((E7)-(C7))),1-SQRT(RAND()*((E7)-(D7))/((E7)-(C7))))</f>
        <v>0.29477076180315293</v>
      </c>
      <c r="C309" s="67">
        <f ca="1">(C8)+(E8-C8)*IF(RAND()&lt;((D8)-(C8))/((E8)-(C8)),SQRT(RAND()*((D8)-(C8))/((E8)-(C8))),1-SQRT(RAND()*((E8)-(D8))/((E8)-(C8))))</f>
        <v>0.69902227123196425</v>
      </c>
      <c r="D309" s="68">
        <f ca="1">(C9)+(E9-C9)*IF(RAND()&lt;((D9)-(C9))/((E9)-(C9)),SQRT(RAND()*((D9)-(C9))/((E9)-(C9))),1-SQRT(RAND()*((E9)-(D9))/((E9)-(C9))))</f>
        <v>1204257.6978957453</v>
      </c>
      <c r="E309" s="68">
        <f ca="1">(C10)+(E10-C10)*IF(RAND()&lt;((D10)-(C10))/((E10)-(C10)),SQRT(RAND()*((D10)-(C10))/((E10)-(C10))),1-SQRT(RAND()*((E10)-(D10))/((E10)-(C10))))</f>
        <v>4212305.8030793015</v>
      </c>
      <c r="F309" s="67">
        <f ca="1">(C11)+(E11-C11)*IF(RAND()&lt;((D11)-(C11))/((E11)-(C11)),SQRT(RAND()*((D11)-(C11))/((E11)-(C11))),1-SQRT(RAND()*((E11)-(D11))/((E11)-(C11))))</f>
        <v>1.1720791429526079E-2</v>
      </c>
      <c r="G309" s="67">
        <f ca="1">(C12)+(E12-C12)*IF(RAND()&lt;((D12)-(C12))/((E12)-(C12)),SQRT(RAND()*((D12)-(C12))/((E12)-(C12))),1-SQRT(RAND()*((E12)-(D12))/((E12)-(C12))))</f>
        <v>0.15202082583752494</v>
      </c>
      <c r="H309" s="68">
        <f t="shared" ca="1" si="8"/>
        <v>291599190.66048008</v>
      </c>
      <c r="I309" s="69">
        <f t="shared" ca="1" si="9"/>
        <v>320.69885116748782</v>
      </c>
    </row>
    <row r="310" spans="1:9" ht="16.05" customHeight="1" x14ac:dyDescent="0.3">
      <c r="A310" s="70">
        <v>294</v>
      </c>
      <c r="B310" s="71">
        <f ca="1">(C7)+(E7-C7)*IF(RAND()&lt;((D7)-(C7))/((E7)-(C7)),SQRT(RAND()*((D7)-(C7))/((E7)-(C7))),1-SQRT(RAND()*((E7)-(D7))/((E7)-(C7))))</f>
        <v>0.25834366227226191</v>
      </c>
      <c r="C310" s="71">
        <f ca="1">(C8)+(E8-C8)*IF(RAND()&lt;((D8)-(C8))/((E8)-(C8)),SQRT(RAND()*((D8)-(C8))/((E8)-(C8))),1-SQRT(RAND()*((E8)-(D8))/((E8)-(C8))))</f>
        <v>0.60802787740814024</v>
      </c>
      <c r="D310" s="72">
        <f ca="1">(C9)+(E9-C9)*IF(RAND()&lt;((D9)-(C9))/((E9)-(C9)),SQRT(RAND()*((D9)-(C9))/((E9)-(C9))),1-SQRT(RAND()*((E9)-(D9))/((E9)-(C9))))</f>
        <v>1353109.2589835543</v>
      </c>
      <c r="E310" s="72">
        <f ca="1">(C10)+(E10-C10)*IF(RAND()&lt;((D10)-(C10))/((E10)-(C10)),SQRT(RAND()*((D10)-(C10))/((E10)-(C10))),1-SQRT(RAND()*((E10)-(D10))/((E10)-(C10))))</f>
        <v>2317251.2680234909</v>
      </c>
      <c r="F310" s="71">
        <f ca="1">(C11)+(E11-C11)*IF(RAND()&lt;((D11)-(C11))/((E11)-(C11)),SQRT(RAND()*((D11)-(C11))/((E11)-(C11))),1-SQRT(RAND()*((E11)-(D11))/((E11)-(C11))))</f>
        <v>1.0900295462580737E-2</v>
      </c>
      <c r="G310" s="71">
        <f ca="1">(C12)+(E12-C12)*IF(RAND()&lt;((D12)-(C12))/((E12)-(C12)),SQRT(RAND()*((D12)-(C12))/((E12)-(C12))),1-SQRT(RAND()*((E12)-(D12))/((E12)-(C12))))</f>
        <v>0.12025638230249124</v>
      </c>
      <c r="H310" s="72">
        <f t="shared" ca="1" si="8"/>
        <v>239433549.32990292</v>
      </c>
      <c r="I310" s="73">
        <f t="shared" ca="1" si="9"/>
        <v>234.71465265283749</v>
      </c>
    </row>
    <row r="311" spans="1:9" ht="16.05" customHeight="1" x14ac:dyDescent="0.3">
      <c r="A311" s="66">
        <v>295</v>
      </c>
      <c r="B311" s="67">
        <f ca="1">(C7)+(E7-C7)*IF(RAND()&lt;((D7)-(C7))/((E7)-(C7)),SQRT(RAND()*((D7)-(C7))/((E7)-(C7))),1-SQRT(RAND()*((E7)-(D7))/((E7)-(C7))))</f>
        <v>0.26268223017750547</v>
      </c>
      <c r="C311" s="67">
        <f ca="1">(C8)+(E8-C8)*IF(RAND()&lt;((D8)-(C8))/((E8)-(C8)),SQRT(RAND()*((D8)-(C8))/((E8)-(C8))),1-SQRT(RAND()*((E8)-(D8))/((E8)-(C8))))</f>
        <v>0.64668203794940404</v>
      </c>
      <c r="D311" s="68">
        <f ca="1">(C9)+(E9-C9)*IF(RAND()&lt;((D9)-(C9))/((E9)-(C9)),SQRT(RAND()*((D9)-(C9))/((E9)-(C9))),1-SQRT(RAND()*((E9)-(D9))/((E9)-(C9))))</f>
        <v>1274092.9124677272</v>
      </c>
      <c r="E311" s="68">
        <f ca="1">(C10)+(E10-C10)*IF(RAND()&lt;((D10)-(C10))/((E10)-(C10)),SQRT(RAND()*((D10)-(C10))/((E10)-(C10))),1-SQRT(RAND()*((E10)-(D10))/((E10)-(C10))))</f>
        <v>3664960.3485695096</v>
      </c>
      <c r="F311" s="67">
        <f ca="1">(C11)+(E11-C11)*IF(RAND()&lt;((D11)-(C11))/((E11)-(C11)),SQRT(RAND()*((D11)-(C11))/((E11)-(C11))),1-SQRT(RAND()*((E11)-(D11))/((E11)-(C11))))</f>
        <v>7.666710398398658E-3</v>
      </c>
      <c r="G311" s="67">
        <f ca="1">(C12)+(E12-C12)*IF(RAND()&lt;((D12)-(C12))/((E12)-(C12)),SQRT(RAND()*((D12)-(C12))/((E12)-(C12))),1-SQRT(RAND()*((E12)-(D12))/((E12)-(C12))))</f>
        <v>0.13276944781067004</v>
      </c>
      <c r="H311" s="68">
        <f t="shared" ca="1" si="8"/>
        <v>224981615.11846304</v>
      </c>
      <c r="I311" s="69">
        <f t="shared" ca="1" si="9"/>
        <v>234.22815247590032</v>
      </c>
    </row>
    <row r="312" spans="1:9" ht="16.05" customHeight="1" x14ac:dyDescent="0.3">
      <c r="A312" s="70">
        <v>296</v>
      </c>
      <c r="B312" s="71">
        <f ca="1">(C7)+(E7-C7)*IF(RAND()&lt;((D7)-(C7))/((E7)-(C7)),SQRT(RAND()*((D7)-(C7))/((E7)-(C7))),1-SQRT(RAND()*((E7)-(D7))/((E7)-(C7))))</f>
        <v>0.21831974632486115</v>
      </c>
      <c r="C312" s="71">
        <f ca="1">(C8)+(E8-C8)*IF(RAND()&lt;((D8)-(C8))/((E8)-(C8)),SQRT(RAND()*((D8)-(C8))/((E8)-(C8))),1-SQRT(RAND()*((E8)-(D8))/((E8)-(C8))))</f>
        <v>0.83462477586576611</v>
      </c>
      <c r="D312" s="72">
        <f ca="1">(C9)+(E9-C9)*IF(RAND()&lt;((D9)-(C9))/((E9)-(C9)),SQRT(RAND()*((D9)-(C9))/((E9)-(C9))),1-SQRT(RAND()*((E9)-(D9))/((E9)-(C9))))</f>
        <v>1332118.3524845126</v>
      </c>
      <c r="E312" s="72">
        <f ca="1">(C10)+(E10-C10)*IF(RAND()&lt;((D10)-(C10))/((E10)-(C10)),SQRT(RAND()*((D10)-(C10))/((E10)-(C10))),1-SQRT(RAND()*((E10)-(D10))/((E10)-(C10))))</f>
        <v>3322179.8243092871</v>
      </c>
      <c r="F312" s="71">
        <f ca="1">(C11)+(E11-C11)*IF(RAND()&lt;((D11)-(C11))/((E11)-(C11)),SQRT(RAND()*((D11)-(C11))/((E11)-(C11))),1-SQRT(RAND()*((E11)-(D11))/((E11)-(C11))))</f>
        <v>1.1900004613874795E-2</v>
      </c>
      <c r="G312" s="71">
        <f ca="1">(C12)+(E12-C12)*IF(RAND()&lt;((D12)-(C12))/((E12)-(C12)),SQRT(RAND()*((D12)-(C12))/((E12)-(C12))),1-SQRT(RAND()*((E12)-(D12))/((E12)-(C12))))</f>
        <v>0.1759545527802063</v>
      </c>
      <c r="H312" s="72">
        <f t="shared" ca="1" si="8"/>
        <v>270206311.98535246</v>
      </c>
      <c r="I312" s="73">
        <f t="shared" ca="1" si="9"/>
        <v>268.86182345766309</v>
      </c>
    </row>
    <row r="313" spans="1:9" ht="16.05" customHeight="1" x14ac:dyDescent="0.3">
      <c r="A313" s="66">
        <v>297</v>
      </c>
      <c r="B313" s="67">
        <f ca="1">(C7)+(E7-C7)*IF(RAND()&lt;((D7)-(C7))/((E7)-(C7)),SQRT(RAND()*((D7)-(C7))/((E7)-(C7))),1-SQRT(RAND()*((E7)-(D7))/((E7)-(C7))))</f>
        <v>0.22000797467184158</v>
      </c>
      <c r="C313" s="67">
        <f ca="1">(C8)+(E8-C8)*IF(RAND()&lt;((D8)-(C8))/((E8)-(C8)),SQRT(RAND()*((D8)-(C8))/((E8)-(C8))),1-SQRT(RAND()*((E8)-(D8))/((E8)-(C8))))</f>
        <v>0.69919383968658955</v>
      </c>
      <c r="D313" s="68">
        <f ca="1">(C9)+(E9-C9)*IF(RAND()&lt;((D9)-(C9))/((E9)-(C9)),SQRT(RAND()*((D9)-(C9))/((E9)-(C9))),1-SQRT(RAND()*((E9)-(D9))/((E9)-(C9))))</f>
        <v>1195875.3914230133</v>
      </c>
      <c r="E313" s="68">
        <f ca="1">(C10)+(E10-C10)*IF(RAND()&lt;((D10)-(C10))/((E10)-(C10)),SQRT(RAND()*((D10)-(C10))/((E10)-(C10))),1-SQRT(RAND()*((E10)-(D10))/((E10)-(C10))))</f>
        <v>3430481.863708016</v>
      </c>
      <c r="F313" s="67">
        <f ca="1">(C11)+(E11-C11)*IF(RAND()&lt;((D11)-(C11))/((E11)-(C11)),SQRT(RAND()*((D11)-(C11))/((E11)-(C11))),1-SQRT(RAND()*((E11)-(D11))/((E11)-(C11))))</f>
        <v>1.4836030366726181E-2</v>
      </c>
      <c r="G313" s="67">
        <f ca="1">(C12)+(E12-C12)*IF(RAND()&lt;((D12)-(C12))/((E12)-(C12)),SQRT(RAND()*((D12)-(C12))/((E12)-(C12))),1-SQRT(RAND()*((E12)-(D12))/((E12)-(C12))))</f>
        <v>0.14896112061306355</v>
      </c>
      <c r="H313" s="68">
        <f t="shared" ca="1" si="8"/>
        <v>260239597.95375195</v>
      </c>
      <c r="I313" s="69">
        <f t="shared" ca="1" si="9"/>
        <v>288.34952100140583</v>
      </c>
    </row>
    <row r="314" spans="1:9" ht="16.05" customHeight="1" x14ac:dyDescent="0.3">
      <c r="A314" s="70">
        <v>298</v>
      </c>
      <c r="B314" s="71">
        <f ca="1">(C7)+(E7-C7)*IF(RAND()&lt;((D7)-(C7))/((E7)-(C7)),SQRT(RAND()*((D7)-(C7))/((E7)-(C7))),1-SQRT(RAND()*((E7)-(D7))/((E7)-(C7))))</f>
        <v>0.28867944092419717</v>
      </c>
      <c r="C314" s="71">
        <f ca="1">(C8)+(E8-C8)*IF(RAND()&lt;((D8)-(C8))/((E8)-(C8)),SQRT(RAND()*((D8)-(C8))/((E8)-(C8))),1-SQRT(RAND()*((E8)-(D8))/((E8)-(C8))))</f>
        <v>0.81586892158515423</v>
      </c>
      <c r="D314" s="72">
        <f ca="1">(C9)+(E9-C9)*IF(RAND()&lt;((D9)-(C9))/((E9)-(C9)),SQRT(RAND()*((D9)-(C9))/((E9)-(C9))),1-SQRT(RAND()*((E9)-(D9))/((E9)-(C9))))</f>
        <v>1205792.3399522908</v>
      </c>
      <c r="E314" s="72">
        <f ca="1">(C10)+(E10-C10)*IF(RAND()&lt;((D10)-(C10))/((E10)-(C10)),SQRT(RAND()*((D10)-(C10))/((E10)-(C10))),1-SQRT(RAND()*((E10)-(D10))/((E10)-(C10))))</f>
        <v>4176481.4844743456</v>
      </c>
      <c r="F314" s="71">
        <f ca="1">(C11)+(E11-C11)*IF(RAND()&lt;((D11)-(C11))/((E11)-(C11)),SQRT(RAND()*((D11)-(C11))/((E11)-(C11))),1-SQRT(RAND()*((E11)-(D11))/((E11)-(C11))))</f>
        <v>4.245253210081879E-3</v>
      </c>
      <c r="G314" s="71">
        <f ca="1">(C12)+(E12-C12)*IF(RAND()&lt;((D12)-(C12))/((E12)-(C12)),SQRT(RAND()*((D12)-(C12))/((E12)-(C12))),1-SQRT(RAND()*((E12)-(D12))/((E12)-(C12))))</f>
        <v>0.17729420410496174</v>
      </c>
      <c r="H314" s="72">
        <f t="shared" ca="1" si="8"/>
        <v>269843180.77130514</v>
      </c>
      <c r="I314" s="73">
        <f t="shared" ca="1" si="9"/>
        <v>296.49398951058794</v>
      </c>
    </row>
    <row r="315" spans="1:9" ht="16.05" customHeight="1" x14ac:dyDescent="0.3">
      <c r="A315" s="66">
        <v>299</v>
      </c>
      <c r="B315" s="67">
        <f ca="1">(C7)+(E7-C7)*IF(RAND()&lt;((D7)-(C7))/((E7)-(C7)),SQRT(RAND()*((D7)-(C7))/((E7)-(C7))),1-SQRT(RAND()*((E7)-(D7))/((E7)-(C7))))</f>
        <v>0.25269504027892919</v>
      </c>
      <c r="C315" s="67">
        <f ca="1">(C8)+(E8-C8)*IF(RAND()&lt;((D8)-(C8))/((E8)-(C8)),SQRT(RAND()*((D8)-(C8))/((E8)-(C8))),1-SQRT(RAND()*((E8)-(D8))/((E8)-(C8))))</f>
        <v>0.72988403803887203</v>
      </c>
      <c r="D315" s="68">
        <f ca="1">(C9)+(E9-C9)*IF(RAND()&lt;((D9)-(C9))/((E9)-(C9)),SQRT(RAND()*((D9)-(C9))/((E9)-(C9))),1-SQRT(RAND()*((E9)-(D9))/((E9)-(C9))))</f>
        <v>1340898.6503258883</v>
      </c>
      <c r="E315" s="68">
        <f ca="1">(C10)+(E10-C10)*IF(RAND()&lt;((D10)-(C10))/((E10)-(C10)),SQRT(RAND()*((D10)-(C10))/((E10)-(C10))),1-SQRT(RAND()*((E10)-(D10))/((E10)-(C10))))</f>
        <v>3397525.0319728209</v>
      </c>
      <c r="F315" s="67">
        <f ca="1">(C11)+(E11-C11)*IF(RAND()&lt;((D11)-(C11))/((E11)-(C11)),SQRT(RAND()*((D11)-(C11))/((E11)-(C11))),1-SQRT(RAND()*((E11)-(D11))/((E11)-(C11))))</f>
        <v>1.0729756684685334E-2</v>
      </c>
      <c r="G315" s="67">
        <f ca="1">(C12)+(E12-C12)*IF(RAND()&lt;((D12)-(C12))/((E12)-(C12)),SQRT(RAND()*((D12)-(C12))/((E12)-(C12))),1-SQRT(RAND()*((E12)-(D12))/((E12)-(C12))))</f>
        <v>0.1849972302656113</v>
      </c>
      <c r="H315" s="68">
        <f t="shared" ca="1" si="8"/>
        <v>263883998.14986554</v>
      </c>
      <c r="I315" s="69">
        <f t="shared" ca="1" si="9"/>
        <v>260.89093162608714</v>
      </c>
    </row>
    <row r="316" spans="1:9" ht="16.05" customHeight="1" x14ac:dyDescent="0.3">
      <c r="A316" s="70">
        <v>300</v>
      </c>
      <c r="B316" s="71">
        <f ca="1">(C7)+(E7-C7)*IF(RAND()&lt;((D7)-(C7))/((E7)-(C7)),SQRT(RAND()*((D7)-(C7))/((E7)-(C7))),1-SQRT(RAND()*((E7)-(D7))/((E7)-(C7))))</f>
        <v>0.24712319816104625</v>
      </c>
      <c r="C316" s="71">
        <f ca="1">(C8)+(E8-C8)*IF(RAND()&lt;((D8)-(C8))/((E8)-(C8)),SQRT(RAND()*((D8)-(C8))/((E8)-(C8))),1-SQRT(RAND()*((E8)-(D8))/((E8)-(C8))))</f>
        <v>0.74081673419262428</v>
      </c>
      <c r="D316" s="72">
        <f ca="1">(C9)+(E9-C9)*IF(RAND()&lt;((D9)-(C9))/((E9)-(C9)),SQRT(RAND()*((D9)-(C9))/((E9)-(C9))),1-SQRT(RAND()*((E9)-(D9))/((E9)-(C9))))</f>
        <v>1147838.3374796498</v>
      </c>
      <c r="E316" s="72">
        <f ca="1">(C10)+(E10-C10)*IF(RAND()&lt;((D10)-(C10))/((E10)-(C10)),SQRT(RAND()*((D10)-(C10))/((E10)-(C10))),1-SQRT(RAND()*((E10)-(D10))/((E10)-(C10))))</f>
        <v>3692090.8671726892</v>
      </c>
      <c r="F316" s="71">
        <f ca="1">(C11)+(E11-C11)*IF(RAND()&lt;((D11)-(C11))/((E11)-(C11)),SQRT(RAND()*((D11)-(C11))/((E11)-(C11))),1-SQRT(RAND()*((E11)-(D11))/((E11)-(C11))))</f>
        <v>1.0477534349005894E-2</v>
      </c>
      <c r="G316" s="71">
        <f ca="1">(C12)+(E12-C12)*IF(RAND()&lt;((D12)-(C12))/((E12)-(C12)),SQRT(RAND()*((D12)-(C12))/((E12)-(C12))),1-SQRT(RAND()*((E12)-(D12))/((E12)-(C12))))</f>
        <v>0.15212079720496383</v>
      </c>
      <c r="H316" s="72">
        <f t="shared" ca="1" si="8"/>
        <v>259654825.50779301</v>
      </c>
      <c r="I316" s="73">
        <f t="shared" ca="1" si="9"/>
        <v>299.68978845055113</v>
      </c>
    </row>
    <row r="317" spans="1:9" ht="16.05" customHeight="1" x14ac:dyDescent="0.3">
      <c r="A317" s="66">
        <v>301</v>
      </c>
      <c r="B317" s="67">
        <f ca="1">(C7)+(E7-C7)*IF(RAND()&lt;((D7)-(C7))/((E7)-(C7)),SQRT(RAND()*((D7)-(C7))/((E7)-(C7))),1-SQRT(RAND()*((E7)-(D7))/((E7)-(C7))))</f>
        <v>0.29808454678275609</v>
      </c>
      <c r="C317" s="67">
        <f ca="1">(C8)+(E8-C8)*IF(RAND()&lt;((D8)-(C8))/((E8)-(C8)),SQRT(RAND()*((D8)-(C8))/((E8)-(C8))),1-SQRT(RAND()*((E8)-(D8))/((E8)-(C8))))</f>
        <v>0.64250755311762087</v>
      </c>
      <c r="D317" s="68">
        <f ca="1">(C9)+(E9-C9)*IF(RAND()&lt;((D9)-(C9))/((E9)-(C9)),SQRT(RAND()*((D9)-(C9))/((E9)-(C9))),1-SQRT(RAND()*((E9)-(D9))/((E9)-(C9))))</f>
        <v>1277517.2300749917</v>
      </c>
      <c r="E317" s="68">
        <f ca="1">(C10)+(E10-C10)*IF(RAND()&lt;((D10)-(C10))/((E10)-(C10)),SQRT(RAND()*((D10)-(C10))/((E10)-(C10))),1-SQRT(RAND()*((E10)-(D10))/((E10)-(C10))))</f>
        <v>3990337.8603195595</v>
      </c>
      <c r="F317" s="67">
        <f ca="1">(C11)+(E11-C11)*IF(RAND()&lt;((D11)-(C11))/((E11)-(C11)),SQRT(RAND()*((D11)-(C11))/((E11)-(C11))),1-SQRT(RAND()*((E11)-(D11))/((E11)-(C11))))</f>
        <v>9.593086846141085E-3</v>
      </c>
      <c r="G317" s="67">
        <f ca="1">(C12)+(E12-C12)*IF(RAND()&lt;((D12)-(C12))/((E12)-(C12)),SQRT(RAND()*((D12)-(C12))/((E12)-(C12))),1-SQRT(RAND()*((E12)-(D12))/((E12)-(C12))))</f>
        <v>0.15042398491213899</v>
      </c>
      <c r="H317" s="68">
        <f t="shared" ca="1" si="8"/>
        <v>261202589.37562498</v>
      </c>
      <c r="I317" s="69">
        <f t="shared" ca="1" si="9"/>
        <v>271.00061451717272</v>
      </c>
    </row>
    <row r="318" spans="1:9" ht="16.05" customHeight="1" x14ac:dyDescent="0.3">
      <c r="A318" s="70">
        <v>302</v>
      </c>
      <c r="B318" s="71">
        <f ca="1">(C7)+(E7-C7)*IF(RAND()&lt;((D7)-(C7))/((E7)-(C7)),SQRT(RAND()*((D7)-(C7))/((E7)-(C7))),1-SQRT(RAND()*((E7)-(D7))/((E7)-(C7))))</f>
        <v>0.28850074597883502</v>
      </c>
      <c r="C318" s="71">
        <f ca="1">(C8)+(E8-C8)*IF(RAND()&lt;((D8)-(C8))/((E8)-(C8)),SQRT(RAND()*((D8)-(C8))/((E8)-(C8))),1-SQRT(RAND()*((E8)-(D8))/((E8)-(C8))))</f>
        <v>0.70197957052946602</v>
      </c>
      <c r="D318" s="72">
        <f ca="1">(C9)+(E9-C9)*IF(RAND()&lt;((D9)-(C9))/((E9)-(C9)),SQRT(RAND()*((D9)-(C9))/((E9)-(C9))),1-SQRT(RAND()*((E9)-(D9))/((E9)-(C9))))</f>
        <v>1190325.0882744489</v>
      </c>
      <c r="E318" s="72">
        <f ca="1">(C10)+(E10-C10)*IF(RAND()&lt;((D10)-(C10))/((E10)-(C10)),SQRT(RAND()*((D10)-(C10))/((E10)-(C10))),1-SQRT(RAND()*((E10)-(D10))/((E10)-(C10))))</f>
        <v>2921054.0935462676</v>
      </c>
      <c r="F318" s="71">
        <f ca="1">(C11)+(E11-C11)*IF(RAND()&lt;((D11)-(C11))/((E11)-(C11)),SQRT(RAND()*((D11)-(C11))/((E11)-(C11))),1-SQRT(RAND()*((E11)-(D11))/((E11)-(C11))))</f>
        <v>6.3726821327868676E-3</v>
      </c>
      <c r="G318" s="71">
        <f ca="1">(C12)+(E12-C12)*IF(RAND()&lt;((D12)-(C12))/((E12)-(C12)),SQRT(RAND()*((D12)-(C12))/((E12)-(C12))),1-SQRT(RAND()*((E12)-(D12))/((E12)-(C12))))</f>
        <v>0.12877044252226677</v>
      </c>
      <c r="H318" s="72">
        <f t="shared" ca="1" si="8"/>
        <v>254067004.22903305</v>
      </c>
      <c r="I318" s="73">
        <f t="shared" ca="1" si="9"/>
        <v>282.84811053556029</v>
      </c>
    </row>
    <row r="319" spans="1:9" ht="16.05" customHeight="1" x14ac:dyDescent="0.3">
      <c r="A319" s="66">
        <v>303</v>
      </c>
      <c r="B319" s="67">
        <f ca="1">(C7)+(E7-C7)*IF(RAND()&lt;((D7)-(C7))/((E7)-(C7)),SQRT(RAND()*((D7)-(C7))/((E7)-(C7))),1-SQRT(RAND()*((E7)-(D7))/((E7)-(C7))))</f>
        <v>0.28889112157294683</v>
      </c>
      <c r="C319" s="67">
        <f ca="1">(C8)+(E8-C8)*IF(RAND()&lt;((D8)-(C8))/((E8)-(C8)),SQRT(RAND()*((D8)-(C8))/((E8)-(C8))),1-SQRT(RAND()*((E8)-(D8))/((E8)-(C8))))</f>
        <v>0.75354725622155039</v>
      </c>
      <c r="D319" s="68">
        <f ca="1">(C9)+(E9-C9)*IF(RAND()&lt;((D9)-(C9))/((E9)-(C9)),SQRT(RAND()*((D9)-(C9))/((E9)-(C9))),1-SQRT(RAND()*((E9)-(D9))/((E9)-(C9))))</f>
        <v>1184496.4289044731</v>
      </c>
      <c r="E319" s="68">
        <f ca="1">(C10)+(E10-C10)*IF(RAND()&lt;((D10)-(C10))/((E10)-(C10)),SQRT(RAND()*((D10)-(C10))/((E10)-(C10))),1-SQRT(RAND()*((E10)-(D10))/((E10)-(C10))))</f>
        <v>4874149.400197072</v>
      </c>
      <c r="F319" s="67">
        <f ca="1">(C11)+(E11-C11)*IF(RAND()&lt;((D11)-(C11))/((E11)-(C11)),SQRT(RAND()*((D11)-(C11))/((E11)-(C11))),1-SQRT(RAND()*((E11)-(D11))/((E11)-(C11))))</f>
        <v>1.6767917577519921E-2</v>
      </c>
      <c r="G319" s="67">
        <f ca="1">(C12)+(E12-C12)*IF(RAND()&lt;((D12)-(C12))/((E12)-(C12)),SQRT(RAND()*((D12)-(C12))/((E12)-(C12))),1-SQRT(RAND()*((E12)-(D12))/((E12)-(C12))))</f>
        <v>0.17041241817169023</v>
      </c>
      <c r="H319" s="68">
        <f t="shared" ca="1" si="8"/>
        <v>338204221.552733</v>
      </c>
      <c r="I319" s="69">
        <f t="shared" ca="1" si="9"/>
        <v>377.92384438220449</v>
      </c>
    </row>
    <row r="320" spans="1:9" ht="16.05" customHeight="1" x14ac:dyDescent="0.3">
      <c r="A320" s="70">
        <v>304</v>
      </c>
      <c r="B320" s="71">
        <f ca="1">(C7)+(E7-C7)*IF(RAND()&lt;((D7)-(C7))/((E7)-(C7)),SQRT(RAND()*((D7)-(C7))/((E7)-(C7))),1-SQRT(RAND()*((E7)-(D7))/((E7)-(C7))))</f>
        <v>0.24434613818790876</v>
      </c>
      <c r="C320" s="71">
        <f ca="1">(C8)+(E8-C8)*IF(RAND()&lt;((D8)-(C8))/((E8)-(C8)),SQRT(RAND()*((D8)-(C8))/((E8)-(C8))),1-SQRT(RAND()*((E8)-(D8))/((E8)-(C8))))</f>
        <v>0.6746368992283831</v>
      </c>
      <c r="D320" s="72">
        <f ca="1">(C9)+(E9-C9)*IF(RAND()&lt;((D9)-(C9))/((E9)-(C9)),SQRT(RAND()*((D9)-(C9))/((E9)-(C9))),1-SQRT(RAND()*((E9)-(D9))/((E9)-(C9))))</f>
        <v>1152579.0204127869</v>
      </c>
      <c r="E320" s="72">
        <f ca="1">(C10)+(E10-C10)*IF(RAND()&lt;((D10)-(C10))/((E10)-(C10)),SQRT(RAND()*((D10)-(C10))/((E10)-(C10))),1-SQRT(RAND()*((E10)-(D10))/((E10)-(C10))))</f>
        <v>4164029.145828824</v>
      </c>
      <c r="F320" s="71">
        <f ca="1">(C11)+(E11-C11)*IF(RAND()&lt;((D11)-(C11))/((E11)-(C11)),SQRT(RAND()*((D11)-(C11))/((E11)-(C11))),1-SQRT(RAND()*((E11)-(D11))/((E11)-(C11))))</f>
        <v>7.101841744157047E-3</v>
      </c>
      <c r="G320" s="71">
        <f ca="1">(C12)+(E12-C12)*IF(RAND()&lt;((D12)-(C12))/((E12)-(C12)),SQRT(RAND()*((D12)-(C12))/((E12)-(C12))),1-SQRT(RAND()*((E12)-(D12))/((E12)-(C12))))</f>
        <v>0.15058037750626457</v>
      </c>
      <c r="H320" s="72">
        <f t="shared" ca="1" si="8"/>
        <v>213665127.7025829</v>
      </c>
      <c r="I320" s="73">
        <f t="shared" ca="1" si="9"/>
        <v>245.83290542341879</v>
      </c>
    </row>
    <row r="321" spans="1:9" ht="16.05" customHeight="1" x14ac:dyDescent="0.3">
      <c r="A321" s="66">
        <v>305</v>
      </c>
      <c r="B321" s="67">
        <f ca="1">(C7)+(E7-C7)*IF(RAND()&lt;((D7)-(C7))/((E7)-(C7)),SQRT(RAND()*((D7)-(C7))/((E7)-(C7))),1-SQRT(RAND()*((E7)-(D7))/((E7)-(C7))))</f>
        <v>0.30435959246558242</v>
      </c>
      <c r="C321" s="67">
        <f ca="1">(C8)+(E8-C8)*IF(RAND()&lt;((D8)-(C8))/((E8)-(C8)),SQRT(RAND()*((D8)-(C8))/((E8)-(C8))),1-SQRT(RAND()*((E8)-(D8))/((E8)-(C8))))</f>
        <v>0.69626126880729877</v>
      </c>
      <c r="D321" s="68">
        <f ca="1">(C9)+(E9-C9)*IF(RAND()&lt;((D9)-(C9))/((E9)-(C9)),SQRT(RAND()*((D9)-(C9))/((E9)-(C9))),1-SQRT(RAND()*((E9)-(D9))/((E9)-(C9))))</f>
        <v>1162842.4102504724</v>
      </c>
      <c r="E321" s="68">
        <f ca="1">(C10)+(E10-C10)*IF(RAND()&lt;((D10)-(C10))/((E10)-(C10)),SQRT(RAND()*((D10)-(C10))/((E10)-(C10))),1-SQRT(RAND()*((E10)-(D10))/((E10)-(C10))))</f>
        <v>4442733.9015126936</v>
      </c>
      <c r="F321" s="67">
        <f ca="1">(C11)+(E11-C11)*IF(RAND()&lt;((D11)-(C11))/((E11)-(C11)),SQRT(RAND()*((D11)-(C11))/((E11)-(C11))),1-SQRT(RAND()*((E11)-(D11))/((E11)-(C11))))</f>
        <v>1.303068332641657E-2</v>
      </c>
      <c r="G321" s="67">
        <f ca="1">(C12)+(E12-C12)*IF(RAND()&lt;((D12)-(C12))/((E12)-(C12)),SQRT(RAND()*((D12)-(C12))/((E12)-(C12))),1-SQRT(RAND()*((E12)-(D12))/((E12)-(C12))))</f>
        <v>0.16308482030579699</v>
      </c>
      <c r="H321" s="68">
        <f t="shared" ca="1" si="8"/>
        <v>306599560.65065265</v>
      </c>
      <c r="I321" s="69">
        <f t="shared" ca="1" si="9"/>
        <v>349.08834548490466</v>
      </c>
    </row>
    <row r="322" spans="1:9" ht="16.05" customHeight="1" x14ac:dyDescent="0.3">
      <c r="A322" s="70">
        <v>306</v>
      </c>
      <c r="B322" s="71">
        <f ca="1">(C7)+(E7-C7)*IF(RAND()&lt;((D7)-(C7))/((E7)-(C7)),SQRT(RAND()*((D7)-(C7))/((E7)-(C7))),1-SQRT(RAND()*((E7)-(D7))/((E7)-(C7))))</f>
        <v>0.23837731825611275</v>
      </c>
      <c r="C322" s="71">
        <f ca="1">(C8)+(E8-C8)*IF(RAND()&lt;((D8)-(C8))/((E8)-(C8)),SQRT(RAND()*((D8)-(C8))/((E8)-(C8))),1-SQRT(RAND()*((E8)-(D8))/((E8)-(C8))))</f>
        <v>0.60249692926408294</v>
      </c>
      <c r="D322" s="72">
        <f ca="1">(C9)+(E9-C9)*IF(RAND()&lt;((D9)-(C9))/((E9)-(C9)),SQRT(RAND()*((D9)-(C9))/((E9)-(C9))),1-SQRT(RAND()*((E9)-(D9))/((E9)-(C9))))</f>
        <v>1276542.1800508276</v>
      </c>
      <c r="E322" s="72">
        <f ca="1">(C10)+(E10-C10)*IF(RAND()&lt;((D10)-(C10))/((E10)-(C10)),SQRT(RAND()*((D10)-(C10))/((E10)-(C10))),1-SQRT(RAND()*((E10)-(D10))/((E10)-(C10))))</f>
        <v>4388025.8330872562</v>
      </c>
      <c r="F322" s="71">
        <f ca="1">(C11)+(E11-C11)*IF(RAND()&lt;((D11)-(C11))/((E11)-(C11)),SQRT(RAND()*((D11)-(C11))/((E11)-(C11))),1-SQRT(RAND()*((E11)-(D11))/((E11)-(C11))))</f>
        <v>1.405192992936569E-2</v>
      </c>
      <c r="G322" s="71">
        <f ca="1">(C12)+(E12-C12)*IF(RAND()&lt;((D12)-(C12))/((E12)-(C12)),SQRT(RAND()*((D12)-(C12))/((E12)-(C12))),1-SQRT(RAND()*((E12)-(D12))/((E12)-(C12))))</f>
        <v>0.16111892777804468</v>
      </c>
      <c r="H322" s="72">
        <f t="shared" ca="1" si="8"/>
        <v>239765367.72822765</v>
      </c>
      <c r="I322" s="73">
        <f t="shared" ca="1" si="9"/>
        <v>249.0565905046162</v>
      </c>
    </row>
    <row r="323" spans="1:9" ht="16.05" customHeight="1" x14ac:dyDescent="0.3">
      <c r="A323" s="66">
        <v>307</v>
      </c>
      <c r="B323" s="67">
        <f ca="1">(C7)+(E7-C7)*IF(RAND()&lt;((D7)-(C7))/((E7)-(C7)),SQRT(RAND()*((D7)-(C7))/((E7)-(C7))),1-SQRT(RAND()*((E7)-(D7))/((E7)-(C7))))</f>
        <v>0.34226014424421969</v>
      </c>
      <c r="C323" s="67">
        <f ca="1">(C8)+(E8-C8)*IF(RAND()&lt;((D8)-(C8))/((E8)-(C8)),SQRT(RAND()*((D8)-(C8))/((E8)-(C8))),1-SQRT(RAND()*((E8)-(D8))/((E8)-(C8))))</f>
        <v>0.75243330931377539</v>
      </c>
      <c r="D323" s="68">
        <f ca="1">(C9)+(E9-C9)*IF(RAND()&lt;((D9)-(C9))/((E9)-(C9)),SQRT(RAND()*((D9)-(C9))/((E9)-(C9))),1-SQRT(RAND()*((E9)-(D9))/((E9)-(C9))))</f>
        <v>1414108.5541150984</v>
      </c>
      <c r="E323" s="68">
        <f ca="1">(C10)+(E10-C10)*IF(RAND()&lt;((D10)-(C10))/((E10)-(C10)),SQRT(RAND()*((D10)-(C10))/((E10)-(C10))),1-SQRT(RAND()*((E10)-(D10))/((E10)-(C10))))</f>
        <v>4191992.8661133968</v>
      </c>
      <c r="F323" s="67">
        <f ca="1">(C11)+(E11-C11)*IF(RAND()&lt;((D11)-(C11))/((E11)-(C11)),SQRT(RAND()*((D11)-(C11))/((E11)-(C11))),1-SQRT(RAND()*((E11)-(D11))/((E11)-(C11))))</f>
        <v>1.3921002211317772E-2</v>
      </c>
      <c r="G323" s="67">
        <f ca="1">(C12)+(E12-C12)*IF(RAND()&lt;((D12)-(C12))/((E12)-(C12)),SQRT(RAND()*((D12)-(C12))/((E12)-(C12))),1-SQRT(RAND()*((E12)-(D12))/((E12)-(C12))))</f>
        <v>0.20198191235544269</v>
      </c>
      <c r="H323" s="68">
        <f t="shared" ca="1" si="8"/>
        <v>363350982.52851492</v>
      </c>
      <c r="I323" s="69">
        <f t="shared" ca="1" si="9"/>
        <v>340.22887362306284</v>
      </c>
    </row>
    <row r="324" spans="1:9" ht="16.05" customHeight="1" x14ac:dyDescent="0.3">
      <c r="A324" s="70">
        <v>308</v>
      </c>
      <c r="B324" s="71">
        <f ca="1">(C7)+(E7-C7)*IF(RAND()&lt;((D7)-(C7))/((E7)-(C7)),SQRT(RAND()*((D7)-(C7))/((E7)-(C7))),1-SQRT(RAND()*((E7)-(D7))/((E7)-(C7))))</f>
        <v>0.29898694137242399</v>
      </c>
      <c r="C324" s="71">
        <f ca="1">(C8)+(E8-C8)*IF(RAND()&lt;((D8)-(C8))/((E8)-(C8)),SQRT(RAND()*((D8)-(C8))/((E8)-(C8))),1-SQRT(RAND()*((E8)-(D8))/((E8)-(C8))))</f>
        <v>0.69500334609978576</v>
      </c>
      <c r="D324" s="72">
        <f ca="1">(C9)+(E9-C9)*IF(RAND()&lt;((D9)-(C9))/((E9)-(C9)),SQRT(RAND()*((D9)-(C9))/((E9)-(C9))),1-SQRT(RAND()*((E9)-(D9))/((E9)-(C9))))</f>
        <v>1243840.2962515117</v>
      </c>
      <c r="E324" s="72">
        <f ca="1">(C10)+(E10-C10)*IF(RAND()&lt;((D10)-(C10))/((E10)-(C10)),SQRT(RAND()*((D10)-(C10))/((E10)-(C10))),1-SQRT(RAND()*((E10)-(D10))/((E10)-(C10))))</f>
        <v>4022845.782441413</v>
      </c>
      <c r="F324" s="71">
        <f ca="1">(C11)+(E11-C11)*IF(RAND()&lt;((D11)-(C11))/((E11)-(C11)),SQRT(RAND()*((D11)-(C11))/((E11)-(C11))),1-SQRT(RAND()*((E11)-(D11))/((E11)-(C11))))</f>
        <v>9.2847974546862114E-3</v>
      </c>
      <c r="G324" s="71">
        <f ca="1">(C12)+(E12-C12)*IF(RAND()&lt;((D12)-(C12))/((E12)-(C12)),SQRT(RAND()*((D12)-(C12))/((E12)-(C12))),1-SQRT(RAND()*((E12)-(D12))/((E12)-(C12))))</f>
        <v>0.15412479842188789</v>
      </c>
      <c r="H324" s="72">
        <f t="shared" ca="1" si="8"/>
        <v>276594771.87563539</v>
      </c>
      <c r="I324" s="73">
        <f t="shared" ca="1" si="9"/>
        <v>294.62434276864633</v>
      </c>
    </row>
    <row r="325" spans="1:9" ht="16.05" customHeight="1" x14ac:dyDescent="0.3">
      <c r="A325" s="66">
        <v>309</v>
      </c>
      <c r="B325" s="67">
        <f ca="1">(C7)+(E7-C7)*IF(RAND()&lt;((D7)-(C7))/((E7)-(C7)),SQRT(RAND()*((D7)-(C7))/((E7)-(C7))),1-SQRT(RAND()*((E7)-(D7))/((E7)-(C7))))</f>
        <v>0.22971937231945783</v>
      </c>
      <c r="C325" s="67">
        <f ca="1">(C8)+(E8-C8)*IF(RAND()&lt;((D8)-(C8))/((E8)-(C8)),SQRT(RAND()*((D8)-(C8))/((E8)-(C8))),1-SQRT(RAND()*((E8)-(D8))/((E8)-(C8))))</f>
        <v>0.71045760944494041</v>
      </c>
      <c r="D325" s="68">
        <f ca="1">(C9)+(E9-C9)*IF(RAND()&lt;((D9)-(C9))/((E9)-(C9)),SQRT(RAND()*((D9)-(C9))/((E9)-(C9))),1-SQRT(RAND()*((E9)-(D9))/((E9)-(C9))))</f>
        <v>1216780.9584444603</v>
      </c>
      <c r="E325" s="68">
        <f ca="1">(C10)+(E10-C10)*IF(RAND()&lt;((D10)-(C10))/((E10)-(C10)),SQRT(RAND()*((D10)-(C10))/((E10)-(C10))),1-SQRT(RAND()*((E10)-(D10))/((E10)-(C10))))</f>
        <v>4081749.7858710312</v>
      </c>
      <c r="F325" s="67">
        <f ca="1">(C11)+(E11-C11)*IF(RAND()&lt;((D11)-(C11))/((E11)-(C11)),SQRT(RAND()*((D11)-(C11))/((E11)-(C11))),1-SQRT(RAND()*((E11)-(D11))/((E11)-(C11))))</f>
        <v>1.5664792588479255E-2</v>
      </c>
      <c r="G325" s="67">
        <f ca="1">(C12)+(E12-C12)*IF(RAND()&lt;((D12)-(C12))/((E12)-(C12)),SQRT(RAND()*((D12)-(C12))/((E12)-(C12))),1-SQRT(RAND()*((E12)-(D12))/((E12)-(C12))))</f>
        <v>0.16005151292326217</v>
      </c>
      <c r="H325" s="68">
        <f t="shared" ca="1" si="8"/>
        <v>273934071.60081559</v>
      </c>
      <c r="I325" s="69">
        <f t="shared" ca="1" si="9"/>
        <v>298.26281073814272</v>
      </c>
    </row>
    <row r="326" spans="1:9" ht="16.05" customHeight="1" x14ac:dyDescent="0.3">
      <c r="A326" s="70">
        <v>310</v>
      </c>
      <c r="B326" s="71">
        <f ca="1">(C7)+(E7-C7)*IF(RAND()&lt;((D7)-(C7))/((E7)-(C7)),SQRT(RAND()*((D7)-(C7))/((E7)-(C7))),1-SQRT(RAND()*((E7)-(D7))/((E7)-(C7))))</f>
        <v>0.22960161239389965</v>
      </c>
      <c r="C326" s="71">
        <f ca="1">(C8)+(E8-C8)*IF(RAND()&lt;((D8)-(C8))/((E8)-(C8)),SQRT(RAND()*((D8)-(C8))/((E8)-(C8))),1-SQRT(RAND()*((E8)-(D8))/((E8)-(C8))))</f>
        <v>0.63461857462852733</v>
      </c>
      <c r="D326" s="72">
        <f ca="1">(C9)+(E9-C9)*IF(RAND()&lt;((D9)-(C9))/((E9)-(C9)),SQRT(RAND()*((D9)-(C9))/((E9)-(C9))),1-SQRT(RAND()*((E9)-(D9))/((E9)-(C9))))</f>
        <v>1248285.996892554</v>
      </c>
      <c r="E326" s="72">
        <f ca="1">(C10)+(E10-C10)*IF(RAND()&lt;((D10)-(C10))/((E10)-(C10)),SQRT(RAND()*((D10)-(C10))/((E10)-(C10))),1-SQRT(RAND()*((E10)-(D10))/((E10)-(C10))))</f>
        <v>4497637.1887450498</v>
      </c>
      <c r="F326" s="71">
        <f ca="1">(C11)+(E11-C11)*IF(RAND()&lt;((D11)-(C11))/((E11)-(C11)),SQRT(RAND()*((D11)-(C11))/((E11)-(C11))),1-SQRT(RAND()*((E11)-(D11))/((E11)-(C11))))</f>
        <v>8.384986707600758E-3</v>
      </c>
      <c r="G326" s="71">
        <f ca="1">(C12)+(E12-C12)*IF(RAND()&lt;((D12)-(C12))/((E12)-(C12)),SQRT(RAND()*((D12)-(C12))/((E12)-(C12))),1-SQRT(RAND()*((E12)-(D12))/((E12)-(C12))))</f>
        <v>0.12899273886850299</v>
      </c>
      <c r="H326" s="72">
        <f t="shared" ca="1" si="8"/>
        <v>200747536.38576356</v>
      </c>
      <c r="I326" s="73">
        <f t="shared" ca="1" si="9"/>
        <v>213.43662112791475</v>
      </c>
    </row>
    <row r="327" spans="1:9" ht="16.05" customHeight="1" x14ac:dyDescent="0.3">
      <c r="A327" s="66">
        <v>311</v>
      </c>
      <c r="B327" s="67">
        <f ca="1">(C7)+(E7-C7)*IF(RAND()&lt;((D7)-(C7))/((E7)-(C7)),SQRT(RAND()*((D7)-(C7))/((E7)-(C7))),1-SQRT(RAND()*((E7)-(D7))/((E7)-(C7))))</f>
        <v>0.24825112724463472</v>
      </c>
      <c r="C327" s="67">
        <f ca="1">(C8)+(E8-C8)*IF(RAND()&lt;((D8)-(C8))/((E8)-(C8)),SQRT(RAND()*((D8)-(C8))/((E8)-(C8))),1-SQRT(RAND()*((E8)-(D8))/((E8)-(C8))))</f>
        <v>0.56258750833832738</v>
      </c>
      <c r="D327" s="68">
        <f ca="1">(C9)+(E9-C9)*IF(RAND()&lt;((D9)-(C9))/((E9)-(C9)),SQRT(RAND()*((D9)-(C9))/((E9)-(C9))),1-SQRT(RAND()*((E9)-(D9))/((E9)-(C9))))</f>
        <v>1148404.8052214426</v>
      </c>
      <c r="E327" s="68">
        <f ca="1">(C10)+(E10-C10)*IF(RAND()&lt;((D10)-(C10))/((E10)-(C10)),SQRT(RAND()*((D10)-(C10))/((E10)-(C10))),1-SQRT(RAND()*((E10)-(D10))/((E10)-(C10))))</f>
        <v>4163426.7311144248</v>
      </c>
      <c r="F327" s="67">
        <f ca="1">(C11)+(E11-C11)*IF(RAND()&lt;((D11)-(C11))/((E11)-(C11)),SQRT(RAND()*((D11)-(C11))/((E11)-(C11))),1-SQRT(RAND()*((E11)-(D11))/((E11)-(C11))))</f>
        <v>1.3735921728923139E-2</v>
      </c>
      <c r="G327" s="67">
        <f ca="1">(C12)+(E12-C12)*IF(RAND()&lt;((D12)-(C12))/((E12)-(C12)),SQRT(RAND()*((D12)-(C12))/((E12)-(C12))),1-SQRT(RAND()*((E12)-(D12))/((E12)-(C12))))</f>
        <v>0.136650433064268</v>
      </c>
      <c r="H327" s="68">
        <f t="shared" ca="1" si="8"/>
        <v>234157270.62740809</v>
      </c>
      <c r="I327" s="69">
        <f t="shared" ca="1" si="9"/>
        <v>270.25768315147513</v>
      </c>
    </row>
    <row r="328" spans="1:9" ht="16.05" customHeight="1" x14ac:dyDescent="0.3">
      <c r="A328" s="70">
        <v>312</v>
      </c>
      <c r="B328" s="71">
        <f ca="1">(C7)+(E7-C7)*IF(RAND()&lt;((D7)-(C7))/((E7)-(C7)),SQRT(RAND()*((D7)-(C7))/((E7)-(C7))),1-SQRT(RAND()*((E7)-(D7))/((E7)-(C7))))</f>
        <v>0.22325108059287507</v>
      </c>
      <c r="C328" s="71">
        <f ca="1">(C8)+(E8-C8)*IF(RAND()&lt;((D8)-(C8))/((E8)-(C8)),SQRT(RAND()*((D8)-(C8))/((E8)-(C8))),1-SQRT(RAND()*((E8)-(D8))/((E8)-(C8))))</f>
        <v>0.61263204456027698</v>
      </c>
      <c r="D328" s="72">
        <f ca="1">(C9)+(E9-C9)*IF(RAND()&lt;((D9)-(C9))/((E9)-(C9)),SQRT(RAND()*((D9)-(C9))/((E9)-(C9))),1-SQRT(RAND()*((E9)-(D9))/((E9)-(C9))))</f>
        <v>1308493.0150066488</v>
      </c>
      <c r="E328" s="72">
        <f ca="1">(C10)+(E10-C10)*IF(RAND()&lt;((D10)-(C10))/((E10)-(C10)),SQRT(RAND()*((D10)-(C10))/((E10)-(C10))),1-SQRT(RAND()*((E10)-(D10))/((E10)-(C10))))</f>
        <v>3533045.9210940637</v>
      </c>
      <c r="F328" s="71">
        <f ca="1">(C11)+(E11-C11)*IF(RAND()&lt;((D11)-(C11))/((E11)-(C11)),SQRT(RAND()*((D11)-(C11))/((E11)-(C11))),1-SQRT(RAND()*((E11)-(D11))/((E11)-(C11))))</f>
        <v>2.2530119640174637E-2</v>
      </c>
      <c r="G328" s="71">
        <f ca="1">(C12)+(E12-C12)*IF(RAND()&lt;((D12)-(C12))/((E12)-(C12)),SQRT(RAND()*((D12)-(C12))/((E12)-(C12))),1-SQRT(RAND()*((E12)-(D12))/((E12)-(C12))))</f>
        <v>0.15421491175229143</v>
      </c>
      <c r="H328" s="72">
        <f t="shared" ca="1" si="8"/>
        <v>296713730.19090575</v>
      </c>
      <c r="I328" s="73">
        <f t="shared" ca="1" si="9"/>
        <v>300.41242406696938</v>
      </c>
    </row>
    <row r="329" spans="1:9" ht="16.05" customHeight="1" x14ac:dyDescent="0.3">
      <c r="A329" s="66">
        <v>313</v>
      </c>
      <c r="B329" s="67">
        <f ca="1">(C7)+(E7-C7)*IF(RAND()&lt;((D7)-(C7))/((E7)-(C7)),SQRT(RAND()*((D7)-(C7))/((E7)-(C7))),1-SQRT(RAND()*((E7)-(D7))/((E7)-(C7))))</f>
        <v>0.30723396151821059</v>
      </c>
      <c r="C329" s="67">
        <f ca="1">(C8)+(E8-C8)*IF(RAND()&lt;((D8)-(C8))/((E8)-(C8)),SQRT(RAND()*((D8)-(C8))/((E8)-(C8))),1-SQRT(RAND()*((E8)-(D8))/((E8)-(C8))))</f>
        <v>0.75331518354714455</v>
      </c>
      <c r="D329" s="68">
        <f ca="1">(C9)+(E9-C9)*IF(RAND()&lt;((D9)-(C9))/((E9)-(C9)),SQRT(RAND()*((D9)-(C9))/((E9)-(C9))),1-SQRT(RAND()*((E9)-(D9))/((E9)-(C9))))</f>
        <v>1200139.2576496601</v>
      </c>
      <c r="E329" s="68">
        <f ca="1">(C10)+(E10-C10)*IF(RAND()&lt;((D10)-(C10))/((E10)-(C10)),SQRT(RAND()*((D10)-(C10))/((E10)-(C10))),1-SQRT(RAND()*((E10)-(D10))/((E10)-(C10))))</f>
        <v>3367903.5534771094</v>
      </c>
      <c r="F329" s="67">
        <f ca="1">(C11)+(E11-C11)*IF(RAND()&lt;((D11)-(C11))/((E11)-(C11)),SQRT(RAND()*((D11)-(C11))/((E11)-(C11))),1-SQRT(RAND()*((E11)-(D11))/((E11)-(C11))))</f>
        <v>1.0220203333879343E-2</v>
      </c>
      <c r="G329" s="67">
        <f ca="1">(C12)+(E12-C12)*IF(RAND()&lt;((D12)-(C12))/((E12)-(C12)),SQRT(RAND()*((D12)-(C12))/((E12)-(C12))),1-SQRT(RAND()*((E12)-(D12))/((E12)-(C12))))</f>
        <v>0.13993005302378694</v>
      </c>
      <c r="H329" s="68">
        <f t="shared" ca="1" si="8"/>
        <v>311599640.6116125</v>
      </c>
      <c r="I329" s="69">
        <f t="shared" ca="1" si="9"/>
        <v>343.7759134896574</v>
      </c>
    </row>
    <row r="330" spans="1:9" ht="16.05" customHeight="1" x14ac:dyDescent="0.3">
      <c r="A330" s="70">
        <v>314</v>
      </c>
      <c r="B330" s="71">
        <f ca="1">(C7)+(E7-C7)*IF(RAND()&lt;((D7)-(C7))/((E7)-(C7)),SQRT(RAND()*((D7)-(C7))/((E7)-(C7))),1-SQRT(RAND()*((E7)-(D7))/((E7)-(C7))))</f>
        <v>0.23362806555481852</v>
      </c>
      <c r="C330" s="71">
        <f ca="1">(C8)+(E8-C8)*IF(RAND()&lt;((D8)-(C8))/((E8)-(C8)),SQRT(RAND()*((D8)-(C8))/((E8)-(C8))),1-SQRT(RAND()*((E8)-(D8))/((E8)-(C8))))</f>
        <v>0.6279909705288691</v>
      </c>
      <c r="D330" s="72">
        <f ca="1">(C9)+(E9-C9)*IF(RAND()&lt;((D9)-(C9))/((E9)-(C9)),SQRT(RAND()*((D9)-(C9))/((E9)-(C9))),1-SQRT(RAND()*((E9)-(D9))/((E9)-(C9))))</f>
        <v>1229628.4659136489</v>
      </c>
      <c r="E330" s="72">
        <f ca="1">(C10)+(E10-C10)*IF(RAND()&lt;((D10)-(C10))/((E10)-(C10)),SQRT(RAND()*((D10)-(C10))/((E10)-(C10))),1-SQRT(RAND()*((E10)-(D10))/((E10)-(C10))))</f>
        <v>4706080.461644562</v>
      </c>
      <c r="F330" s="71">
        <f ca="1">(C11)+(E11-C11)*IF(RAND()&lt;((D11)-(C11))/((E11)-(C11)),SQRT(RAND()*((D11)-(C11))/((E11)-(C11))),1-SQRT(RAND()*((E11)-(D11))/((E11)-(C11))))</f>
        <v>1.9979844827124969E-2</v>
      </c>
      <c r="G330" s="71">
        <f ca="1">(C12)+(E12-C12)*IF(RAND()&lt;((D12)-(C12))/((E12)-(C12)),SQRT(RAND()*((D12)-(C12))/((E12)-(C12))),1-SQRT(RAND()*((E12)-(D12))/((E12)-(C12))))</f>
        <v>0.12247149317390005</v>
      </c>
      <c r="H330" s="72">
        <f t="shared" ca="1" si="8"/>
        <v>284759177.9771266</v>
      </c>
      <c r="I330" s="73">
        <f t="shared" ca="1" si="9"/>
        <v>306.77204036226351</v>
      </c>
    </row>
    <row r="331" spans="1:9" ht="16.05" customHeight="1" x14ac:dyDescent="0.3">
      <c r="A331" s="66">
        <v>315</v>
      </c>
      <c r="B331" s="67">
        <f ca="1">(C7)+(E7-C7)*IF(RAND()&lt;((D7)-(C7))/((E7)-(C7)),SQRT(RAND()*((D7)-(C7))/((E7)-(C7))),1-SQRT(RAND()*((E7)-(D7))/((E7)-(C7))))</f>
        <v>0.27470818821513304</v>
      </c>
      <c r="C331" s="67">
        <f ca="1">(C8)+(E8-C8)*IF(RAND()&lt;((D8)-(C8))/((E8)-(C8)),SQRT(RAND()*((D8)-(C8))/((E8)-(C8))),1-SQRT(RAND()*((E8)-(D8))/((E8)-(C8))))</f>
        <v>0.59808217738010594</v>
      </c>
      <c r="D331" s="68">
        <f ca="1">(C9)+(E9-C9)*IF(RAND()&lt;((D9)-(C9))/((E9)-(C9)),SQRT(RAND()*((D9)-(C9))/((E9)-(C9))),1-SQRT(RAND()*((E9)-(D9))/((E9)-(C9))))</f>
        <v>1018584.5780854311</v>
      </c>
      <c r="E331" s="68">
        <f ca="1">(C10)+(E10-C10)*IF(RAND()&lt;((D10)-(C10))/((E10)-(C10)),SQRT(RAND()*((D10)-(C10))/((E10)-(C10))),1-SQRT(RAND()*((E10)-(D10))/((E10)-(C10))))</f>
        <v>2894410.179719395</v>
      </c>
      <c r="F331" s="67">
        <f ca="1">(C11)+(E11-C11)*IF(RAND()&lt;((D11)-(C11))/((E11)-(C11)),SQRT(RAND()*((D11)-(C11))/((E11)-(C11))),1-SQRT(RAND()*((E11)-(D11))/((E11)-(C11))))</f>
        <v>1.6769476320529698E-2</v>
      </c>
      <c r="G331" s="67">
        <f ca="1">(C12)+(E12-C12)*IF(RAND()&lt;((D12)-(C12))/((E12)-(C12)),SQRT(RAND()*((D12)-(C12))/((E12)-(C12))),1-SQRT(RAND()*((E12)-(D12))/((E12)-(C12))))</f>
        <v>0.16091671882903619</v>
      </c>
      <c r="H331" s="68">
        <f t="shared" ca="1" si="8"/>
        <v>287794708.79764104</v>
      </c>
      <c r="I331" s="69">
        <f t="shared" ca="1" si="9"/>
        <v>373.99063785040056</v>
      </c>
    </row>
    <row r="332" spans="1:9" ht="16.05" customHeight="1" x14ac:dyDescent="0.3">
      <c r="A332" s="70">
        <v>316</v>
      </c>
      <c r="B332" s="71">
        <f ca="1">(C7)+(E7-C7)*IF(RAND()&lt;((D7)-(C7))/((E7)-(C7)),SQRT(RAND()*((D7)-(C7))/((E7)-(C7))),1-SQRT(RAND()*((E7)-(D7))/((E7)-(C7))))</f>
        <v>0.25647884111804115</v>
      </c>
      <c r="C332" s="71">
        <f ca="1">(C8)+(E8-C8)*IF(RAND()&lt;((D8)-(C8))/((E8)-(C8)),SQRT(RAND()*((D8)-(C8))/((E8)-(C8))),1-SQRT(RAND()*((E8)-(D8))/((E8)-(C8))))</f>
        <v>0.64873015130002432</v>
      </c>
      <c r="D332" s="72">
        <f ca="1">(C9)+(E9-C9)*IF(RAND()&lt;((D9)-(C9))/((E9)-(C9)),SQRT(RAND()*((D9)-(C9))/((E9)-(C9))),1-SQRT(RAND()*((E9)-(D9))/((E9)-(C9))))</f>
        <v>1295184.4729597028</v>
      </c>
      <c r="E332" s="72">
        <f ca="1">(C10)+(E10-C10)*IF(RAND()&lt;((D10)-(C10))/((E10)-(C10)),SQRT(RAND()*((D10)-(C10))/((E10)-(C10))),1-SQRT(RAND()*((E10)-(D10))/((E10)-(C10))))</f>
        <v>3354019.1343478188</v>
      </c>
      <c r="F332" s="71">
        <f ca="1">(C11)+(E11-C11)*IF(RAND()&lt;((D11)-(C11))/((E11)-(C11)),SQRT(RAND()*((D11)-(C11))/((E11)-(C11))),1-SQRT(RAND()*((E11)-(D11))/((E11)-(C11))))</f>
        <v>2.0283392630070958E-2</v>
      </c>
      <c r="G332" s="71">
        <f ca="1">(C12)+(E12-C12)*IF(RAND()&lt;((D12)-(C12))/((E12)-(C12)),SQRT(RAND()*((D12)-(C12))/((E12)-(C12))),1-SQRT(RAND()*((E12)-(D12))/((E12)-(C12))))</f>
        <v>0.20700275210974223</v>
      </c>
      <c r="H332" s="72">
        <f t="shared" ca="1" si="8"/>
        <v>313409168.11629587</v>
      </c>
      <c r="I332" s="73">
        <f t="shared" ca="1" si="9"/>
        <v>320.48799665763846</v>
      </c>
    </row>
    <row r="333" spans="1:9" ht="16.05" customHeight="1" x14ac:dyDescent="0.3">
      <c r="A333" s="66">
        <v>317</v>
      </c>
      <c r="B333" s="67">
        <f ca="1">(C7)+(E7-C7)*IF(RAND()&lt;((D7)-(C7))/((E7)-(C7)),SQRT(RAND()*((D7)-(C7))/((E7)-(C7))),1-SQRT(RAND()*((E7)-(D7))/((E7)-(C7))))</f>
        <v>0.27710682219477228</v>
      </c>
      <c r="C333" s="67">
        <f ca="1">(C8)+(E8-C8)*IF(RAND()&lt;((D8)-(C8))/((E8)-(C8)),SQRT(RAND()*((D8)-(C8))/((E8)-(C8))),1-SQRT(RAND()*((E8)-(D8))/((E8)-(C8))))</f>
        <v>0.75977564105938777</v>
      </c>
      <c r="D333" s="68">
        <f ca="1">(C9)+(E9-C9)*IF(RAND()&lt;((D9)-(C9))/((E9)-(C9)),SQRT(RAND()*((D9)-(C9))/((E9)-(C9))),1-SQRT(RAND()*((E9)-(D9))/((E9)-(C9))))</f>
        <v>1199848.0730579831</v>
      </c>
      <c r="E333" s="68">
        <f ca="1">(C10)+(E10-C10)*IF(RAND()&lt;((D10)-(C10))/((E10)-(C10)),SQRT(RAND()*((D10)-(C10))/((E10)-(C10))),1-SQRT(RAND()*((E10)-(D10))/((E10)-(C10))))</f>
        <v>3771261.0229968196</v>
      </c>
      <c r="F333" s="67">
        <f ca="1">(C11)+(E11-C11)*IF(RAND()&lt;((D11)-(C11))/((E11)-(C11)),SQRT(RAND()*((D11)-(C11))/((E11)-(C11))),1-SQRT(RAND()*((E11)-(D11))/((E11)-(C11))))</f>
        <v>1.6417799483495817E-2</v>
      </c>
      <c r="G333" s="67">
        <f ca="1">(C12)+(E12-C12)*IF(RAND()&lt;((D12)-(C12))/((E12)-(C12)),SQRT(RAND()*((D12)-(C12))/((E12)-(C12))),1-SQRT(RAND()*((E12)-(D12))/((E12)-(C12))))</f>
        <v>0.16210616316388424</v>
      </c>
      <c r="H333" s="68">
        <f t="shared" ca="1" si="8"/>
        <v>332059308.8985607</v>
      </c>
      <c r="I333" s="69">
        <f t="shared" ca="1" si="9"/>
        <v>366.35024064686371</v>
      </c>
    </row>
    <row r="334" spans="1:9" ht="16.05" customHeight="1" x14ac:dyDescent="0.3">
      <c r="A334" s="70">
        <v>318</v>
      </c>
      <c r="B334" s="71">
        <f ca="1">(C7)+(E7-C7)*IF(RAND()&lt;((D7)-(C7))/((E7)-(C7)),SQRT(RAND()*((D7)-(C7))/((E7)-(C7))),1-SQRT(RAND()*((E7)-(D7))/((E7)-(C7))))</f>
        <v>0.22874289581892804</v>
      </c>
      <c r="C334" s="71">
        <f ca="1">(C8)+(E8-C8)*IF(RAND()&lt;((D8)-(C8))/((E8)-(C8)),SQRT(RAND()*((D8)-(C8))/((E8)-(C8))),1-SQRT(RAND()*((E8)-(D8))/((E8)-(C8))))</f>
        <v>0.73357386829715132</v>
      </c>
      <c r="D334" s="72">
        <f ca="1">(C9)+(E9-C9)*IF(RAND()&lt;((D9)-(C9))/((E9)-(C9)),SQRT(RAND()*((D9)-(C9))/((E9)-(C9))),1-SQRT(RAND()*((E9)-(D9))/((E9)-(C9))))</f>
        <v>1314726.7742825714</v>
      </c>
      <c r="E334" s="72">
        <f ca="1">(C10)+(E10-C10)*IF(RAND()&lt;((D10)-(C10))/((E10)-(C10)),SQRT(RAND()*((D10)-(C10))/((E10)-(C10))),1-SQRT(RAND()*((E10)-(D10))/((E10)-(C10))))</f>
        <v>3628101.4593254873</v>
      </c>
      <c r="F334" s="71">
        <f ca="1">(C11)+(E11-C11)*IF(RAND()&lt;((D11)-(C11))/((E11)-(C11)),SQRT(RAND()*((D11)-(C11))/((E11)-(C11))),1-SQRT(RAND()*((E11)-(D11))/((E11)-(C11))))</f>
        <v>7.9963752470361849E-3</v>
      </c>
      <c r="G334" s="71">
        <f ca="1">(C12)+(E12-C12)*IF(RAND()&lt;((D12)-(C12))/((E12)-(C12)),SQRT(RAND()*((D12)-(C12))/((E12)-(C12))),1-SQRT(RAND()*((E12)-(D12))/((E12)-(C12))))</f>
        <v>0.14905336114704165</v>
      </c>
      <c r="H334" s="72">
        <f t="shared" ca="1" si="8"/>
        <v>225205794.07493982</v>
      </c>
      <c r="I334" s="73">
        <f t="shared" ca="1" si="9"/>
        <v>227.25460497655953</v>
      </c>
    </row>
    <row r="335" spans="1:9" ht="16.05" customHeight="1" x14ac:dyDescent="0.3">
      <c r="A335" s="66">
        <v>319</v>
      </c>
      <c r="B335" s="67">
        <f ca="1">(C7)+(E7-C7)*IF(RAND()&lt;((D7)-(C7))/((E7)-(C7)),SQRT(RAND()*((D7)-(C7))/((E7)-(C7))),1-SQRT(RAND()*((E7)-(D7))/((E7)-(C7))))</f>
        <v>0.27390677437193967</v>
      </c>
      <c r="C335" s="67">
        <f ca="1">(C8)+(E8-C8)*IF(RAND()&lt;((D8)-(C8))/((E8)-(C8)),SQRT(RAND()*((D8)-(C8))/((E8)-(C8))),1-SQRT(RAND()*((E8)-(D8))/((E8)-(C8))))</f>
        <v>0.6695468508868595</v>
      </c>
      <c r="D335" s="68">
        <f ca="1">(C9)+(E9-C9)*IF(RAND()&lt;((D9)-(C9))/((E9)-(C9)),SQRT(RAND()*((D9)-(C9))/((E9)-(C9))),1-SQRT(RAND()*((E9)-(D9))/((E9)-(C9))))</f>
        <v>1166489.7110074617</v>
      </c>
      <c r="E335" s="68">
        <f ca="1">(C10)+(E10-C10)*IF(RAND()&lt;((D10)-(C10))/((E10)-(C10)),SQRT(RAND()*((D10)-(C10))/((E10)-(C10))),1-SQRT(RAND()*((E10)-(D10))/((E10)-(C10))))</f>
        <v>3679792.9203323242</v>
      </c>
      <c r="F335" s="67">
        <f ca="1">(C11)+(E11-C11)*IF(RAND()&lt;((D11)-(C11))/((E11)-(C11)),SQRT(RAND()*((D11)-(C11))/((E11)-(C11))),1-SQRT(RAND()*((E11)-(D11))/((E11)-(C11))))</f>
        <v>7.2949065389761522E-3</v>
      </c>
      <c r="G335" s="67">
        <f ca="1">(C12)+(E12-C12)*IF(RAND()&lt;((D12)-(C12))/((E12)-(C12)),SQRT(RAND()*((D12)-(C12))/((E12)-(C12))),1-SQRT(RAND()*((E12)-(D12))/((E12)-(C12))))</f>
        <v>0.15874631013815324</v>
      </c>
      <c r="H335" s="68">
        <f t="shared" ca="1" si="8"/>
        <v>237060274.12660229</v>
      </c>
      <c r="I335" s="69">
        <f t="shared" ca="1" si="9"/>
        <v>269.37065781733321</v>
      </c>
    </row>
    <row r="336" spans="1:9" ht="16.05" customHeight="1" x14ac:dyDescent="0.3">
      <c r="A336" s="70">
        <v>320</v>
      </c>
      <c r="B336" s="71">
        <f ca="1">(C7)+(E7-C7)*IF(RAND()&lt;((D7)-(C7))/((E7)-(C7)),SQRT(RAND()*((D7)-(C7))/((E7)-(C7))),1-SQRT(RAND()*((E7)-(D7))/((E7)-(C7))))</f>
        <v>0.36410640171370739</v>
      </c>
      <c r="C336" s="71">
        <f ca="1">(C8)+(E8-C8)*IF(RAND()&lt;((D8)-(C8))/((E8)-(C8)),SQRT(RAND()*((D8)-(C8))/((E8)-(C8))),1-SQRT(RAND()*((E8)-(D8))/((E8)-(C8))))</f>
        <v>0.69939583824336959</v>
      </c>
      <c r="D336" s="72">
        <f ca="1">(C9)+(E9-C9)*IF(RAND()&lt;((D9)-(C9))/((E9)-(C9)),SQRT(RAND()*((D9)-(C9))/((E9)-(C9))),1-SQRT(RAND()*((E9)-(D9))/((E9)-(C9))))</f>
        <v>1350487.5880541494</v>
      </c>
      <c r="E336" s="72">
        <f ca="1">(C10)+(E10-C10)*IF(RAND()&lt;((D10)-(C10))/((E10)-(C10)),SQRT(RAND()*((D10)-(C10))/((E10)-(C10))),1-SQRT(RAND()*((E10)-(D10))/((E10)-(C10))))</f>
        <v>4001257.8372778883</v>
      </c>
      <c r="F336" s="71">
        <f ca="1">(C11)+(E11-C11)*IF(RAND()&lt;((D11)-(C11))/((E11)-(C11)),SQRT(RAND()*((D11)-(C11))/((E11)-(C11))),1-SQRT(RAND()*((E11)-(D11))/((E11)-(C11))))</f>
        <v>1.4459528958218176E-2</v>
      </c>
      <c r="G336" s="71">
        <f ca="1">(C12)+(E12-C12)*IF(RAND()&lt;((D12)-(C12))/((E12)-(C12)),SQRT(RAND()*((D12)-(C12))/((E12)-(C12))),1-SQRT(RAND()*((E12)-(D12))/((E12)-(C12))))</f>
        <v>0.15342823112103463</v>
      </c>
      <c r="H336" s="72">
        <f t="shared" ca="1" si="8"/>
        <v>364898375.33710825</v>
      </c>
      <c r="I336" s="73">
        <f t="shared" ca="1" si="9"/>
        <v>357.70609163023227</v>
      </c>
    </row>
    <row r="337" spans="1:9" ht="16.05" customHeight="1" x14ac:dyDescent="0.3">
      <c r="A337" s="66">
        <v>321</v>
      </c>
      <c r="B337" s="67">
        <f ca="1">(C7)+(E7-C7)*IF(RAND()&lt;((D7)-(C7))/((E7)-(C7)),SQRT(RAND()*((D7)-(C7))/((E7)-(C7))),1-SQRT(RAND()*((E7)-(D7))/((E7)-(C7))))</f>
        <v>0.32663895925544606</v>
      </c>
      <c r="C337" s="67">
        <f ca="1">(C8)+(E8-C8)*IF(RAND()&lt;((D8)-(C8))/((E8)-(C8)),SQRT(RAND()*((D8)-(C8))/((E8)-(C8))),1-SQRT(RAND()*((E8)-(D8))/((E8)-(C8))))</f>
        <v>0.63993369790167898</v>
      </c>
      <c r="D337" s="68">
        <f ca="1">(C9)+(E9-C9)*IF(RAND()&lt;((D9)-(C9))/((E9)-(C9)),SQRT(RAND()*((D9)-(C9))/((E9)-(C9))),1-SQRT(RAND()*((E9)-(D9))/((E9)-(C9))))</f>
        <v>1344638.670164803</v>
      </c>
      <c r="E337" s="68">
        <f ca="1">(C10)+(E10-C10)*IF(RAND()&lt;((D10)-(C10))/((E10)-(C10)),SQRT(RAND()*((D10)-(C10))/((E10)-(C10))),1-SQRT(RAND()*((E10)-(D10))/((E10)-(C10))))</f>
        <v>3916307.8194602318</v>
      </c>
      <c r="F337" s="67">
        <f ca="1">(C11)+(E11-C11)*IF(RAND()&lt;((D11)-(C11))/((E11)-(C11)),SQRT(RAND()*((D11)-(C11))/((E11)-(C11))),1-SQRT(RAND()*((E11)-(D11))/((E11)-(C11))))</f>
        <v>1.1654553327575787E-2</v>
      </c>
      <c r="G337" s="67">
        <f ca="1">(C12)+(E12-C12)*IF(RAND()&lt;((D12)-(C12))/((E12)-(C12)),SQRT(RAND()*((D12)-(C12))/((E12)-(C12))),1-SQRT(RAND()*((E12)-(D12))/((E12)-(C12))))</f>
        <v>0.12881443820706498</v>
      </c>
      <c r="H337" s="68">
        <f t="shared" ref="H337:H400" ca="1" si="10">-D337+($L$1*B337*C337+$M$1*F337-E337)*(1-(1+$N$1)^-5)/$N$1</f>
        <v>295340492.67000866</v>
      </c>
      <c r="I337" s="69">
        <f t="shared" ref="I337:I400" ca="1" si="11">($L$1*B337*C337+$M$1*F337-E337)*5/D337</f>
        <v>291.02535860880573</v>
      </c>
    </row>
    <row r="338" spans="1:9" ht="16.05" customHeight="1" x14ac:dyDescent="0.3">
      <c r="A338" s="70">
        <v>322</v>
      </c>
      <c r="B338" s="71">
        <f ca="1">(C7)+(E7-C7)*IF(RAND()&lt;((D7)-(C7))/((E7)-(C7)),SQRT(RAND()*((D7)-(C7))/((E7)-(C7))),1-SQRT(RAND()*((E7)-(D7))/((E7)-(C7))))</f>
        <v>0.29208526878051821</v>
      </c>
      <c r="C338" s="71">
        <f ca="1">(C8)+(E8-C8)*IF(RAND()&lt;((D8)-(C8))/((E8)-(C8)),SQRT(RAND()*((D8)-(C8))/((E8)-(C8))),1-SQRT(RAND()*((E8)-(D8))/((E8)-(C8))))</f>
        <v>0.53661722407256829</v>
      </c>
      <c r="D338" s="72">
        <f ca="1">(C9)+(E9-C9)*IF(RAND()&lt;((D9)-(C9))/((E9)-(C9)),SQRT(RAND()*((D9)-(C9))/((E9)-(C9))),1-SQRT(RAND()*((E9)-(D9))/((E9)-(C9))))</f>
        <v>1294445.3930377839</v>
      </c>
      <c r="E338" s="72">
        <f ca="1">(C10)+(E10-C10)*IF(RAND()&lt;((D10)-(C10))/((E10)-(C10)),SQRT(RAND()*((D10)-(C10))/((E10)-(C10))),1-SQRT(RAND()*((E10)-(D10))/((E10)-(C10))))</f>
        <v>3706904.6454092832</v>
      </c>
      <c r="F338" s="71">
        <f ca="1">(C11)+(E11-C11)*IF(RAND()&lt;((D11)-(C11))/((E11)-(C11)),SQRT(RAND()*((D11)-(C11))/((E11)-(C11))),1-SQRT(RAND()*((E11)-(D11))/((E11)-(C11))))</f>
        <v>1.2133192958361311E-2</v>
      </c>
      <c r="G338" s="71">
        <f ca="1">(C12)+(E12-C12)*IF(RAND()&lt;((D12)-(C12))/((E12)-(C12)),SQRT(RAND()*((D12)-(C12))/((E12)-(C12))),1-SQRT(RAND()*((E12)-(D12))/((E12)-(C12))))</f>
        <v>0.17301227919303142</v>
      </c>
      <c r="H338" s="72">
        <f t="shared" ca="1" si="10"/>
        <v>242750708.37936765</v>
      </c>
      <c r="I338" s="73">
        <f t="shared" ca="1" si="11"/>
        <v>248.67212287049176</v>
      </c>
    </row>
    <row r="339" spans="1:9" ht="16.05" customHeight="1" x14ac:dyDescent="0.3">
      <c r="A339" s="66">
        <v>323</v>
      </c>
      <c r="B339" s="67">
        <f ca="1">(C7)+(E7-C7)*IF(RAND()&lt;((D7)-(C7))/((E7)-(C7)),SQRT(RAND()*((D7)-(C7))/((E7)-(C7))),1-SQRT(RAND()*((E7)-(D7))/((E7)-(C7))))</f>
        <v>0.2097739910088148</v>
      </c>
      <c r="C339" s="67">
        <f ca="1">(C8)+(E8-C8)*IF(RAND()&lt;((D8)-(C8))/((E8)-(C8)),SQRT(RAND()*((D8)-(C8))/((E8)-(C8))),1-SQRT(RAND()*((E8)-(D8))/((E8)-(C8))))</f>
        <v>0.71279652898685864</v>
      </c>
      <c r="D339" s="68">
        <f ca="1">(C9)+(E9-C9)*IF(RAND()&lt;((D9)-(C9))/((E9)-(C9)),SQRT(RAND()*((D9)-(C9))/((E9)-(C9))),1-SQRT(RAND()*((E9)-(D9))/((E9)-(C9))))</f>
        <v>1058019.3357531875</v>
      </c>
      <c r="E339" s="68">
        <f ca="1">(C10)+(E10-C10)*IF(RAND()&lt;((D10)-(C10))/((E10)-(C10)),SQRT(RAND()*((D10)-(C10))/((E10)-(C10))),1-SQRT(RAND()*((E10)-(D10))/((E10)-(C10))))</f>
        <v>4294744.4708479866</v>
      </c>
      <c r="F339" s="67">
        <f ca="1">(C11)+(E11-C11)*IF(RAND()&lt;((D11)-(C11))/((E11)-(C11)),SQRT(RAND()*((D11)-(C11))/((E11)-(C11))),1-SQRT(RAND()*((E11)-(D11))/((E11)-(C11))))</f>
        <v>1.6564847665793553E-2</v>
      </c>
      <c r="G339" s="67">
        <f ca="1">(C12)+(E12-C12)*IF(RAND()&lt;((D12)-(C12))/((E12)-(C12)),SQRT(RAND()*((D12)-(C12))/((E12)-(C12))),1-SQRT(RAND()*((E12)-(D12))/((E12)-(C12))))</f>
        <v>0.14795322471151878</v>
      </c>
      <c r="H339" s="68">
        <f t="shared" ca="1" si="10"/>
        <v>264898792.7902751</v>
      </c>
      <c r="I339" s="69">
        <f t="shared" ca="1" si="11"/>
        <v>331.55697002977115</v>
      </c>
    </row>
    <row r="340" spans="1:9" ht="16.05" customHeight="1" x14ac:dyDescent="0.3">
      <c r="A340" s="70">
        <v>324</v>
      </c>
      <c r="B340" s="71">
        <f ca="1">(C7)+(E7-C7)*IF(RAND()&lt;((D7)-(C7))/((E7)-(C7)),SQRT(RAND()*((D7)-(C7))/((E7)-(C7))),1-SQRT(RAND()*((E7)-(D7))/((E7)-(C7))))</f>
        <v>0.25733171713069058</v>
      </c>
      <c r="C340" s="71">
        <f ca="1">(C8)+(E8-C8)*IF(RAND()&lt;((D8)-(C8))/((E8)-(C8)),SQRT(RAND()*((D8)-(C8))/((E8)-(C8))),1-SQRT(RAND()*((E8)-(D8))/((E8)-(C8))))</f>
        <v>0.65003834318124976</v>
      </c>
      <c r="D340" s="72">
        <f ca="1">(C9)+(E9-C9)*IF(RAND()&lt;((D9)-(C9))/((E9)-(C9)),SQRT(RAND()*((D9)-(C9))/((E9)-(C9))),1-SQRT(RAND()*((E9)-(D9))/((E9)-(C9))))</f>
        <v>1217508.7140576453</v>
      </c>
      <c r="E340" s="72">
        <f ca="1">(C10)+(E10-C10)*IF(RAND()&lt;((D10)-(C10))/((E10)-(C10)),SQRT(RAND()*((D10)-(C10))/((E10)-(C10))),1-SQRT(RAND()*((E10)-(D10))/((E10)-(C10))))</f>
        <v>5014026.8845049273</v>
      </c>
      <c r="F340" s="71">
        <f ca="1">(C11)+(E11-C11)*IF(RAND()&lt;((D11)-(C11))/((E11)-(C11)),SQRT(RAND()*((D11)-(C11))/((E11)-(C11))),1-SQRT(RAND()*((E11)-(D11))/((E11)-(C11))))</f>
        <v>2.2314801373087896E-2</v>
      </c>
      <c r="G340" s="71">
        <f ca="1">(C12)+(E12-C12)*IF(RAND()&lt;((D12)-(C12))/((E12)-(C12)),SQRT(RAND()*((D12)-(C12))/((E12)-(C12))),1-SQRT(RAND()*((E12)-(D12))/((E12)-(C12))))</f>
        <v>0.14184244125672668</v>
      </c>
      <c r="H340" s="72">
        <f t="shared" ca="1" si="10"/>
        <v>322824321.81494784</v>
      </c>
      <c r="I340" s="73">
        <f t="shared" ca="1" si="11"/>
        <v>351.05054107079729</v>
      </c>
    </row>
    <row r="341" spans="1:9" ht="16.05" customHeight="1" x14ac:dyDescent="0.3">
      <c r="A341" s="66">
        <v>325</v>
      </c>
      <c r="B341" s="67">
        <f ca="1">(C7)+(E7-C7)*IF(RAND()&lt;((D7)-(C7))/((E7)-(C7)),SQRT(RAND()*((D7)-(C7))/((E7)-(C7))),1-SQRT(RAND()*((E7)-(D7))/((E7)-(C7))))</f>
        <v>0.24247519330781678</v>
      </c>
      <c r="C341" s="67">
        <f ca="1">(C8)+(E8-C8)*IF(RAND()&lt;((D8)-(C8))/((E8)-(C8)),SQRT(RAND()*((D8)-(C8))/((E8)-(C8))),1-SQRT(RAND()*((E8)-(D8))/((E8)-(C8))))</f>
        <v>0.74351864238720111</v>
      </c>
      <c r="D341" s="68">
        <f ca="1">(C9)+(E9-C9)*IF(RAND()&lt;((D9)-(C9))/((E9)-(C9)),SQRT(RAND()*((D9)-(C9))/((E9)-(C9))),1-SQRT(RAND()*((E9)-(D9))/((E9)-(C9))))</f>
        <v>1204081.4051760938</v>
      </c>
      <c r="E341" s="68">
        <f ca="1">(C10)+(E10-C10)*IF(RAND()&lt;((D10)-(C10))/((E10)-(C10)),SQRT(RAND()*((D10)-(C10))/((E10)-(C10))),1-SQRT(RAND()*((E10)-(D10))/((E10)-(C10))))</f>
        <v>4016008.0201657806</v>
      </c>
      <c r="F341" s="67">
        <f ca="1">(C11)+(E11-C11)*IF(RAND()&lt;((D11)-(C11))/((E11)-(C11)),SQRT(RAND()*((D11)-(C11))/((E11)-(C11))),1-SQRT(RAND()*((E11)-(D11))/((E11)-(C11))))</f>
        <v>2.2906466173023325E-2</v>
      </c>
      <c r="G341" s="67">
        <f ca="1">(C12)+(E12-C12)*IF(RAND()&lt;((D12)-(C12))/((E12)-(C12)),SQRT(RAND()*((D12)-(C12))/((E12)-(C12))),1-SQRT(RAND()*((E12)-(D12))/((E12)-(C12))))</f>
        <v>0.15968400490940898</v>
      </c>
      <c r="H341" s="68">
        <f t="shared" ca="1" si="10"/>
        <v>345045050.75219321</v>
      </c>
      <c r="I341" s="69">
        <f t="shared" ca="1" si="11"/>
        <v>379.29183358297371</v>
      </c>
    </row>
    <row r="342" spans="1:9" ht="16.05" customHeight="1" x14ac:dyDescent="0.3">
      <c r="A342" s="70">
        <v>326</v>
      </c>
      <c r="B342" s="71">
        <f ca="1">(C7)+(E7-C7)*IF(RAND()&lt;((D7)-(C7))/((E7)-(C7)),SQRT(RAND()*((D7)-(C7))/((E7)-(C7))),1-SQRT(RAND()*((E7)-(D7))/((E7)-(C7))))</f>
        <v>0.26126517982038011</v>
      </c>
      <c r="C342" s="71">
        <f ca="1">(C8)+(E8-C8)*IF(RAND()&lt;((D8)-(C8))/((E8)-(C8)),SQRT(RAND()*((D8)-(C8))/((E8)-(C8))),1-SQRT(RAND()*((E8)-(D8))/((E8)-(C8))))</f>
        <v>0.63916391088932889</v>
      </c>
      <c r="D342" s="72">
        <f ca="1">(C9)+(E9-C9)*IF(RAND()&lt;((D9)-(C9))/((E9)-(C9)),SQRT(RAND()*((D9)-(C9))/((E9)-(C9))),1-SQRT(RAND()*((E9)-(D9))/((E9)-(C9))))</f>
        <v>1119666.6019153153</v>
      </c>
      <c r="E342" s="72">
        <f ca="1">(C10)+(E10-C10)*IF(RAND()&lt;((D10)-(C10))/((E10)-(C10)),SQRT(RAND()*((D10)-(C10))/((E10)-(C10))),1-SQRT(RAND()*((E10)-(D10))/((E10)-(C10))))</f>
        <v>4192160.0405799733</v>
      </c>
      <c r="F342" s="71">
        <f ca="1">(C11)+(E11-C11)*IF(RAND()&lt;((D11)-(C11))/((E11)-(C11)),SQRT(RAND()*((D11)-(C11))/((E11)-(C11))),1-SQRT(RAND()*((E11)-(D11))/((E11)-(C11))))</f>
        <v>1.7687920146654153E-2</v>
      </c>
      <c r="G342" s="71">
        <f ca="1">(C12)+(E12-C12)*IF(RAND()&lt;((D12)-(C12))/((E12)-(C12)),SQRT(RAND()*((D12)-(C12))/((E12)-(C12))),1-SQRT(RAND()*((E12)-(D12))/((E12)-(C12))))</f>
        <v>0.15495292699363689</v>
      </c>
      <c r="H342" s="72">
        <f t="shared" ca="1" si="10"/>
        <v>292333232.78103954</v>
      </c>
      <c r="I342" s="73">
        <f t="shared" ca="1" si="11"/>
        <v>345.69279576936202</v>
      </c>
    </row>
    <row r="343" spans="1:9" ht="16.05" customHeight="1" x14ac:dyDescent="0.3">
      <c r="A343" s="66">
        <v>327</v>
      </c>
      <c r="B343" s="67">
        <f ca="1">(C7)+(E7-C7)*IF(RAND()&lt;((D7)-(C7))/((E7)-(C7)),SQRT(RAND()*((D7)-(C7))/((E7)-(C7))),1-SQRT(RAND()*((E7)-(D7))/((E7)-(C7))))</f>
        <v>0.29066596762607338</v>
      </c>
      <c r="C343" s="67">
        <f ca="1">(C8)+(E8-C8)*IF(RAND()&lt;((D8)-(C8))/((E8)-(C8)),SQRT(RAND()*((D8)-(C8))/((E8)-(C8))),1-SQRT(RAND()*((E8)-(D8))/((E8)-(C8))))</f>
        <v>0.8108254863953428</v>
      </c>
      <c r="D343" s="68">
        <f ca="1">(C9)+(E9-C9)*IF(RAND()&lt;((D9)-(C9))/((E9)-(C9)),SQRT(RAND()*((D9)-(C9))/((E9)-(C9))),1-SQRT(RAND()*((E9)-(D9))/((E9)-(C9))))</f>
        <v>1294215.3854531506</v>
      </c>
      <c r="E343" s="68">
        <f ca="1">(C10)+(E10-C10)*IF(RAND()&lt;((D10)-(C10))/((E10)-(C10)),SQRT(RAND()*((D10)-(C10))/((E10)-(C10))),1-SQRT(RAND()*((E10)-(D10))/((E10)-(C10))))</f>
        <v>3164254.0700047472</v>
      </c>
      <c r="F343" s="67">
        <f ca="1">(C11)+(E11-C11)*IF(RAND()&lt;((D11)-(C11))/((E11)-(C11)),SQRT(RAND()*((D11)-(C11))/((E11)-(C11))),1-SQRT(RAND()*((E11)-(D11))/((E11)-(C11))))</f>
        <v>1.0956394328087215E-2</v>
      </c>
      <c r="G343" s="67">
        <f ca="1">(C12)+(E12-C12)*IF(RAND()&lt;((D12)-(C12))/((E12)-(C12)),SQRT(RAND()*((D12)-(C12))/((E12)-(C12))),1-SQRT(RAND()*((E12)-(D12))/((E12)-(C12))))</f>
        <v>0.17865097680340736</v>
      </c>
      <c r="H343" s="68">
        <f t="shared" ca="1" si="10"/>
        <v>322199022.60054648</v>
      </c>
      <c r="I343" s="69">
        <f t="shared" ca="1" si="11"/>
        <v>329.68508253733319</v>
      </c>
    </row>
    <row r="344" spans="1:9" ht="16.05" customHeight="1" x14ac:dyDescent="0.3">
      <c r="A344" s="70">
        <v>328</v>
      </c>
      <c r="B344" s="71">
        <f ca="1">(C7)+(E7-C7)*IF(RAND()&lt;((D7)-(C7))/((E7)-(C7)),SQRT(RAND()*((D7)-(C7))/((E7)-(C7))),1-SQRT(RAND()*((E7)-(D7))/((E7)-(C7))))</f>
        <v>0.28122566552730172</v>
      </c>
      <c r="C344" s="71">
        <f ca="1">(C8)+(E8-C8)*IF(RAND()&lt;((D8)-(C8))/((E8)-(C8)),SQRT(RAND()*((D8)-(C8))/((E8)-(C8))),1-SQRT(RAND()*((E8)-(D8))/((E8)-(C8))))</f>
        <v>0.59989098982776334</v>
      </c>
      <c r="D344" s="72">
        <f ca="1">(C9)+(E9-C9)*IF(RAND()&lt;((D9)-(C9))/((E9)-(C9)),SQRT(RAND()*((D9)-(C9))/((E9)-(C9))),1-SQRT(RAND()*((E9)-(D9))/((E9)-(C9))))</f>
        <v>1185470.4901136118</v>
      </c>
      <c r="E344" s="72">
        <f ca="1">(C10)+(E10-C10)*IF(RAND()&lt;((D10)-(C10))/((E10)-(C10)),SQRT(RAND()*((D10)-(C10))/((E10)-(C10))),1-SQRT(RAND()*((E10)-(D10))/((E10)-(C10))))</f>
        <v>3190247.5833885698</v>
      </c>
      <c r="F344" s="71">
        <f ca="1">(C11)+(E11-C11)*IF(RAND()&lt;((D11)-(C11))/((E11)-(C11)),SQRT(RAND()*((D11)-(C11))/((E11)-(C11))),1-SQRT(RAND()*((E11)-(D11))/((E11)-(C11))))</f>
        <v>8.8860533060446858E-3</v>
      </c>
      <c r="G344" s="71">
        <f ca="1">(C12)+(E12-C12)*IF(RAND()&lt;((D12)-(C12))/((E12)-(C12)),SQRT(RAND()*((D12)-(C12))/((E12)-(C12))),1-SQRT(RAND()*((E12)-(D12))/((E12)-(C12))))</f>
        <v>0.1137534712636671</v>
      </c>
      <c r="H344" s="72">
        <f t="shared" ca="1" si="10"/>
        <v>234400778.94781482</v>
      </c>
      <c r="I344" s="73">
        <f t="shared" ca="1" si="11"/>
        <v>262.11980656579658</v>
      </c>
    </row>
    <row r="345" spans="1:9" ht="16.05" customHeight="1" x14ac:dyDescent="0.3">
      <c r="A345" s="66">
        <v>329</v>
      </c>
      <c r="B345" s="67">
        <f ca="1">(C7)+(E7-C7)*IF(RAND()&lt;((D7)-(C7))/((E7)-(C7)),SQRT(RAND()*((D7)-(C7))/((E7)-(C7))),1-SQRT(RAND()*((E7)-(D7))/((E7)-(C7))))</f>
        <v>0.20829106420288002</v>
      </c>
      <c r="C345" s="67">
        <f ca="1">(C8)+(E8-C8)*IF(RAND()&lt;((D8)-(C8))/((E8)-(C8)),SQRT(RAND()*((D8)-(C8))/((E8)-(C8))),1-SQRT(RAND()*((E8)-(D8))/((E8)-(C8))))</f>
        <v>0.65487279574355584</v>
      </c>
      <c r="D345" s="68">
        <f ca="1">(C9)+(E9-C9)*IF(RAND()&lt;((D9)-(C9))/((E9)-(C9)),SQRT(RAND()*((D9)-(C9))/((E9)-(C9))),1-SQRT(RAND()*((E9)-(D9))/((E9)-(C9))))</f>
        <v>1296569.8496441243</v>
      </c>
      <c r="E345" s="68">
        <f ca="1">(C10)+(E10-C10)*IF(RAND()&lt;((D10)-(C10))/((E10)-(C10)),SQRT(RAND()*((D10)-(C10))/((E10)-(C10))),1-SQRT(RAND()*((E10)-(D10))/((E10)-(C10))))</f>
        <v>4043959.5576632982</v>
      </c>
      <c r="F345" s="67">
        <f ca="1">(C11)+(E11-C11)*IF(RAND()&lt;((D11)-(C11))/((E11)-(C11)),SQRT(RAND()*((D11)-(C11))/((E11)-(C11))),1-SQRT(RAND()*((E11)-(D11))/((E11)-(C11))))</f>
        <v>1.4134155225947742E-2</v>
      </c>
      <c r="G345" s="67">
        <f ca="1">(C12)+(E12-C12)*IF(RAND()&lt;((D12)-(C12))/((E12)-(C12)),SQRT(RAND()*((D12)-(C12))/((E12)-(C12))),1-SQRT(RAND()*((E12)-(D12))/((E12)-(C12))))</f>
        <v>0.10888435887777811</v>
      </c>
      <c r="H345" s="68">
        <f t="shared" ca="1" si="10"/>
        <v>233790828.62941089</v>
      </c>
      <c r="I345" s="69">
        <f t="shared" ca="1" si="11"/>
        <v>239.15203451008369</v>
      </c>
    </row>
    <row r="346" spans="1:9" ht="16.05" customHeight="1" x14ac:dyDescent="0.3">
      <c r="A346" s="70">
        <v>330</v>
      </c>
      <c r="B346" s="71">
        <f ca="1">(C7)+(E7-C7)*IF(RAND()&lt;((D7)-(C7))/((E7)-(C7)),SQRT(RAND()*((D7)-(C7))/((E7)-(C7))),1-SQRT(RAND()*((E7)-(D7))/((E7)-(C7))))</f>
        <v>0.33024949317969499</v>
      </c>
      <c r="C346" s="71">
        <f ca="1">(C8)+(E8-C8)*IF(RAND()&lt;((D8)-(C8))/((E8)-(C8)),SQRT(RAND()*((D8)-(C8))/((E8)-(C8))),1-SQRT(RAND()*((E8)-(D8))/((E8)-(C8))))</f>
        <v>0.66615266555801034</v>
      </c>
      <c r="D346" s="72">
        <f ca="1">(C9)+(E9-C9)*IF(RAND()&lt;((D9)-(C9))/((E9)-(C9)),SQRT(RAND()*((D9)-(C9))/((E9)-(C9))),1-SQRT(RAND()*((E9)-(D9))/((E9)-(C9))))</f>
        <v>1205334.4895440354</v>
      </c>
      <c r="E346" s="72">
        <f ca="1">(C10)+(E10-C10)*IF(RAND()&lt;((D10)-(C10))/((E10)-(C10)),SQRT(RAND()*((D10)-(C10))/((E10)-(C10))),1-SQRT(RAND()*((E10)-(D10))/((E10)-(C10))))</f>
        <v>2972929.0165759036</v>
      </c>
      <c r="F346" s="71">
        <f ca="1">(C11)+(E11-C11)*IF(RAND()&lt;((D11)-(C11))/((E11)-(C11)),SQRT(RAND()*((D11)-(C11))/((E11)-(C11))),1-SQRT(RAND()*((E11)-(D11))/((E11)-(C11))))</f>
        <v>7.0783868839033566E-3</v>
      </c>
      <c r="G346" s="71">
        <f ca="1">(C12)+(E12-C12)*IF(RAND()&lt;((D12)-(C12))/((E12)-(C12)),SQRT(RAND()*((D12)-(C12))/((E12)-(C12))),1-SQRT(RAND()*((E12)-(D12))/((E12)-(C12))))</f>
        <v>0.16696602334365232</v>
      </c>
      <c r="H346" s="72">
        <f t="shared" ca="1" si="10"/>
        <v>277960857.31945258</v>
      </c>
      <c r="I346" s="73">
        <f t="shared" ca="1" si="11"/>
        <v>305.48921797688871</v>
      </c>
    </row>
    <row r="347" spans="1:9" ht="16.05" customHeight="1" x14ac:dyDescent="0.3">
      <c r="A347" s="66">
        <v>331</v>
      </c>
      <c r="B347" s="67">
        <f ca="1">(C7)+(E7-C7)*IF(RAND()&lt;((D7)-(C7))/((E7)-(C7)),SQRT(RAND()*((D7)-(C7))/((E7)-(C7))),1-SQRT(RAND()*((E7)-(D7))/((E7)-(C7))))</f>
        <v>0.26203563629154941</v>
      </c>
      <c r="C347" s="67">
        <f ca="1">(C8)+(E8-C8)*IF(RAND()&lt;((D8)-(C8))/((E8)-(C8)),SQRT(RAND()*((D8)-(C8))/((E8)-(C8))),1-SQRT(RAND()*((E8)-(D8))/((E8)-(C8))))</f>
        <v>0.75826989910541798</v>
      </c>
      <c r="D347" s="68">
        <f ca="1">(C9)+(E9-C9)*IF(RAND()&lt;((D9)-(C9))/((E9)-(C9)),SQRT(RAND()*((D9)-(C9))/((E9)-(C9))),1-SQRT(RAND()*((E9)-(D9))/((E9)-(C9))))</f>
        <v>1236624.4125081685</v>
      </c>
      <c r="E347" s="68">
        <f ca="1">(C10)+(E10-C10)*IF(RAND()&lt;((D10)-(C10))/((E10)-(C10)),SQRT(RAND()*((D10)-(C10))/((E10)-(C10))),1-SQRT(RAND()*((E10)-(D10))/((E10)-(C10))))</f>
        <v>3356702.2438510605</v>
      </c>
      <c r="F347" s="67">
        <f ca="1">(C11)+(E11-C11)*IF(RAND()&lt;((D11)-(C11))/((E11)-(C11)),SQRT(RAND()*((D11)-(C11))/((E11)-(C11))),1-SQRT(RAND()*((E11)-(D11))/((E11)-(C11))))</f>
        <v>2.3572292286591315E-2</v>
      </c>
      <c r="G347" s="67">
        <f ca="1">(C12)+(E12-C12)*IF(RAND()&lt;((D12)-(C12))/((E12)-(C12)),SQRT(RAND()*((D12)-(C12))/((E12)-(C12))),1-SQRT(RAND()*((E12)-(D12))/((E12)-(C12))))</f>
        <v>0.13018153958464301</v>
      </c>
      <c r="H347" s="68">
        <f t="shared" ca="1" si="10"/>
        <v>372345579.85780799</v>
      </c>
      <c r="I347" s="69">
        <f t="shared" ca="1" si="11"/>
        <v>398.46392873796816</v>
      </c>
    </row>
    <row r="348" spans="1:9" ht="16.05" customHeight="1" x14ac:dyDescent="0.3">
      <c r="A348" s="70">
        <v>332</v>
      </c>
      <c r="B348" s="71">
        <f ca="1">(C7)+(E7-C7)*IF(RAND()&lt;((D7)-(C7))/((E7)-(C7)),SQRT(RAND()*((D7)-(C7))/((E7)-(C7))),1-SQRT(RAND()*((E7)-(D7))/((E7)-(C7))))</f>
        <v>0.26951215707930576</v>
      </c>
      <c r="C348" s="71">
        <f ca="1">(C8)+(E8-C8)*IF(RAND()&lt;((D8)-(C8))/((E8)-(C8)),SQRT(RAND()*((D8)-(C8))/((E8)-(C8))),1-SQRT(RAND()*((E8)-(D8))/((E8)-(C8))))</f>
        <v>0.75797318390034096</v>
      </c>
      <c r="D348" s="72">
        <f ca="1">(C9)+(E9-C9)*IF(RAND()&lt;((D9)-(C9))/((E9)-(C9)),SQRT(RAND()*((D9)-(C9))/((E9)-(C9))),1-SQRT(RAND()*((E9)-(D9))/((E9)-(C9))))</f>
        <v>1176405.0727673636</v>
      </c>
      <c r="E348" s="72">
        <f ca="1">(C10)+(E10-C10)*IF(RAND()&lt;((D10)-(C10))/((E10)-(C10)),SQRT(RAND()*((D10)-(C10))/((E10)-(C10))),1-SQRT(RAND()*((E10)-(D10))/((E10)-(C10))))</f>
        <v>4684245.297151438</v>
      </c>
      <c r="F348" s="71">
        <f ca="1">(C11)+(E11-C11)*IF(RAND()&lt;((D11)-(C11))/((E11)-(C11)),SQRT(RAND()*((D11)-(C11))/((E11)-(C11))),1-SQRT(RAND()*((E11)-(D11))/((E11)-(C11))))</f>
        <v>1.087646080479E-2</v>
      </c>
      <c r="G348" s="71">
        <f ca="1">(C12)+(E12-C12)*IF(RAND()&lt;((D12)-(C12))/((E12)-(C12)),SQRT(RAND()*((D12)-(C12))/((E12)-(C12))),1-SQRT(RAND()*((E12)-(D12))/((E12)-(C12))))</f>
        <v>0.11839577190117372</v>
      </c>
      <c r="H348" s="72">
        <f t="shared" ca="1" si="10"/>
        <v>281820056.26271415</v>
      </c>
      <c r="I348" s="73">
        <f t="shared" ca="1" si="11"/>
        <v>317.29612232337962</v>
      </c>
    </row>
    <row r="349" spans="1:9" ht="16.05" customHeight="1" x14ac:dyDescent="0.3">
      <c r="A349" s="66">
        <v>333</v>
      </c>
      <c r="B349" s="67">
        <f ca="1">(C7)+(E7-C7)*IF(RAND()&lt;((D7)-(C7))/((E7)-(C7)),SQRT(RAND()*((D7)-(C7))/((E7)-(C7))),1-SQRT(RAND()*((E7)-(D7))/((E7)-(C7))))</f>
        <v>0.29143248142180578</v>
      </c>
      <c r="C349" s="67">
        <f ca="1">(C8)+(E8-C8)*IF(RAND()&lt;((D8)-(C8))/((E8)-(C8)),SQRT(RAND()*((D8)-(C8))/((E8)-(C8))),1-SQRT(RAND()*((E8)-(D8))/((E8)-(C8))))</f>
        <v>0.83842144819983411</v>
      </c>
      <c r="D349" s="68">
        <f ca="1">(C9)+(E9-C9)*IF(RAND()&lt;((D9)-(C9))/((E9)-(C9)),SQRT(RAND()*((D9)-(C9))/((E9)-(C9))),1-SQRT(RAND()*((E9)-(D9))/((E9)-(C9))))</f>
        <v>1397529.4126293925</v>
      </c>
      <c r="E349" s="68">
        <f ca="1">(C10)+(E10-C10)*IF(RAND()&lt;((D10)-(C10))/((E10)-(C10)),SQRT(RAND()*((D10)-(C10))/((E10)-(C10))),1-SQRT(RAND()*((E10)-(D10))/((E10)-(C10))))</f>
        <v>4448840.4057236137</v>
      </c>
      <c r="F349" s="67">
        <f ca="1">(C11)+(E11-C11)*IF(RAND()&lt;((D11)-(C11))/((E11)-(C11)),SQRT(RAND()*((D11)-(C11))/((E11)-(C11))),1-SQRT(RAND()*((E11)-(D11))/((E11)-(C11))))</f>
        <v>1.0139524692713529E-2</v>
      </c>
      <c r="G349" s="67">
        <f ca="1">(C12)+(E12-C12)*IF(RAND()&lt;((D12)-(C12))/((E12)-(C12)),SQRT(RAND()*((D12)-(C12))/((E12)-(C12))),1-SQRT(RAND()*((E12)-(D12))/((E12)-(C12))))</f>
        <v>0.13760654071743406</v>
      </c>
      <c r="H349" s="68">
        <f t="shared" ca="1" si="10"/>
        <v>320756136.08249027</v>
      </c>
      <c r="I349" s="69">
        <f t="shared" ca="1" si="11"/>
        <v>304.04843224913981</v>
      </c>
    </row>
    <row r="350" spans="1:9" ht="16.05" customHeight="1" x14ac:dyDescent="0.3">
      <c r="A350" s="70">
        <v>334</v>
      </c>
      <c r="B350" s="71">
        <f ca="1">(C7)+(E7-C7)*IF(RAND()&lt;((D7)-(C7))/((E7)-(C7)),SQRT(RAND()*((D7)-(C7))/((E7)-(C7))),1-SQRT(RAND()*((E7)-(D7))/((E7)-(C7))))</f>
        <v>0.25452992491081033</v>
      </c>
      <c r="C350" s="71">
        <f ca="1">(C8)+(E8-C8)*IF(RAND()&lt;((D8)-(C8))/((E8)-(C8)),SQRT(RAND()*((D8)-(C8))/((E8)-(C8))),1-SQRT(RAND()*((E8)-(D8))/((E8)-(C8))))</f>
        <v>0.70206962237230808</v>
      </c>
      <c r="D350" s="72">
        <f ca="1">(C9)+(E9-C9)*IF(RAND()&lt;((D9)-(C9))/((E9)-(C9)),SQRT(RAND()*((D9)-(C9))/((E9)-(C9))),1-SQRT(RAND()*((E9)-(D9))/((E9)-(C9))))</f>
        <v>1346322.6616843799</v>
      </c>
      <c r="E350" s="72">
        <f ca="1">(C10)+(E10-C10)*IF(RAND()&lt;((D10)-(C10))/((E10)-(C10)),SQRT(RAND()*((D10)-(C10))/((E10)-(C10))),1-SQRT(RAND()*((E10)-(D10))/((E10)-(C10))))</f>
        <v>3051179.0722958064</v>
      </c>
      <c r="F350" s="71">
        <f ca="1">(C11)+(E11-C11)*IF(RAND()&lt;((D11)-(C11))/((E11)-(C11)),SQRT(RAND()*((D11)-(C11))/((E11)-(C11))),1-SQRT(RAND()*((E11)-(D11))/((E11)-(C11))))</f>
        <v>6.2240055513258898E-3</v>
      </c>
      <c r="G350" s="71">
        <f ca="1">(C12)+(E12-C12)*IF(RAND()&lt;((D12)-(C12))/((E12)-(C12)),SQRT(RAND()*((D12)-(C12))/((E12)-(C12))),1-SQRT(RAND()*((E12)-(D12))/((E12)-(C12))))</f>
        <v>0.16073549696166706</v>
      </c>
      <c r="H350" s="72">
        <f t="shared" ca="1" si="10"/>
        <v>226425282.0115068</v>
      </c>
      <c r="I350" s="73">
        <f t="shared" ca="1" si="11"/>
        <v>223.14701081459771</v>
      </c>
    </row>
    <row r="351" spans="1:9" ht="16.05" customHeight="1" x14ac:dyDescent="0.3">
      <c r="A351" s="66">
        <v>335</v>
      </c>
      <c r="B351" s="67">
        <f ca="1">(C7)+(E7-C7)*IF(RAND()&lt;((D7)-(C7))/((E7)-(C7)),SQRT(RAND()*((D7)-(C7))/((E7)-(C7))),1-SQRT(RAND()*((E7)-(D7))/((E7)-(C7))))</f>
        <v>0.30611382752981986</v>
      </c>
      <c r="C351" s="67">
        <f ca="1">(C8)+(E8-C8)*IF(RAND()&lt;((D8)-(C8))/((E8)-(C8)),SQRT(RAND()*((D8)-(C8))/((E8)-(C8))),1-SQRT(RAND()*((E8)-(D8))/((E8)-(C8))))</f>
        <v>0.63615575173446726</v>
      </c>
      <c r="D351" s="68">
        <f ca="1">(C9)+(E9-C9)*IF(RAND()&lt;((D9)-(C9))/((E9)-(C9)),SQRT(RAND()*((D9)-(C9))/((E9)-(C9))),1-SQRT(RAND()*((E9)-(D9))/((E9)-(C9))))</f>
        <v>1242483.9797279933</v>
      </c>
      <c r="E351" s="68">
        <f ca="1">(C10)+(E10-C10)*IF(RAND()&lt;((D10)-(C10))/((E10)-(C10)),SQRT(RAND()*((D10)-(C10))/((E10)-(C10))),1-SQRT(RAND()*((E10)-(D10))/((E10)-(C10))))</f>
        <v>2880847.6205089106</v>
      </c>
      <c r="F351" s="67">
        <f ca="1">(C11)+(E11-C11)*IF(RAND()&lt;((D11)-(C11))/((E11)-(C11)),SQRT(RAND()*((D11)-(C11))/((E11)-(C11))),1-SQRT(RAND()*((E11)-(D11))/((E11)-(C11))))</f>
        <v>1.56327094895224E-2</v>
      </c>
      <c r="G351" s="67">
        <f ca="1">(C12)+(E12-C12)*IF(RAND()&lt;((D12)-(C12))/((E12)-(C12)),SQRT(RAND()*((D12)-(C12))/((E12)-(C12))),1-SQRT(RAND()*((E12)-(D12))/((E12)-(C12))))</f>
        <v>0.17697082367940431</v>
      </c>
      <c r="H351" s="68">
        <f t="shared" ca="1" si="10"/>
        <v>312532627.44985664</v>
      </c>
      <c r="I351" s="69">
        <f t="shared" ca="1" si="11"/>
        <v>333.09517579991547</v>
      </c>
    </row>
    <row r="352" spans="1:9" ht="16.05" customHeight="1" x14ac:dyDescent="0.3">
      <c r="A352" s="70">
        <v>336</v>
      </c>
      <c r="B352" s="71">
        <f ca="1">(C7)+(E7-C7)*IF(RAND()&lt;((D7)-(C7))/((E7)-(C7)),SQRT(RAND()*((D7)-(C7))/((E7)-(C7))),1-SQRT(RAND()*((E7)-(D7))/((E7)-(C7))))</f>
        <v>0.27504372903589291</v>
      </c>
      <c r="C352" s="71">
        <f ca="1">(C8)+(E8-C8)*IF(RAND()&lt;((D8)-(C8))/((E8)-(C8)),SQRT(RAND()*((D8)-(C8))/((E8)-(C8))),1-SQRT(RAND()*((E8)-(D8))/((E8)-(C8))))</f>
        <v>0.62279460743744752</v>
      </c>
      <c r="D352" s="72">
        <f ca="1">(C9)+(E9-C9)*IF(RAND()&lt;((D9)-(C9))/((E9)-(C9)),SQRT(RAND()*((D9)-(C9))/((E9)-(C9))),1-SQRT(RAND()*((E9)-(D9))/((E9)-(C9))))</f>
        <v>1197163.1916137002</v>
      </c>
      <c r="E352" s="72">
        <f ca="1">(C10)+(E10-C10)*IF(RAND()&lt;((D10)-(C10))/((E10)-(C10)),SQRT(RAND()*((D10)-(C10))/((E10)-(C10))),1-SQRT(RAND()*((E10)-(D10))/((E10)-(C10))))</f>
        <v>3614688.5835195696</v>
      </c>
      <c r="F352" s="71">
        <f ca="1">(C11)+(E11-C11)*IF(RAND()&lt;((D11)-(C11))/((E11)-(C11)),SQRT(RAND()*((D11)-(C11))/((E11)-(C11))),1-SQRT(RAND()*((E11)-(D11))/((E11)-(C11))))</f>
        <v>1.0361361332096237E-2</v>
      </c>
      <c r="G352" s="71">
        <f ca="1">(C12)+(E12-C12)*IF(RAND()&lt;((D12)-(C12))/((E12)-(C12)),SQRT(RAND()*((D12)-(C12))/((E12)-(C12))),1-SQRT(RAND()*((E12)-(D12))/((E12)-(C12))))</f>
        <v>0.16146743571232516</v>
      </c>
      <c r="H352" s="72">
        <f t="shared" ca="1" si="10"/>
        <v>246247292.32691145</v>
      </c>
      <c r="I352" s="73">
        <f t="shared" ca="1" si="11"/>
        <v>272.62458643765791</v>
      </c>
    </row>
    <row r="353" spans="1:9" ht="16.05" customHeight="1" x14ac:dyDescent="0.3">
      <c r="A353" s="66">
        <v>337</v>
      </c>
      <c r="B353" s="67">
        <f ca="1">(C7)+(E7-C7)*IF(RAND()&lt;((D7)-(C7))/((E7)-(C7)),SQRT(RAND()*((D7)-(C7))/((E7)-(C7))),1-SQRT(RAND()*((E7)-(D7))/((E7)-(C7))))</f>
        <v>0.26196303833179424</v>
      </c>
      <c r="C353" s="67">
        <f ca="1">(C8)+(E8-C8)*IF(RAND()&lt;((D8)-(C8))/((E8)-(C8)),SQRT(RAND()*((D8)-(C8))/((E8)-(C8))),1-SQRT(RAND()*((E8)-(D8))/((E8)-(C8))))</f>
        <v>0.66400444496740507</v>
      </c>
      <c r="D353" s="68">
        <f ca="1">(C9)+(E9-C9)*IF(RAND()&lt;((D9)-(C9))/((E9)-(C9)),SQRT(RAND()*((D9)-(C9))/((E9)-(C9))),1-SQRT(RAND()*((E9)-(D9))/((E9)-(C9))))</f>
        <v>1178371.8031800862</v>
      </c>
      <c r="E353" s="68">
        <f ca="1">(C10)+(E10-C10)*IF(RAND()&lt;((D10)-(C10))/((E10)-(C10)),SQRT(RAND()*((D10)-(C10))/((E10)-(C10))),1-SQRT(RAND()*((E10)-(D10))/((E10)-(C10))))</f>
        <v>2656243.0433930643</v>
      </c>
      <c r="F353" s="67">
        <f ca="1">(C11)+(E11-C11)*IF(RAND()&lt;((D11)-(C11))/((E11)-(C11)),SQRT(RAND()*((D11)-(C11))/((E11)-(C11))),1-SQRT(RAND()*((E11)-(D11))/((E11)-(C11))))</f>
        <v>5.8708612547088762E-3</v>
      </c>
      <c r="G353" s="67">
        <f ca="1">(C12)+(E12-C12)*IF(RAND()&lt;((D12)-(C12))/((E12)-(C12)),SQRT(RAND()*((D12)-(C12))/((E12)-(C12))),1-SQRT(RAND()*((E12)-(D12))/((E12)-(C12))))</f>
        <v>0.1374843643276599</v>
      </c>
      <c r="H353" s="68">
        <f t="shared" ca="1" si="10"/>
        <v>220370306.69836622</v>
      </c>
      <c r="I353" s="69">
        <f t="shared" ca="1" si="11"/>
        <v>247.98617509511587</v>
      </c>
    </row>
    <row r="354" spans="1:9" ht="16.05" customHeight="1" x14ac:dyDescent="0.3">
      <c r="A354" s="70">
        <v>338</v>
      </c>
      <c r="B354" s="71">
        <f ca="1">(C7)+(E7-C7)*IF(RAND()&lt;((D7)-(C7))/((E7)-(C7)),SQRT(RAND()*((D7)-(C7))/((E7)-(C7))),1-SQRT(RAND()*((E7)-(D7))/((E7)-(C7))))</f>
        <v>0.23798390519770599</v>
      </c>
      <c r="C354" s="71">
        <f ca="1">(C8)+(E8-C8)*IF(RAND()&lt;((D8)-(C8))/((E8)-(C8)),SQRT(RAND()*((D8)-(C8))/((E8)-(C8))),1-SQRT(RAND()*((E8)-(D8))/((E8)-(C8))))</f>
        <v>0.7465263804424247</v>
      </c>
      <c r="D354" s="72">
        <f ca="1">(C9)+(E9-C9)*IF(RAND()&lt;((D9)-(C9))/((E9)-(C9)),SQRT(RAND()*((D9)-(C9))/((E9)-(C9))),1-SQRT(RAND()*((E9)-(D9))/((E9)-(C9))))</f>
        <v>1200882.1470519616</v>
      </c>
      <c r="E354" s="72">
        <f ca="1">(C10)+(E10-C10)*IF(RAND()&lt;((D10)-(C10))/((E10)-(C10)),SQRT(RAND()*((D10)-(C10))/((E10)-(C10))),1-SQRT(RAND()*((E10)-(D10))/((E10)-(C10))))</f>
        <v>2708129.9068944766</v>
      </c>
      <c r="F354" s="71">
        <f ca="1">(C11)+(E11-C11)*IF(RAND()&lt;((D11)-(C11))/((E11)-(C11)),SQRT(RAND()*((D11)-(C11))/((E11)-(C11))),1-SQRT(RAND()*((E11)-(D11))/((E11)-(C11))))</f>
        <v>1.2778181021367893E-2</v>
      </c>
      <c r="G354" s="71">
        <f ca="1">(C12)+(E12-C12)*IF(RAND()&lt;((D12)-(C12))/((E12)-(C12)),SQRT(RAND()*((D12)-(C12))/((E12)-(C12))),1-SQRT(RAND()*((E12)-(D12))/((E12)-(C12))))</f>
        <v>0.15658295226739294</v>
      </c>
      <c r="H354" s="72">
        <f t="shared" ca="1" si="10"/>
        <v>274049317.81966048</v>
      </c>
      <c r="I354" s="73">
        <f t="shared" ca="1" si="11"/>
        <v>302.32071280982581</v>
      </c>
    </row>
    <row r="355" spans="1:9" ht="16.05" customHeight="1" x14ac:dyDescent="0.3">
      <c r="A355" s="66">
        <v>339</v>
      </c>
      <c r="B355" s="67">
        <f ca="1">(C7)+(E7-C7)*IF(RAND()&lt;((D7)-(C7))/((E7)-(C7)),SQRT(RAND()*((D7)-(C7))/((E7)-(C7))),1-SQRT(RAND()*((E7)-(D7))/((E7)-(C7))))</f>
        <v>0.28543755739593624</v>
      </c>
      <c r="C355" s="67">
        <f ca="1">(C8)+(E8-C8)*IF(RAND()&lt;((D8)-(C8))/((E8)-(C8)),SQRT(RAND()*((D8)-(C8))/((E8)-(C8))),1-SQRT(RAND()*((E8)-(D8))/((E8)-(C8))))</f>
        <v>0.67161676176948526</v>
      </c>
      <c r="D355" s="68">
        <f ca="1">(C9)+(E9-C9)*IF(RAND()&lt;((D9)-(C9))/((E9)-(C9)),SQRT(RAND()*((D9)-(C9))/((E9)-(C9))),1-SQRT(RAND()*((E9)-(D9))/((E9)-(C9))))</f>
        <v>1277622.0361059292</v>
      </c>
      <c r="E355" s="68">
        <f ca="1">(C10)+(E10-C10)*IF(RAND()&lt;((D10)-(C10))/((E10)-(C10)),SQRT(RAND()*((D10)-(C10))/((E10)-(C10))),1-SQRT(RAND()*((E10)-(D10))/((E10)-(C10))))</f>
        <v>3963755.1317515047</v>
      </c>
      <c r="F355" s="67">
        <f ca="1">(C11)+(E11-C11)*IF(RAND()&lt;((D11)-(C11))/((E11)-(C11)),SQRT(RAND()*((D11)-(C11))/((E11)-(C11))),1-SQRT(RAND()*((E11)-(D11))/((E11)-(C11))))</f>
        <v>1.0741196057048328E-2</v>
      </c>
      <c r="G355" s="67">
        <f ca="1">(C12)+(E12-C12)*IF(RAND()&lt;((D12)-(C12))/((E12)-(C12)),SQRT(RAND()*((D12)-(C12))/((E12)-(C12))),1-SQRT(RAND()*((E12)-(D12))/((E12)-(C12))))</f>
        <v>0.16430727055673192</v>
      </c>
      <c r="H355" s="68">
        <f t="shared" ca="1" si="10"/>
        <v>269789091.40376914</v>
      </c>
      <c r="I355" s="69">
        <f t="shared" ca="1" si="11"/>
        <v>279.84299781919788</v>
      </c>
    </row>
    <row r="356" spans="1:9" ht="16.05" customHeight="1" x14ac:dyDescent="0.3">
      <c r="A356" s="70">
        <v>340</v>
      </c>
      <c r="B356" s="71">
        <f ca="1">(C7)+(E7-C7)*IF(RAND()&lt;((D7)-(C7))/((E7)-(C7)),SQRT(RAND()*((D7)-(C7))/((E7)-(C7))),1-SQRT(RAND()*((E7)-(D7))/((E7)-(C7))))</f>
        <v>0.22087989606699579</v>
      </c>
      <c r="C356" s="71">
        <f ca="1">(C8)+(E8-C8)*IF(RAND()&lt;((D8)-(C8))/((E8)-(C8)),SQRT(RAND()*((D8)-(C8))/((E8)-(C8))),1-SQRT(RAND()*((E8)-(D8))/((E8)-(C8))))</f>
        <v>0.7212780997272572</v>
      </c>
      <c r="D356" s="72">
        <f ca="1">(C9)+(E9-C9)*IF(RAND()&lt;((D9)-(C9))/((E9)-(C9)),SQRT(RAND()*((D9)-(C9))/((E9)-(C9))),1-SQRT(RAND()*((E9)-(D9))/((E9)-(C9))))</f>
        <v>1136550.8741062307</v>
      </c>
      <c r="E356" s="72">
        <f ca="1">(C10)+(E10-C10)*IF(RAND()&lt;((D10)-(C10))/((E10)-(C10)),SQRT(RAND()*((D10)-(C10))/((E10)-(C10))),1-SQRT(RAND()*((E10)-(D10))/((E10)-(C10))))</f>
        <v>2944957.4340263475</v>
      </c>
      <c r="F356" s="71">
        <f ca="1">(C11)+(E11-C11)*IF(RAND()&lt;((D11)-(C11))/((E11)-(C11)),SQRT(RAND()*((D11)-(C11))/((E11)-(C11))),1-SQRT(RAND()*((E11)-(D11))/((E11)-(C11))))</f>
        <v>6.0979186690094537E-3</v>
      </c>
      <c r="G356" s="71">
        <f ca="1">(C12)+(E12-C12)*IF(RAND()&lt;((D12)-(C12))/((E12)-(C12)),SQRT(RAND()*((D12)-(C12))/((E12)-(C12))),1-SQRT(RAND()*((E12)-(D12))/((E12)-(C12))))</f>
        <v>0.1435795972282643</v>
      </c>
      <c r="H356" s="72">
        <f t="shared" ca="1" si="10"/>
        <v>205041018.55041981</v>
      </c>
      <c r="I356" s="73">
        <f t="shared" ca="1" si="11"/>
        <v>239.2727182289336</v>
      </c>
    </row>
    <row r="357" spans="1:9" ht="16.05" customHeight="1" x14ac:dyDescent="0.3">
      <c r="A357" s="66">
        <v>341</v>
      </c>
      <c r="B357" s="67">
        <f ca="1">(C7)+(E7-C7)*IF(RAND()&lt;((D7)-(C7))/((E7)-(C7)),SQRT(RAND()*((D7)-(C7))/((E7)-(C7))),1-SQRT(RAND()*((E7)-(D7))/((E7)-(C7))))</f>
        <v>0.29234673176135495</v>
      </c>
      <c r="C357" s="67">
        <f ca="1">(C8)+(E8-C8)*IF(RAND()&lt;((D8)-(C8))/((E8)-(C8)),SQRT(RAND()*((D8)-(C8))/((E8)-(C8))),1-SQRT(RAND()*((E8)-(D8))/((E8)-(C8))))</f>
        <v>0.6811336128951041</v>
      </c>
      <c r="D357" s="68">
        <f ca="1">(C9)+(E9-C9)*IF(RAND()&lt;((D9)-(C9))/((E9)-(C9)),SQRT(RAND()*((D9)-(C9))/((E9)-(C9))),1-SQRT(RAND()*((E9)-(D9))/((E9)-(C9))))</f>
        <v>1190629.9942545262</v>
      </c>
      <c r="E357" s="68">
        <f ca="1">(C10)+(E10-C10)*IF(RAND()&lt;((D10)-(C10))/((E10)-(C10)),SQRT(RAND()*((D10)-(C10))/((E10)-(C10))),1-SQRT(RAND()*((E10)-(D10))/((E10)-(C10))))</f>
        <v>3126278.9079236602</v>
      </c>
      <c r="F357" s="67">
        <f ca="1">(C11)+(E11-C11)*IF(RAND()&lt;((D11)-(C11))/((E11)-(C11)),SQRT(RAND()*((D11)-(C11))/((E11)-(C11))),1-SQRT(RAND()*((E11)-(D11))/((E11)-(C11))))</f>
        <v>6.1854221526202024E-3</v>
      </c>
      <c r="G357" s="67">
        <f ca="1">(C12)+(E12-C12)*IF(RAND()&lt;((D12)-(C12))/((E12)-(C12)),SQRT(RAND()*((D12)-(C12))/((E12)-(C12))),1-SQRT(RAND()*((E12)-(D12))/((E12)-(C12))))</f>
        <v>0.15532808942038828</v>
      </c>
      <c r="H357" s="68">
        <f t="shared" ca="1" si="10"/>
        <v>248244152.12018961</v>
      </c>
      <c r="I357" s="69">
        <f t="shared" ca="1" si="11"/>
        <v>276.32542209544795</v>
      </c>
    </row>
    <row r="358" spans="1:9" ht="16.05" customHeight="1" x14ac:dyDescent="0.3">
      <c r="A358" s="70">
        <v>342</v>
      </c>
      <c r="B358" s="71">
        <f ca="1">(C7)+(E7-C7)*IF(RAND()&lt;((D7)-(C7))/((E7)-(C7)),SQRT(RAND()*((D7)-(C7))/((E7)-(C7))),1-SQRT(RAND()*((E7)-(D7))/((E7)-(C7))))</f>
        <v>0.22463841166608342</v>
      </c>
      <c r="C358" s="71">
        <f ca="1">(C8)+(E8-C8)*IF(RAND()&lt;((D8)-(C8))/((E8)-(C8)),SQRT(RAND()*((D8)-(C8))/((E8)-(C8))),1-SQRT(RAND()*((E8)-(D8))/((E8)-(C8))))</f>
        <v>0.69212258479506428</v>
      </c>
      <c r="D358" s="72">
        <f ca="1">(C9)+(E9-C9)*IF(RAND()&lt;((D9)-(C9))/((E9)-(C9)),SQRT(RAND()*((D9)-(C9))/((E9)-(C9))),1-SQRT(RAND()*((E9)-(D9))/((E9)-(C9))))</f>
        <v>1329078.8255024005</v>
      </c>
      <c r="E358" s="72">
        <f ca="1">(C10)+(E10-C10)*IF(RAND()&lt;((D10)-(C10))/((E10)-(C10)),SQRT(RAND()*((D10)-(C10))/((E10)-(C10))),1-SQRT(RAND()*((E10)-(D10))/((E10)-(C10))))</f>
        <v>3762626.7098622262</v>
      </c>
      <c r="F358" s="71">
        <f ca="1">(C11)+(E11-C11)*IF(RAND()&lt;((D11)-(C11))/((E11)-(C11)),SQRT(RAND()*((D11)-(C11))/((E11)-(C11))),1-SQRT(RAND()*((E11)-(D11))/((E11)-(C11))))</f>
        <v>1.2603498851400321E-2</v>
      </c>
      <c r="G358" s="71">
        <f ca="1">(C12)+(E12-C12)*IF(RAND()&lt;((D12)-(C12))/((E12)-(C12)),SQRT(RAND()*((D12)-(C12))/((E12)-(C12))),1-SQRT(RAND()*((E12)-(D12))/((E12)-(C12))))</f>
        <v>0.14809407086121373</v>
      </c>
      <c r="H358" s="72">
        <f t="shared" ca="1" si="10"/>
        <v>244527800.5129241</v>
      </c>
      <c r="I358" s="73">
        <f t="shared" ca="1" si="11"/>
        <v>243.99013873770204</v>
      </c>
    </row>
    <row r="359" spans="1:9" ht="16.05" customHeight="1" x14ac:dyDescent="0.3">
      <c r="A359" s="66">
        <v>343</v>
      </c>
      <c r="B359" s="67">
        <f ca="1">(C7)+(E7-C7)*IF(RAND()&lt;((D7)-(C7))/((E7)-(C7)),SQRT(RAND()*((D7)-(C7))/((E7)-(C7))),1-SQRT(RAND()*((E7)-(D7))/((E7)-(C7))))</f>
        <v>0.20783045697665911</v>
      </c>
      <c r="C359" s="67">
        <f ca="1">(C8)+(E8-C8)*IF(RAND()&lt;((D8)-(C8))/((E8)-(C8)),SQRT(RAND()*((D8)-(C8))/((E8)-(C8))),1-SQRT(RAND()*((E8)-(D8))/((E8)-(C8))))</f>
        <v>0.61445767654003891</v>
      </c>
      <c r="D359" s="68">
        <f ca="1">(C9)+(E9-C9)*IF(RAND()&lt;((D9)-(C9))/((E9)-(C9)),SQRT(RAND()*((D9)-(C9))/((E9)-(C9))),1-SQRT(RAND()*((E9)-(D9))/((E9)-(C9))))</f>
        <v>1372875.3576129475</v>
      </c>
      <c r="E359" s="68">
        <f ca="1">(C10)+(E10-C10)*IF(RAND()&lt;((D10)-(C10))/((E10)-(C10)),SQRT(RAND()*((D10)-(C10))/((E10)-(C10))),1-SQRT(RAND()*((E10)-(D10))/((E10)-(C10))))</f>
        <v>4245636.2262900528</v>
      </c>
      <c r="F359" s="67">
        <f ca="1">(C11)+(E11-C11)*IF(RAND()&lt;((D11)-(C11))/((E11)-(C11)),SQRT(RAND()*((D11)-(C11))/((E11)-(C11))),1-SQRT(RAND()*((E11)-(D11))/((E11)-(C11))))</f>
        <v>2.7134467869821217E-2</v>
      </c>
      <c r="G359" s="67">
        <f ca="1">(C12)+(E12-C12)*IF(RAND()&lt;((D12)-(C12))/((E12)-(C12)),SQRT(RAND()*((D12)-(C12))/((E12)-(C12))),1-SQRT(RAND()*((E12)-(D12))/((E12)-(C12))))</f>
        <v>0.15836278164632345</v>
      </c>
      <c r="H359" s="68">
        <f t="shared" ca="1" si="10"/>
        <v>317315373.67648554</v>
      </c>
      <c r="I359" s="69">
        <f t="shared" ca="1" si="11"/>
        <v>306.17913267908278</v>
      </c>
    </row>
    <row r="360" spans="1:9" ht="16.05" customHeight="1" x14ac:dyDescent="0.3">
      <c r="A360" s="70">
        <v>344</v>
      </c>
      <c r="B360" s="71">
        <f ca="1">(C7)+(E7-C7)*IF(RAND()&lt;((D7)-(C7))/((E7)-(C7)),SQRT(RAND()*((D7)-(C7))/((E7)-(C7))),1-SQRT(RAND()*((E7)-(D7))/((E7)-(C7))))</f>
        <v>0.24951783114898859</v>
      </c>
      <c r="C360" s="71">
        <f ca="1">(C8)+(E8-C8)*IF(RAND()&lt;((D8)-(C8))/((E8)-(C8)),SQRT(RAND()*((D8)-(C8))/((E8)-(C8))),1-SQRT(RAND()*((E8)-(D8))/((E8)-(C8))))</f>
        <v>0.66277199492539962</v>
      </c>
      <c r="D360" s="72">
        <f ca="1">(C9)+(E9-C9)*IF(RAND()&lt;((D9)-(C9))/((E9)-(C9)),SQRT(RAND()*((D9)-(C9))/((E9)-(C9))),1-SQRT(RAND()*((E9)-(D9))/((E9)-(C9))))</f>
        <v>1277327.6479181941</v>
      </c>
      <c r="E360" s="72">
        <f ca="1">(C10)+(E10-C10)*IF(RAND()&lt;((D10)-(C10))/((E10)-(C10)),SQRT(RAND()*((D10)-(C10))/((E10)-(C10))),1-SQRT(RAND()*((E10)-(D10))/((E10)-(C10))))</f>
        <v>3622866.2958172439</v>
      </c>
      <c r="F360" s="71">
        <f ca="1">(C11)+(E11-C11)*IF(RAND()&lt;((D11)-(C11))/((E11)-(C11)),SQRT(RAND()*((D11)-(C11))/((E11)-(C11))),1-SQRT(RAND()*((E11)-(D11))/((E11)-(C11))))</f>
        <v>1.6768492772436708E-2</v>
      </c>
      <c r="G360" s="71">
        <f ca="1">(C12)+(E12-C12)*IF(RAND()&lt;((D12)-(C12))/((E12)-(C12)),SQRT(RAND()*((D12)-(C12))/((E12)-(C12))),1-SQRT(RAND()*((E12)-(D12))/((E12)-(C12))))</f>
        <v>0.12940013933641809</v>
      </c>
      <c r="H360" s="72">
        <f t="shared" ca="1" si="10"/>
        <v>285937388.47181511</v>
      </c>
      <c r="I360" s="73">
        <f t="shared" ca="1" si="11"/>
        <v>296.58215996126302</v>
      </c>
    </row>
    <row r="361" spans="1:9" ht="16.05" customHeight="1" x14ac:dyDescent="0.3">
      <c r="A361" s="66">
        <v>345</v>
      </c>
      <c r="B361" s="67">
        <f ca="1">(C7)+(E7-C7)*IF(RAND()&lt;((D7)-(C7))/((E7)-(C7)),SQRT(RAND()*((D7)-(C7))/((E7)-(C7))),1-SQRT(RAND()*((E7)-(D7))/((E7)-(C7))))</f>
        <v>0.35634755757966352</v>
      </c>
      <c r="C361" s="67">
        <f ca="1">(C8)+(E8-C8)*IF(RAND()&lt;((D8)-(C8))/((E8)-(C8)),SQRT(RAND()*((D8)-(C8))/((E8)-(C8))),1-SQRT(RAND()*((E8)-(D8))/((E8)-(C8))))</f>
        <v>0.73517556422987629</v>
      </c>
      <c r="D361" s="68">
        <f ca="1">(C9)+(E9-C9)*IF(RAND()&lt;((D9)-(C9))/((E9)-(C9)),SQRT(RAND()*((D9)-(C9))/((E9)-(C9))),1-SQRT(RAND()*((E9)-(D9))/((E9)-(C9))))</f>
        <v>1307953.698376606</v>
      </c>
      <c r="E361" s="68">
        <f ca="1">(C10)+(E10-C10)*IF(RAND()&lt;((D10)-(C10))/((E10)-(C10)),SQRT(RAND()*((D10)-(C10))/((E10)-(C10))),1-SQRT(RAND()*((E10)-(D10))/((E10)-(C10))))</f>
        <v>3685117.4751425558</v>
      </c>
      <c r="F361" s="67">
        <f ca="1">(C11)+(E11-C11)*IF(RAND()&lt;((D11)-(C11))/((E11)-(C11)),SQRT(RAND()*((D11)-(C11))/((E11)-(C11))),1-SQRT(RAND()*((E11)-(D11))/((E11)-(C11))))</f>
        <v>8.284351230139932E-3</v>
      </c>
      <c r="G361" s="67">
        <f ca="1">(C12)+(E12-C12)*IF(RAND()&lt;((D12)-(C12))/((E12)-(C12)),SQRT(RAND()*((D12)-(C12))/((E12)-(C12))),1-SQRT(RAND()*((E12)-(D12))/((E12)-(C12))))</f>
        <v>0.12620476620586094</v>
      </c>
      <c r="H361" s="68">
        <f t="shared" ca="1" si="10"/>
        <v>329536669.22449797</v>
      </c>
      <c r="I361" s="69">
        <f t="shared" ca="1" si="11"/>
        <v>333.63557964577086</v>
      </c>
    </row>
    <row r="362" spans="1:9" ht="16.05" customHeight="1" x14ac:dyDescent="0.3">
      <c r="A362" s="70">
        <v>346</v>
      </c>
      <c r="B362" s="71">
        <f ca="1">(C7)+(E7-C7)*IF(RAND()&lt;((D7)-(C7))/((E7)-(C7)),SQRT(RAND()*((D7)-(C7))/((E7)-(C7))),1-SQRT(RAND()*((E7)-(D7))/((E7)-(C7))))</f>
        <v>0.2960293772970104</v>
      </c>
      <c r="C362" s="71">
        <f ca="1">(C8)+(E8-C8)*IF(RAND()&lt;((D8)-(C8))/((E8)-(C8)),SQRT(RAND()*((D8)-(C8))/((E8)-(C8))),1-SQRT(RAND()*((E8)-(D8))/((E8)-(C8))))</f>
        <v>0.68137930789061274</v>
      </c>
      <c r="D362" s="72">
        <f ca="1">(C9)+(E9-C9)*IF(RAND()&lt;((D9)-(C9))/((E9)-(C9)),SQRT(RAND()*((D9)-(C9))/((E9)-(C9))),1-SQRT(RAND()*((E9)-(D9))/((E9)-(C9))))</f>
        <v>1317708.7562228576</v>
      </c>
      <c r="E362" s="72">
        <f ca="1">(C10)+(E10-C10)*IF(RAND()&lt;((D10)-(C10))/((E10)-(C10)),SQRT(RAND()*((D10)-(C10))/((E10)-(C10))),1-SQRT(RAND()*((E10)-(D10))/((E10)-(C10))))</f>
        <v>4834275.4772180272</v>
      </c>
      <c r="F362" s="71">
        <f ca="1">(C11)+(E11-C11)*IF(RAND()&lt;((D11)-(C11))/((E11)-(C11)),SQRT(RAND()*((D11)-(C11))/((E11)-(C11))),1-SQRT(RAND()*((E11)-(D11))/((E11)-(C11))))</f>
        <v>1.7155345943912811E-2</v>
      </c>
      <c r="G362" s="71">
        <f ca="1">(C12)+(E12-C12)*IF(RAND()&lt;((D12)-(C12))/((E12)-(C12)),SQRT(RAND()*((D12)-(C12))/((E12)-(C12))),1-SQRT(RAND()*((E12)-(D12))/((E12)-(C12))))</f>
        <v>0.14766526361956747</v>
      </c>
      <c r="H362" s="72">
        <f t="shared" ca="1" si="10"/>
        <v>323627710.76896709</v>
      </c>
      <c r="I362" s="73">
        <f t="shared" ca="1" si="11"/>
        <v>325.2607325470309</v>
      </c>
    </row>
    <row r="363" spans="1:9" ht="16.05" customHeight="1" x14ac:dyDescent="0.3">
      <c r="A363" s="66">
        <v>347</v>
      </c>
      <c r="B363" s="67">
        <f ca="1">(C7)+(E7-C7)*IF(RAND()&lt;((D7)-(C7))/((E7)-(C7)),SQRT(RAND()*((D7)-(C7))/((E7)-(C7))),1-SQRT(RAND()*((E7)-(D7))/((E7)-(C7))))</f>
        <v>0.2368609066622164</v>
      </c>
      <c r="C363" s="67">
        <f ca="1">(C8)+(E8-C8)*IF(RAND()&lt;((D8)-(C8))/((E8)-(C8)),SQRT(RAND()*((D8)-(C8))/((E8)-(C8))),1-SQRT(RAND()*((E8)-(D8))/((E8)-(C8))))</f>
        <v>0.61535196691250627</v>
      </c>
      <c r="D363" s="68">
        <f ca="1">(C9)+(E9-C9)*IF(RAND()&lt;((D9)-(C9))/((E9)-(C9)),SQRT(RAND()*((D9)-(C9))/((E9)-(C9))),1-SQRT(RAND()*((E9)-(D9))/((E9)-(C9))))</f>
        <v>1312074.8512287238</v>
      </c>
      <c r="E363" s="68">
        <f ca="1">(C10)+(E10-C10)*IF(RAND()&lt;((D10)-(C10))/((E10)-(C10)),SQRT(RAND()*((D10)-(C10))/((E10)-(C10))),1-SQRT(RAND()*((E10)-(D10))/((E10)-(C10))))</f>
        <v>3673928.2481147926</v>
      </c>
      <c r="F363" s="67">
        <f ca="1">(C11)+(E11-C11)*IF(RAND()&lt;((D11)-(C11))/((E11)-(C11)),SQRT(RAND()*((D11)-(C11))/((E11)-(C11))),1-SQRT(RAND()*((E11)-(D11))/((E11)-(C11))))</f>
        <v>1.0710436028133331E-2</v>
      </c>
      <c r="G363" s="67">
        <f ca="1">(C12)+(E12-C12)*IF(RAND()&lt;((D12)-(C12))/((E12)-(C12)),SQRT(RAND()*((D12)-(C12))/((E12)-(C12))),1-SQRT(RAND()*((E12)-(D12))/((E12)-(C12))))</f>
        <v>0.16253582609078485</v>
      </c>
      <c r="H363" s="68">
        <f t="shared" ca="1" si="10"/>
        <v>220637742.44971466</v>
      </c>
      <c r="I363" s="69">
        <f t="shared" ca="1" si="11"/>
        <v>223.11914069541254</v>
      </c>
    </row>
    <row r="364" spans="1:9" ht="16.05" customHeight="1" x14ac:dyDescent="0.3">
      <c r="A364" s="70">
        <v>348</v>
      </c>
      <c r="B364" s="71">
        <f ca="1">(C7)+(E7-C7)*IF(RAND()&lt;((D7)-(C7))/((E7)-(C7)),SQRT(RAND()*((D7)-(C7))/((E7)-(C7))),1-SQRT(RAND()*((E7)-(D7))/((E7)-(C7))))</f>
        <v>0.21427859636376334</v>
      </c>
      <c r="C364" s="71">
        <f ca="1">(C8)+(E8-C8)*IF(RAND()&lt;((D8)-(C8))/((E8)-(C8)),SQRT(RAND()*((D8)-(C8))/((E8)-(C8))),1-SQRT(RAND()*((E8)-(D8))/((E8)-(C8))))</f>
        <v>0.60646519156390399</v>
      </c>
      <c r="D364" s="72">
        <f ca="1">(C9)+(E9-C9)*IF(RAND()&lt;((D9)-(C9))/((E9)-(C9)),SQRT(RAND()*((D9)-(C9))/((E9)-(C9))),1-SQRT(RAND()*((E9)-(D9))/((E9)-(C9))))</f>
        <v>1203444.814346117</v>
      </c>
      <c r="E364" s="72">
        <f ca="1">(C10)+(E10-C10)*IF(RAND()&lt;((D10)-(C10))/((E10)-(C10)),SQRT(RAND()*((D10)-(C10))/((E10)-(C10))),1-SQRT(RAND()*((E10)-(D10))/((E10)-(C10))))</f>
        <v>3943757.3801131607</v>
      </c>
      <c r="F364" s="71">
        <f ca="1">(C11)+(E11-C11)*IF(RAND()&lt;((D11)-(C11))/((E11)-(C11)),SQRT(RAND()*((D11)-(C11))/((E11)-(C11))),1-SQRT(RAND()*((E11)-(D11))/((E11)-(C11))))</f>
        <v>1.1245151549860607E-2</v>
      </c>
      <c r="G364" s="71">
        <f ca="1">(C12)+(E12-C12)*IF(RAND()&lt;((D12)-(C12))/((E12)-(C12)),SQRT(RAND()*((D12)-(C12))/((E12)-(C12))),1-SQRT(RAND()*((E12)-(D12))/((E12)-(C12))))</f>
        <v>0.19674630945882782</v>
      </c>
      <c r="H364" s="72">
        <f t="shared" ca="1" si="10"/>
        <v>206392857.3697392</v>
      </c>
      <c r="I364" s="73">
        <f t="shared" ca="1" si="11"/>
        <v>227.52759779941243</v>
      </c>
    </row>
    <row r="365" spans="1:9" ht="16.05" customHeight="1" x14ac:dyDescent="0.3">
      <c r="A365" s="66">
        <v>349</v>
      </c>
      <c r="B365" s="67">
        <f ca="1">(C7)+(E7-C7)*IF(RAND()&lt;((D7)-(C7))/((E7)-(C7)),SQRT(RAND()*((D7)-(C7))/((E7)-(C7))),1-SQRT(RAND()*((E7)-(D7))/((E7)-(C7))))</f>
        <v>0.27878152794906913</v>
      </c>
      <c r="C365" s="67">
        <f ca="1">(C8)+(E8-C8)*IF(RAND()&lt;((D8)-(C8))/((E8)-(C8)),SQRT(RAND()*((D8)-(C8))/((E8)-(C8))),1-SQRT(RAND()*((E8)-(D8))/((E8)-(C8))))</f>
        <v>0.68589930719004233</v>
      </c>
      <c r="D365" s="68">
        <f ca="1">(C9)+(E9-C9)*IF(RAND()&lt;((D9)-(C9))/((E9)-(C9)),SQRT(RAND()*((D9)-(C9))/((E9)-(C9))),1-SQRT(RAND()*((E9)-(D9))/((E9)-(C9))))</f>
        <v>1350309.0500972471</v>
      </c>
      <c r="E365" s="68">
        <f ca="1">(C10)+(E10-C10)*IF(RAND()&lt;((D10)-(C10))/((E10)-(C10)),SQRT(RAND()*((D10)-(C10))/((E10)-(C10))),1-SQRT(RAND()*((E10)-(D10))/((E10)-(C10))))</f>
        <v>2916741.1548602632</v>
      </c>
      <c r="F365" s="67">
        <f ca="1">(C11)+(E11-C11)*IF(RAND()&lt;((D11)-(C11))/((E11)-(C11)),SQRT(RAND()*((D11)-(C11))/((E11)-(C11))),1-SQRT(RAND()*((E11)-(D11))/((E11)-(C11))))</f>
        <v>7.221100797424997E-3</v>
      </c>
      <c r="G365" s="67">
        <f ca="1">(C12)+(E12-C12)*IF(RAND()&lt;((D12)-(C12))/((E12)-(C12)),SQRT(RAND()*((D12)-(C12))/((E12)-(C12))),1-SQRT(RAND()*((E12)-(D12))/((E12)-(C12))))</f>
        <v>0.15485807916499358</v>
      </c>
      <c r="H365" s="68">
        <f t="shared" ca="1" si="10"/>
        <v>247747001.84670505</v>
      </c>
      <c r="I365" s="69">
        <f t="shared" ca="1" si="11"/>
        <v>243.31927229025632</v>
      </c>
    </row>
    <row r="366" spans="1:9" ht="16.05" customHeight="1" x14ac:dyDescent="0.3">
      <c r="A366" s="70">
        <v>350</v>
      </c>
      <c r="B366" s="71">
        <f ca="1">(C7)+(E7-C7)*IF(RAND()&lt;((D7)-(C7))/((E7)-(C7)),SQRT(RAND()*((D7)-(C7))/((E7)-(C7))),1-SQRT(RAND()*((E7)-(D7))/((E7)-(C7))))</f>
        <v>0.2250276900616425</v>
      </c>
      <c r="C366" s="71">
        <f ca="1">(C8)+(E8-C8)*IF(RAND()&lt;((D8)-(C8))/((E8)-(C8)),SQRT(RAND()*((D8)-(C8))/((E8)-(C8))),1-SQRT(RAND()*((E8)-(D8))/((E8)-(C8))))</f>
        <v>0.57568075180366196</v>
      </c>
      <c r="D366" s="72">
        <f ca="1">(C9)+(E9-C9)*IF(RAND()&lt;((D9)-(C9))/((E9)-(C9)),SQRT(RAND()*((D9)-(C9))/((E9)-(C9))),1-SQRT(RAND()*((E9)-(D9))/((E9)-(C9))))</f>
        <v>1166225.3454514721</v>
      </c>
      <c r="E366" s="72">
        <f ca="1">(C10)+(E10-C10)*IF(RAND()&lt;((D10)-(C10))/((E10)-(C10)),SQRT(RAND()*((D10)-(C10))/((E10)-(C10))),1-SQRT(RAND()*((E10)-(D10))/((E10)-(C10))))</f>
        <v>4356833.2474840954</v>
      </c>
      <c r="F366" s="71">
        <f ca="1">(C11)+(E11-C11)*IF(RAND()&lt;((D11)-(C11))/((E11)-(C11)),SQRT(RAND()*((D11)-(C11))/((E11)-(C11))),1-SQRT(RAND()*((E11)-(D11))/((E11)-(C11))))</f>
        <v>1.2411483952930831E-2</v>
      </c>
      <c r="G366" s="71">
        <f ca="1">(C12)+(E12-C12)*IF(RAND()&lt;((D12)-(C12))/((E12)-(C12)),SQRT(RAND()*((D12)-(C12))/((E12)-(C12))),1-SQRT(RAND()*((E12)-(D12))/((E12)-(C12))))</f>
        <v>0.13691820368202573</v>
      </c>
      <c r="H366" s="72">
        <f t="shared" ca="1" si="10"/>
        <v>212838061.34799382</v>
      </c>
      <c r="I366" s="73">
        <f t="shared" ca="1" si="11"/>
        <v>242.03637800014002</v>
      </c>
    </row>
    <row r="367" spans="1:9" ht="16.05" customHeight="1" x14ac:dyDescent="0.3">
      <c r="A367" s="66">
        <v>351</v>
      </c>
      <c r="B367" s="67">
        <f ca="1">(C7)+(E7-C7)*IF(RAND()&lt;((D7)-(C7))/((E7)-(C7)),SQRT(RAND()*((D7)-(C7))/((E7)-(C7))),1-SQRT(RAND()*((E7)-(D7))/((E7)-(C7))))</f>
        <v>0.25675034799486141</v>
      </c>
      <c r="C367" s="67">
        <f ca="1">(C8)+(E8-C8)*IF(RAND()&lt;((D8)-(C8))/((E8)-(C8)),SQRT(RAND()*((D8)-(C8))/((E8)-(C8))),1-SQRT(RAND()*((E8)-(D8))/((E8)-(C8))))</f>
        <v>0.78063615402175235</v>
      </c>
      <c r="D367" s="68">
        <f ca="1">(C9)+(E9-C9)*IF(RAND()&lt;((D9)-(C9))/((E9)-(C9)),SQRT(RAND()*((D9)-(C9))/((E9)-(C9))),1-SQRT(RAND()*((E9)-(D9))/((E9)-(C9))))</f>
        <v>1222390.8701123451</v>
      </c>
      <c r="E367" s="68">
        <f ca="1">(C10)+(E10-C10)*IF(RAND()&lt;((D10)-(C10))/((E10)-(C10)),SQRT(RAND()*((D10)-(C10))/((E10)-(C10))),1-SQRT(RAND()*((E10)-(D10))/((E10)-(C10))))</f>
        <v>3501871.3878393136</v>
      </c>
      <c r="F367" s="67">
        <f ca="1">(C11)+(E11-C11)*IF(RAND()&lt;((D11)-(C11))/((E11)-(C11)),SQRT(RAND()*((D11)-(C11))/((E11)-(C11))),1-SQRT(RAND()*((E11)-(D11))/((E11)-(C11))))</f>
        <v>1.3733432998924955E-2</v>
      </c>
      <c r="G367" s="67">
        <f ca="1">(C12)+(E12-C12)*IF(RAND()&lt;((D12)-(C12))/((E12)-(C12)),SQRT(RAND()*((D12)-(C12))/((E12)-(C12))),1-SQRT(RAND()*((E12)-(D12))/((E12)-(C12))))</f>
        <v>0.15149302599679826</v>
      </c>
      <c r="H367" s="68">
        <f t="shared" ca="1" si="10"/>
        <v>302683447.07303518</v>
      </c>
      <c r="I367" s="69">
        <f t="shared" ca="1" si="11"/>
        <v>327.9212746445429</v>
      </c>
    </row>
    <row r="368" spans="1:9" ht="16.05" customHeight="1" x14ac:dyDescent="0.3">
      <c r="A368" s="70">
        <v>352</v>
      </c>
      <c r="B368" s="71">
        <f ca="1">(C7)+(E7-C7)*IF(RAND()&lt;((D7)-(C7))/((E7)-(C7)),SQRT(RAND()*((D7)-(C7))/((E7)-(C7))),1-SQRT(RAND()*((E7)-(D7))/((E7)-(C7))))</f>
        <v>0.25948093442815123</v>
      </c>
      <c r="C368" s="71">
        <f ca="1">(C8)+(E8-C8)*IF(RAND()&lt;((D8)-(C8))/((E8)-(C8)),SQRT(RAND()*((D8)-(C8))/((E8)-(C8))),1-SQRT(RAND()*((E8)-(D8))/((E8)-(C8))))</f>
        <v>0.86858316440335614</v>
      </c>
      <c r="D368" s="72">
        <f ca="1">(C9)+(E9-C9)*IF(RAND()&lt;((D9)-(C9))/((E9)-(C9)),SQRT(RAND()*((D9)-(C9))/((E9)-(C9))),1-SQRT(RAND()*((E9)-(D9))/((E9)-(C9))))</f>
        <v>1247823.7113269104</v>
      </c>
      <c r="E368" s="72">
        <f ca="1">(C10)+(E10-C10)*IF(RAND()&lt;((D10)-(C10))/((E10)-(C10)),SQRT(RAND()*((D10)-(C10))/((E10)-(C10))),1-SQRT(RAND()*((E10)-(D10))/((E10)-(C10))))</f>
        <v>4326960.4667108543</v>
      </c>
      <c r="F368" s="71">
        <f ca="1">(C11)+(E11-C11)*IF(RAND()&lt;((D11)-(C11))/((E11)-(C11)),SQRT(RAND()*((D11)-(C11))/((E11)-(C11))),1-SQRT(RAND()*((E11)-(D11))/((E11)-(C11))))</f>
        <v>1.8711918197840152E-2</v>
      </c>
      <c r="G368" s="71">
        <f ca="1">(C12)+(E12-C12)*IF(RAND()&lt;((D12)-(C12))/((E12)-(C12)),SQRT(RAND()*((D12)-(C12))/((E12)-(C12))),1-SQRT(RAND()*((E12)-(D12))/((E12)-(C12))))</f>
        <v>0.13098020375518898</v>
      </c>
      <c r="H368" s="72">
        <f t="shared" ca="1" si="10"/>
        <v>362610135.8359825</v>
      </c>
      <c r="I368" s="73">
        <f t="shared" ca="1" si="11"/>
        <v>384.60886832174492</v>
      </c>
    </row>
    <row r="369" spans="1:9" ht="16.05" customHeight="1" x14ac:dyDescent="0.3">
      <c r="A369" s="66">
        <v>353</v>
      </c>
      <c r="B369" s="67">
        <f ca="1">(C7)+(E7-C7)*IF(RAND()&lt;((D7)-(C7))/((E7)-(C7)),SQRT(RAND()*((D7)-(C7))/((E7)-(C7))),1-SQRT(RAND()*((E7)-(D7))/((E7)-(C7))))</f>
        <v>0.22859877454063321</v>
      </c>
      <c r="C369" s="67">
        <f ca="1">(C8)+(E8-C8)*IF(RAND()&lt;((D8)-(C8))/((E8)-(C8)),SQRT(RAND()*((D8)-(C8))/((E8)-(C8))),1-SQRT(RAND()*((E8)-(D8))/((E8)-(C8))))</f>
        <v>0.72114643187666128</v>
      </c>
      <c r="D369" s="68">
        <f ca="1">(C9)+(E9-C9)*IF(RAND()&lt;((D9)-(C9))/((E9)-(C9)),SQRT(RAND()*((D9)-(C9))/((E9)-(C9))),1-SQRT(RAND()*((E9)-(D9))/((E9)-(C9))))</f>
        <v>1351403.6154946235</v>
      </c>
      <c r="E369" s="68">
        <f ca="1">(C10)+(E10-C10)*IF(RAND()&lt;((D10)-(C10))/((E10)-(C10)),SQRT(RAND()*((D10)-(C10))/((E10)-(C10))),1-SQRT(RAND()*((E10)-(D10))/((E10)-(C10))))</f>
        <v>4198551.2877235413</v>
      </c>
      <c r="F369" s="67">
        <f ca="1">(C11)+(E11-C11)*IF(RAND()&lt;((D11)-(C11))/((E11)-(C11)),SQRT(RAND()*((D11)-(C11))/((E11)-(C11))),1-SQRT(RAND()*((E11)-(D11))/((E11)-(C11))))</f>
        <v>1.6699884814677712E-2</v>
      </c>
      <c r="G369" s="67">
        <f ca="1">(C12)+(E12-C12)*IF(RAND()&lt;((D12)-(C12))/((E12)-(C12)),SQRT(RAND()*((D12)-(C12))/((E12)-(C12))),1-SQRT(RAND()*((E12)-(D12))/((E12)-(C12))))</f>
        <v>0.17269088695191331</v>
      </c>
      <c r="H369" s="68">
        <f t="shared" ca="1" si="10"/>
        <v>282619826.41087615</v>
      </c>
      <c r="I369" s="69">
        <f t="shared" ca="1" si="11"/>
        <v>277.15959259041858</v>
      </c>
    </row>
    <row r="370" spans="1:9" ht="16.05" customHeight="1" x14ac:dyDescent="0.3">
      <c r="A370" s="70">
        <v>354</v>
      </c>
      <c r="B370" s="71">
        <f ca="1">(C7)+(E7-C7)*IF(RAND()&lt;((D7)-(C7))/((E7)-(C7)),SQRT(RAND()*((D7)-(C7))/((E7)-(C7))),1-SQRT(RAND()*((E7)-(D7))/((E7)-(C7))))</f>
        <v>0.17568238564190033</v>
      </c>
      <c r="C370" s="71">
        <f ca="1">(C8)+(E8-C8)*IF(RAND()&lt;((D8)-(C8))/((E8)-(C8)),SQRT(RAND()*((D8)-(C8))/((E8)-(C8))),1-SQRT(RAND()*((E8)-(D8))/((E8)-(C8))))</f>
        <v>0.67726321719983962</v>
      </c>
      <c r="D370" s="72">
        <f ca="1">(C9)+(E9-C9)*IF(RAND()&lt;((D9)-(C9))/((E9)-(C9)),SQRT(RAND()*((D9)-(C9))/((E9)-(C9))),1-SQRT(RAND()*((E9)-(D9))/((E9)-(C9))))</f>
        <v>1363112.9705390441</v>
      </c>
      <c r="E370" s="72">
        <f ca="1">(C10)+(E10-C10)*IF(RAND()&lt;((D10)-(C10))/((E10)-(C10)),SQRT(RAND()*((D10)-(C10))/((E10)-(C10))),1-SQRT(RAND()*((E10)-(D10))/((E10)-(C10))))</f>
        <v>4177481.1588873323</v>
      </c>
      <c r="F370" s="71">
        <f ca="1">(C11)+(E11-C11)*IF(RAND()&lt;((D11)-(C11))/((E11)-(C11)),SQRT(RAND()*((D11)-(C11))/((E11)-(C11))),1-SQRT(RAND()*((E11)-(D11))/((E11)-(C11))))</f>
        <v>9.9487413727711981E-3</v>
      </c>
      <c r="G370" s="71">
        <f ca="1">(C12)+(E12-C12)*IF(RAND()&lt;((D12)-(C12))/((E12)-(C12)),SQRT(RAND()*((D12)-(C12))/((E12)-(C12))),1-SQRT(RAND()*((E12)-(D12))/((E12)-(C12))))</f>
        <v>0.163178331732167</v>
      </c>
      <c r="H370" s="72">
        <f t="shared" ca="1" si="10"/>
        <v>184056041.71165749</v>
      </c>
      <c r="I370" s="73">
        <f t="shared" ca="1" si="11"/>
        <v>179.41691904271113</v>
      </c>
    </row>
    <row r="371" spans="1:9" ht="16.05" customHeight="1" x14ac:dyDescent="0.3">
      <c r="A371" s="66">
        <v>355</v>
      </c>
      <c r="B371" s="67">
        <f ca="1">(C7)+(E7-C7)*IF(RAND()&lt;((D7)-(C7))/((E7)-(C7)),SQRT(RAND()*((D7)-(C7))/((E7)-(C7))),1-SQRT(RAND()*((E7)-(D7))/((E7)-(C7))))</f>
        <v>0.23588893521740278</v>
      </c>
      <c r="C371" s="67">
        <f ca="1">(C8)+(E8-C8)*IF(RAND()&lt;((D8)-(C8))/((E8)-(C8)),SQRT(RAND()*((D8)-(C8))/((E8)-(C8))),1-SQRT(RAND()*((E8)-(D8))/((E8)-(C8))))</f>
        <v>0.8592608856981947</v>
      </c>
      <c r="D371" s="68">
        <f ca="1">(C9)+(E9-C9)*IF(RAND()&lt;((D9)-(C9))/((E9)-(C9)),SQRT(RAND()*((D9)-(C9))/((E9)-(C9))),1-SQRT(RAND()*((E9)-(D9))/((E9)-(C9))))</f>
        <v>1222596.0078688147</v>
      </c>
      <c r="E371" s="68">
        <f ca="1">(C10)+(E10-C10)*IF(RAND()&lt;((D10)-(C10))/((E10)-(C10)),SQRT(RAND()*((D10)-(C10))/((E10)-(C10))),1-SQRT(RAND()*((E10)-(D10))/((E10)-(C10))))</f>
        <v>3948953.6838854803</v>
      </c>
      <c r="F371" s="67">
        <f ca="1">(C11)+(E11-C11)*IF(RAND()&lt;((D11)-(C11))/((E11)-(C11)),SQRT(RAND()*((D11)-(C11))/((E11)-(C11))),1-SQRT(RAND()*((E11)-(D11))/((E11)-(C11))))</f>
        <v>1.3013513990486095E-2</v>
      </c>
      <c r="G371" s="67">
        <f ca="1">(C12)+(E12-C12)*IF(RAND()&lt;((D12)-(C12))/((E12)-(C12)),SQRT(RAND()*((D12)-(C12))/((E12)-(C12))),1-SQRT(RAND()*((E12)-(D12))/((E12)-(C12))))</f>
        <v>0.13081519140491424</v>
      </c>
      <c r="H371" s="68">
        <f t="shared" ca="1" si="10"/>
        <v>298252765.07658613</v>
      </c>
      <c r="I371" s="69">
        <f t="shared" ca="1" si="11"/>
        <v>323.0864705336611</v>
      </c>
    </row>
    <row r="372" spans="1:9" ht="16.05" customHeight="1" x14ac:dyDescent="0.3">
      <c r="A372" s="70">
        <v>356</v>
      </c>
      <c r="B372" s="71">
        <f ca="1">(C7)+(E7-C7)*IF(RAND()&lt;((D7)-(C7))/((E7)-(C7)),SQRT(RAND()*((D7)-(C7))/((E7)-(C7))),1-SQRT(RAND()*((E7)-(D7))/((E7)-(C7))))</f>
        <v>0.28657237385662032</v>
      </c>
      <c r="C372" s="71">
        <f ca="1">(C8)+(E8-C8)*IF(RAND()&lt;((D8)-(C8))/((E8)-(C8)),SQRT(RAND()*((D8)-(C8))/((E8)-(C8))),1-SQRT(RAND()*((E8)-(D8))/((E8)-(C8))))</f>
        <v>0.6377389698607635</v>
      </c>
      <c r="D372" s="72">
        <f ca="1">(C9)+(E9-C9)*IF(RAND()&lt;((D9)-(C9))/((E9)-(C9)),SQRT(RAND()*((D9)-(C9))/((E9)-(C9))),1-SQRT(RAND()*((E9)-(D9))/((E9)-(C9))))</f>
        <v>1310156.3162676315</v>
      </c>
      <c r="E372" s="72">
        <f ca="1">(C10)+(E10-C10)*IF(RAND()&lt;((D10)-(C10))/((E10)-(C10)),SQRT(RAND()*((D10)-(C10))/((E10)-(C10))),1-SQRT(RAND()*((E10)-(D10))/((E10)-(C10))))</f>
        <v>4214057.858792644</v>
      </c>
      <c r="F372" s="71">
        <f ca="1">(C11)+(E11-C11)*IF(RAND()&lt;((D11)-(C11))/((E11)-(C11)),SQRT(RAND()*((D11)-(C11))/((E11)-(C11))),1-SQRT(RAND()*((E11)-(D11))/((E11)-(C11))))</f>
        <v>5.877181462322174E-3</v>
      </c>
      <c r="G372" s="71">
        <f ca="1">(C12)+(E12-C12)*IF(RAND()&lt;((D12)-(C12))/((E12)-(C12)),SQRT(RAND()*((D12)-(C12))/((E12)-(C12))),1-SQRT(RAND()*((E12)-(D12))/((E12)-(C12))))</f>
        <v>0.20260127749694667</v>
      </c>
      <c r="H372" s="72">
        <f t="shared" ca="1" si="10"/>
        <v>223967764.45148283</v>
      </c>
      <c r="I372" s="73">
        <f t="shared" ca="1" si="11"/>
        <v>226.79640299147027</v>
      </c>
    </row>
    <row r="373" spans="1:9" ht="16.05" customHeight="1" x14ac:dyDescent="0.3">
      <c r="A373" s="66">
        <v>357</v>
      </c>
      <c r="B373" s="67">
        <f ca="1">(C7)+(E7-C7)*IF(RAND()&lt;((D7)-(C7))/((E7)-(C7)),SQRT(RAND()*((D7)-(C7))/((E7)-(C7))),1-SQRT(RAND()*((E7)-(D7))/((E7)-(C7))))</f>
        <v>0.27570507333226446</v>
      </c>
      <c r="C373" s="67">
        <f ca="1">(C8)+(E8-C8)*IF(RAND()&lt;((D8)-(C8))/((E8)-(C8)),SQRT(RAND()*((D8)-(C8))/((E8)-(C8))),1-SQRT(RAND()*((E8)-(D8))/((E8)-(C8))))</f>
        <v>0.62973356533024949</v>
      </c>
      <c r="D373" s="68">
        <f ca="1">(C9)+(E9-C9)*IF(RAND()&lt;((D9)-(C9))/((E9)-(C9)),SQRT(RAND()*((D9)-(C9))/((E9)-(C9))),1-SQRT(RAND()*((E9)-(D9))/((E9)-(C9))))</f>
        <v>1054135.1395829339</v>
      </c>
      <c r="E373" s="68">
        <f ca="1">(C10)+(E10-C10)*IF(RAND()&lt;((D10)-(C10))/((E10)-(C10)),SQRT(RAND()*((D10)-(C10))/((E10)-(C10))),1-SQRT(RAND()*((E10)-(D10))/((E10)-(C10))))</f>
        <v>3532328.7588014919</v>
      </c>
      <c r="F373" s="67">
        <f ca="1">(C11)+(E11-C11)*IF(RAND()&lt;((D11)-(C11))/((E11)-(C11)),SQRT(RAND()*((D11)-(C11))/((E11)-(C11))),1-SQRT(RAND()*((E11)-(D11))/((E11)-(C11))))</f>
        <v>2.2531277566246139E-2</v>
      </c>
      <c r="G373" s="67">
        <f ca="1">(C12)+(E12-C12)*IF(RAND()&lt;((D12)-(C12))/((E12)-(C12)),SQRT(RAND()*((D12)-(C12))/((E12)-(C12))),1-SQRT(RAND()*((E12)-(D12))/((E12)-(C12))))</f>
        <v>0.13522468998677056</v>
      </c>
      <c r="H373" s="68">
        <f t="shared" ca="1" si="10"/>
        <v>337070305.99169195</v>
      </c>
      <c r="I373" s="69">
        <f t="shared" ca="1" si="11"/>
        <v>423.0784669641684</v>
      </c>
    </row>
    <row r="374" spans="1:9" ht="16.05" customHeight="1" x14ac:dyDescent="0.3">
      <c r="A374" s="70">
        <v>358</v>
      </c>
      <c r="B374" s="71">
        <f ca="1">(C7)+(E7-C7)*IF(RAND()&lt;((D7)-(C7))/((E7)-(C7)),SQRT(RAND()*((D7)-(C7))/((E7)-(C7))),1-SQRT(RAND()*((E7)-(D7))/((E7)-(C7))))</f>
        <v>0.29607342539513937</v>
      </c>
      <c r="C374" s="71">
        <f ca="1">(C8)+(E8-C8)*IF(RAND()&lt;((D8)-(C8))/((E8)-(C8)),SQRT(RAND()*((D8)-(C8))/((E8)-(C8))),1-SQRT(RAND()*((E8)-(D8))/((E8)-(C8))))</f>
        <v>0.70482668410679872</v>
      </c>
      <c r="D374" s="72">
        <f ca="1">(C9)+(E9-C9)*IF(RAND()&lt;((D9)-(C9))/((E9)-(C9)),SQRT(RAND()*((D9)-(C9))/((E9)-(C9))),1-SQRT(RAND()*((E9)-(D9))/((E9)-(C9))))</f>
        <v>1342009.2128960746</v>
      </c>
      <c r="E374" s="72">
        <f ca="1">(C10)+(E10-C10)*IF(RAND()&lt;((D10)-(C10))/((E10)-(C10)),SQRT(RAND()*((D10)-(C10))/((E10)-(C10))),1-SQRT(RAND()*((E10)-(D10))/((E10)-(C10))))</f>
        <v>5050803.847046583</v>
      </c>
      <c r="F374" s="71">
        <f ca="1">(C11)+(E11-C11)*IF(RAND()&lt;((D11)-(C11))/((E11)-(C11)),SQRT(RAND()*((D11)-(C11))/((E11)-(C11))),1-SQRT(RAND()*((E11)-(D11))/((E11)-(C11))))</f>
        <v>2.2709022181805837E-2</v>
      </c>
      <c r="G374" s="71">
        <f ca="1">(C12)+(E12-C12)*IF(RAND()&lt;((D12)-(C12))/((E12)-(C12)),SQRT(RAND()*((D12)-(C12))/((E12)-(C12))),1-SQRT(RAND()*((E12)-(D12))/((E12)-(C12))))</f>
        <v>0.11750002132962226</v>
      </c>
      <c r="H374" s="72">
        <f t="shared" ca="1" si="10"/>
        <v>370452533.46012318</v>
      </c>
      <c r="I374" s="73">
        <f t="shared" ca="1" si="11"/>
        <v>365.41650678657476</v>
      </c>
    </row>
    <row r="375" spans="1:9" ht="16.05" customHeight="1" x14ac:dyDescent="0.3">
      <c r="A375" s="66">
        <v>359</v>
      </c>
      <c r="B375" s="67">
        <f ca="1">(C7)+(E7-C7)*IF(RAND()&lt;((D7)-(C7))/((E7)-(C7)),SQRT(RAND()*((D7)-(C7))/((E7)-(C7))),1-SQRT(RAND()*((E7)-(D7))/((E7)-(C7))))</f>
        <v>0.33162110344493945</v>
      </c>
      <c r="C375" s="67">
        <f ca="1">(C8)+(E8-C8)*IF(RAND()&lt;((D8)-(C8))/((E8)-(C8)),SQRT(RAND()*((D8)-(C8))/((E8)-(C8))),1-SQRT(RAND()*((E8)-(D8))/((E8)-(C8))))</f>
        <v>0.67467482049307925</v>
      </c>
      <c r="D375" s="68">
        <f ca="1">(C9)+(E9-C9)*IF(RAND()&lt;((D9)-(C9))/((E9)-(C9)),SQRT(RAND()*((D9)-(C9))/((E9)-(C9))),1-SQRT(RAND()*((E9)-(D9))/((E9)-(C9))))</f>
        <v>1219829.5345581388</v>
      </c>
      <c r="E375" s="68">
        <f ca="1">(C10)+(E10-C10)*IF(RAND()&lt;((D10)-(C10))/((E10)-(C10)),SQRT(RAND()*((D10)-(C10))/((E10)-(C10))),1-SQRT(RAND()*((E10)-(D10))/((E10)-(C10))))</f>
        <v>3855175.9640219351</v>
      </c>
      <c r="F375" s="67">
        <f ca="1">(C11)+(E11-C11)*IF(RAND()&lt;((D11)-(C11))/((E11)-(C11)),SQRT(RAND()*((D11)-(C11))/((E11)-(C11))),1-SQRT(RAND()*((E11)-(D11))/((E11)-(C11))))</f>
        <v>1.7115962557150807E-2</v>
      </c>
      <c r="G375" s="67">
        <f ca="1">(C12)+(E12-C12)*IF(RAND()&lt;((D12)-(C12))/((E12)-(C12)),SQRT(RAND()*((D12)-(C12))/((E12)-(C12))),1-SQRT(RAND()*((E12)-(D12))/((E12)-(C12))))</f>
        <v>0.17179374104794065</v>
      </c>
      <c r="H375" s="68">
        <f t="shared" ca="1" si="10"/>
        <v>351118508.52160454</v>
      </c>
      <c r="I375" s="69">
        <f t="shared" ca="1" si="11"/>
        <v>380.97932265712438</v>
      </c>
    </row>
    <row r="376" spans="1:9" ht="16.05" customHeight="1" x14ac:dyDescent="0.3">
      <c r="A376" s="70">
        <v>360</v>
      </c>
      <c r="B376" s="71">
        <f ca="1">(C7)+(E7-C7)*IF(RAND()&lt;((D7)-(C7))/((E7)-(C7)),SQRT(RAND()*((D7)-(C7))/((E7)-(C7))),1-SQRT(RAND()*((E7)-(D7))/((E7)-(C7))))</f>
        <v>0.31599559480649309</v>
      </c>
      <c r="C376" s="71">
        <f ca="1">(C8)+(E8-C8)*IF(RAND()&lt;((D8)-(C8))/((E8)-(C8)),SQRT(RAND()*((D8)-(C8))/((E8)-(C8))),1-SQRT(RAND()*((E8)-(D8))/((E8)-(C8))))</f>
        <v>0.76395221856729623</v>
      </c>
      <c r="D376" s="72">
        <f ca="1">(C9)+(E9-C9)*IF(RAND()&lt;((D9)-(C9))/((E9)-(C9)),SQRT(RAND()*((D9)-(C9))/((E9)-(C9))),1-SQRT(RAND()*((E9)-(D9))/((E9)-(C9))))</f>
        <v>1307963.9023168734</v>
      </c>
      <c r="E376" s="72">
        <f ca="1">(C10)+(E10-C10)*IF(RAND()&lt;((D10)-(C10))/((E10)-(C10)),SQRT(RAND()*((D10)-(C10))/((E10)-(C10))),1-SQRT(RAND()*((E10)-(D10))/((E10)-(C10))))</f>
        <v>3344853.2492815712</v>
      </c>
      <c r="F376" s="71">
        <f ca="1">(C11)+(E11-C11)*IF(RAND()&lt;((D11)-(C11))/((E11)-(C11)),SQRT(RAND()*((D11)-(C11))/((E11)-(C11))),1-SQRT(RAND()*((E11)-(D11))/((E11)-(C11))))</f>
        <v>5.5960015657165896E-3</v>
      </c>
      <c r="G376" s="71">
        <f ca="1">(C12)+(E12-C12)*IF(RAND()&lt;((D12)-(C12))/((E12)-(C12)),SQRT(RAND()*((D12)-(C12))/((E12)-(C12))),1-SQRT(RAND()*((E12)-(D12))/((E12)-(C12))))</f>
        <v>0.13975017684880764</v>
      </c>
      <c r="H376" s="72">
        <f t="shared" ca="1" si="10"/>
        <v>289040989.58213019</v>
      </c>
      <c r="I376" s="73">
        <f t="shared" ca="1" si="11"/>
        <v>292.79601044384151</v>
      </c>
    </row>
    <row r="377" spans="1:9" ht="16.05" customHeight="1" x14ac:dyDescent="0.3">
      <c r="A377" s="66">
        <v>361</v>
      </c>
      <c r="B377" s="67">
        <f ca="1">(C7)+(E7-C7)*IF(RAND()&lt;((D7)-(C7))/((E7)-(C7)),SQRT(RAND()*((D7)-(C7))/((E7)-(C7))),1-SQRT(RAND()*((E7)-(D7))/((E7)-(C7))))</f>
        <v>0.22463483069913612</v>
      </c>
      <c r="C377" s="67">
        <f ca="1">(C8)+(E8-C8)*IF(RAND()&lt;((D8)-(C8))/((E8)-(C8)),SQRT(RAND()*((D8)-(C8))/((E8)-(C8))),1-SQRT(RAND()*((E8)-(D8))/((E8)-(C8))))</f>
        <v>0.57295156462030916</v>
      </c>
      <c r="D377" s="68">
        <f ca="1">(C9)+(E9-C9)*IF(RAND()&lt;((D9)-(C9))/((E9)-(C9)),SQRT(RAND()*((D9)-(C9))/((E9)-(C9))),1-SQRT(RAND()*((E9)-(D9))/((E9)-(C9))))</f>
        <v>1298524.098494214</v>
      </c>
      <c r="E377" s="68">
        <f ca="1">(C10)+(E10-C10)*IF(RAND()&lt;((D10)-(C10))/((E10)-(C10)),SQRT(RAND()*((D10)-(C10))/((E10)-(C10))),1-SQRT(RAND()*((E10)-(D10))/((E10)-(C10))))</f>
        <v>4796954.9520536428</v>
      </c>
      <c r="F377" s="67">
        <f ca="1">(C11)+(E11-C11)*IF(RAND()&lt;((D11)-(C11))/((E11)-(C11)),SQRT(RAND()*((D11)-(C11))/((E11)-(C11))),1-SQRT(RAND()*((E11)-(D11))/((E11)-(C11))))</f>
        <v>1.0938936659401691E-2</v>
      </c>
      <c r="G377" s="67">
        <f ca="1">(C12)+(E12-C12)*IF(RAND()&lt;((D12)-(C12))/((E12)-(C12)),SQRT(RAND()*((D12)-(C12))/((E12)-(C12))),1-SQRT(RAND()*((E12)-(D12))/((E12)-(C12))))</f>
        <v>0.188633398059008</v>
      </c>
      <c r="H377" s="68">
        <f t="shared" ca="1" si="10"/>
        <v>199495964.88877156</v>
      </c>
      <c r="I377" s="69">
        <f t="shared" ca="1" si="11"/>
        <v>203.95878834182815</v>
      </c>
    </row>
    <row r="378" spans="1:9" ht="16.05" customHeight="1" x14ac:dyDescent="0.3">
      <c r="A378" s="70">
        <v>362</v>
      </c>
      <c r="B378" s="71">
        <f ca="1">(C7)+(E7-C7)*IF(RAND()&lt;((D7)-(C7))/((E7)-(C7)),SQRT(RAND()*((D7)-(C7))/((E7)-(C7))),1-SQRT(RAND()*((E7)-(D7))/((E7)-(C7))))</f>
        <v>0.30026183949406327</v>
      </c>
      <c r="C378" s="71">
        <f ca="1">(C8)+(E8-C8)*IF(RAND()&lt;((D8)-(C8))/((E8)-(C8)),SQRT(RAND()*((D8)-(C8))/((E8)-(C8))),1-SQRT(RAND()*((E8)-(D8))/((E8)-(C8))))</f>
        <v>0.68487423208060161</v>
      </c>
      <c r="D378" s="72">
        <f ca="1">(C9)+(E9-C9)*IF(RAND()&lt;((D9)-(C9))/((E9)-(C9)),SQRT(RAND()*((D9)-(C9))/((E9)-(C9))),1-SQRT(RAND()*((E9)-(D9))/((E9)-(C9))))</f>
        <v>1253866.8834136936</v>
      </c>
      <c r="E378" s="72">
        <f ca="1">(C10)+(E10-C10)*IF(RAND()&lt;((D10)-(C10))/((E10)-(C10)),SQRT(RAND()*((D10)-(C10))/((E10)-(C10))),1-SQRT(RAND()*((E10)-(D10))/((E10)-(C10))))</f>
        <v>4132261.6520508779</v>
      </c>
      <c r="F378" s="71">
        <f ca="1">(C11)+(E11-C11)*IF(RAND()&lt;((D11)-(C11))/((E11)-(C11)),SQRT(RAND()*((D11)-(C11))/((E11)-(C11))),1-SQRT(RAND()*((E11)-(D11))/((E11)-(C11))))</f>
        <v>2.212494381671868E-2</v>
      </c>
      <c r="G378" s="71">
        <f ca="1">(C12)+(E12-C12)*IF(RAND()&lt;((D12)-(C12))/((E12)-(C12)),SQRT(RAND()*((D12)-(C12))/((E12)-(C12))),1-SQRT(RAND()*((E12)-(D12))/((E12)-(C12))))</f>
        <v>0.17093817302005079</v>
      </c>
      <c r="H378" s="72">
        <f t="shared" ca="1" si="10"/>
        <v>366500856.73633409</v>
      </c>
      <c r="I378" s="73">
        <f t="shared" ca="1" si="11"/>
        <v>386.85434205398582</v>
      </c>
    </row>
    <row r="379" spans="1:9" ht="16.05" customHeight="1" x14ac:dyDescent="0.3">
      <c r="A379" s="66">
        <v>363</v>
      </c>
      <c r="B379" s="67">
        <f ca="1">(C7)+(E7-C7)*IF(RAND()&lt;((D7)-(C7))/((E7)-(C7)),SQRT(RAND()*((D7)-(C7))/((E7)-(C7))),1-SQRT(RAND()*((E7)-(D7))/((E7)-(C7))))</f>
        <v>0.26818916832982231</v>
      </c>
      <c r="C379" s="67">
        <f ca="1">(C8)+(E8-C8)*IF(RAND()&lt;((D8)-(C8))/((E8)-(C8)),SQRT(RAND()*((D8)-(C8))/((E8)-(C8))),1-SQRT(RAND()*((E8)-(D8))/((E8)-(C8))))</f>
        <v>0.67364635097406078</v>
      </c>
      <c r="D379" s="68">
        <f ca="1">(C9)+(E9-C9)*IF(RAND()&lt;((D9)-(C9))/((E9)-(C9)),SQRT(RAND()*((D9)-(C9))/((E9)-(C9))),1-SQRT(RAND()*((E9)-(D9))/((E9)-(C9))))</f>
        <v>1273564.1270810463</v>
      </c>
      <c r="E379" s="68">
        <f ca="1">(C10)+(E10-C10)*IF(RAND()&lt;((D10)-(C10))/((E10)-(C10)),SQRT(RAND()*((D10)-(C10))/((E10)-(C10))),1-SQRT(RAND()*((E10)-(D10))/((E10)-(C10))))</f>
        <v>3222322.7287928048</v>
      </c>
      <c r="F379" s="67">
        <f ca="1">(C11)+(E11-C11)*IF(RAND()&lt;((D11)-(C11))/((E11)-(C11)),SQRT(RAND()*((D11)-(C11))/((E11)-(C11))),1-SQRT(RAND()*((E11)-(D11))/((E11)-(C11))))</f>
        <v>1.7502149979965916E-2</v>
      </c>
      <c r="G379" s="67">
        <f ca="1">(C12)+(E12-C12)*IF(RAND()&lt;((D12)-(C12))/((E12)-(C12)),SQRT(RAND()*((D12)-(C12))/((E12)-(C12))),1-SQRT(RAND()*((E12)-(D12))/((E12)-(C12))))</f>
        <v>0.13517138549544508</v>
      </c>
      <c r="H379" s="68">
        <f t="shared" ca="1" si="10"/>
        <v>309390989.83681214</v>
      </c>
      <c r="I379" s="69">
        <f t="shared" ca="1" si="11"/>
        <v>321.74479857457129</v>
      </c>
    </row>
    <row r="380" spans="1:9" ht="16.05" customHeight="1" x14ac:dyDescent="0.3">
      <c r="A380" s="70">
        <v>364</v>
      </c>
      <c r="B380" s="71">
        <f ca="1">(C7)+(E7-C7)*IF(RAND()&lt;((D7)-(C7))/((E7)-(C7)),SQRT(RAND()*((D7)-(C7))/((E7)-(C7))),1-SQRT(RAND()*((E7)-(D7))/((E7)-(C7))))</f>
        <v>0.25406204473089256</v>
      </c>
      <c r="C380" s="71">
        <f ca="1">(C8)+(E8-C8)*IF(RAND()&lt;((D8)-(C8))/((E8)-(C8)),SQRT(RAND()*((D8)-(C8))/((E8)-(C8))),1-SQRT(RAND()*((E8)-(D8))/((E8)-(C8))))</f>
        <v>0.69203605876716479</v>
      </c>
      <c r="D380" s="72">
        <f ca="1">(C9)+(E9-C9)*IF(RAND()&lt;((D9)-(C9))/((E9)-(C9)),SQRT(RAND()*((D9)-(C9))/((E9)-(C9))),1-SQRT(RAND()*((E9)-(D9))/((E9)-(C9))))</f>
        <v>1211394.4326939094</v>
      </c>
      <c r="E380" s="72">
        <f ca="1">(C10)+(E10-C10)*IF(RAND()&lt;((D10)-(C10))/((E10)-(C10)),SQRT(RAND()*((D10)-(C10))/((E10)-(C10))),1-SQRT(RAND()*((E10)-(D10))/((E10)-(C10))))</f>
        <v>4243230.2449677996</v>
      </c>
      <c r="F380" s="71">
        <f ca="1">(C11)+(E11-C11)*IF(RAND()&lt;((D11)-(C11))/((E11)-(C11)),SQRT(RAND()*((D11)-(C11))/((E11)-(C11))),1-SQRT(RAND()*((E11)-(D11))/((E11)-(C11))))</f>
        <v>1.3469420345732924E-2</v>
      </c>
      <c r="G380" s="71">
        <f ca="1">(C12)+(E12-C12)*IF(RAND()&lt;((D12)-(C12))/((E12)-(C12)),SQRT(RAND()*((D12)-(C12))/((E12)-(C12))),1-SQRT(RAND()*((E12)-(D12))/((E12)-(C12))))</f>
        <v>0.19673758109640649</v>
      </c>
      <c r="H380" s="72">
        <f t="shared" ca="1" si="10"/>
        <v>271205587.95334393</v>
      </c>
      <c r="I380" s="73">
        <f t="shared" ca="1" si="11"/>
        <v>296.61236563277697</v>
      </c>
    </row>
    <row r="381" spans="1:9" ht="16.05" customHeight="1" x14ac:dyDescent="0.3">
      <c r="A381" s="66">
        <v>365</v>
      </c>
      <c r="B381" s="67">
        <f ca="1">(C7)+(E7-C7)*IF(RAND()&lt;((D7)-(C7))/((E7)-(C7)),SQRT(RAND()*((D7)-(C7))/((E7)-(C7))),1-SQRT(RAND()*((E7)-(D7))/((E7)-(C7))))</f>
        <v>0.2686050598962984</v>
      </c>
      <c r="C381" s="67">
        <f ca="1">(C8)+(E8-C8)*IF(RAND()&lt;((D8)-(C8))/((E8)-(C8)),SQRT(RAND()*((D8)-(C8))/((E8)-(C8))),1-SQRT(RAND()*((E8)-(D8))/((E8)-(C8))))</f>
        <v>0.67731934623758205</v>
      </c>
      <c r="D381" s="68">
        <f ca="1">(C9)+(E9-C9)*IF(RAND()&lt;((D9)-(C9))/((E9)-(C9)),SQRT(RAND()*((D9)-(C9))/((E9)-(C9))),1-SQRT(RAND()*((E9)-(D9))/((E9)-(C9))))</f>
        <v>1292698.0129981868</v>
      </c>
      <c r="E381" s="68">
        <f ca="1">(C10)+(E10-C10)*IF(RAND()&lt;((D10)-(C10))/((E10)-(C10)),SQRT(RAND()*((D10)-(C10))/((E10)-(C10))),1-SQRT(RAND()*((E10)-(D10))/((E10)-(C10))))</f>
        <v>2476205.9815457501</v>
      </c>
      <c r="F381" s="67">
        <f ca="1">(C11)+(E11-C11)*IF(RAND()&lt;((D11)-(C11))/((E11)-(C11)),SQRT(RAND()*((D11)-(C11))/((E11)-(C11))),1-SQRT(RAND()*((E11)-(D11))/((E11)-(C11))))</f>
        <v>1.5786080108034926E-2</v>
      </c>
      <c r="G381" s="67">
        <f ca="1">(C12)+(E12-C12)*IF(RAND()&lt;((D12)-(C12))/((E12)-(C12)),SQRT(RAND()*((D12)-(C12))/((E12)-(C12))),1-SQRT(RAND()*((E12)-(D12))/((E12)-(C12))))</f>
        <v>0.14732649622737101</v>
      </c>
      <c r="H381" s="68">
        <f t="shared" ca="1" si="10"/>
        <v>301192386.85941428</v>
      </c>
      <c r="I381" s="69">
        <f t="shared" ca="1" si="11"/>
        <v>308.63667525200651</v>
      </c>
    </row>
    <row r="382" spans="1:9" ht="16.05" customHeight="1" x14ac:dyDescent="0.3">
      <c r="A382" s="70">
        <v>366</v>
      </c>
      <c r="B382" s="71">
        <f ca="1">(C7)+(E7-C7)*IF(RAND()&lt;((D7)-(C7))/((E7)-(C7)),SQRT(RAND()*((D7)-(C7))/((E7)-(C7))),1-SQRT(RAND()*((E7)-(D7))/((E7)-(C7))))</f>
        <v>0.18495277849524944</v>
      </c>
      <c r="C382" s="71">
        <f ca="1">(C8)+(E8-C8)*IF(RAND()&lt;((D8)-(C8))/((E8)-(C8)),SQRT(RAND()*((D8)-(C8))/((E8)-(C8))),1-SQRT(RAND()*((E8)-(D8))/((E8)-(C8))))</f>
        <v>0.76981613775791102</v>
      </c>
      <c r="D382" s="72">
        <f ca="1">(C9)+(E9-C9)*IF(RAND()&lt;((D9)-(C9))/((E9)-(C9)),SQRT(RAND()*((D9)-(C9))/((E9)-(C9))),1-SQRT(RAND()*((E9)-(D9))/((E9)-(C9))))</f>
        <v>1344983.8235190336</v>
      </c>
      <c r="E382" s="72">
        <f ca="1">(C10)+(E10-C10)*IF(RAND()&lt;((D10)-(C10))/((E10)-(C10)),SQRT(RAND()*((D10)-(C10))/((E10)-(C10))),1-SQRT(RAND()*((E10)-(D10))/((E10)-(C10))))</f>
        <v>4291205.6722785141</v>
      </c>
      <c r="F382" s="71">
        <f ca="1">(C11)+(E11-C11)*IF(RAND()&lt;((D11)-(C11))/((E11)-(C11)),SQRT(RAND()*((D11)-(C11))/((E11)-(C11))),1-SQRT(RAND()*((E11)-(D11))/((E11)-(C11))))</f>
        <v>1.7228368151687833E-2</v>
      </c>
      <c r="G382" s="71">
        <f ca="1">(C12)+(E12-C12)*IF(RAND()&lt;((D12)-(C12))/((E12)-(C12)),SQRT(RAND()*((D12)-(C12))/((E12)-(C12))),1-SQRT(RAND()*((E12)-(D12))/((E12)-(C12))))</f>
        <v>0.17384110451755264</v>
      </c>
      <c r="H382" s="72">
        <f t="shared" ca="1" si="10"/>
        <v>261639188.448549</v>
      </c>
      <c r="I382" s="73">
        <f t="shared" ca="1" si="11"/>
        <v>257.90110230749951</v>
      </c>
    </row>
    <row r="383" spans="1:9" ht="16.05" customHeight="1" x14ac:dyDescent="0.3">
      <c r="A383" s="66">
        <v>367</v>
      </c>
      <c r="B383" s="67">
        <f ca="1">(C7)+(E7-C7)*IF(RAND()&lt;((D7)-(C7))/((E7)-(C7)),SQRT(RAND()*((D7)-(C7))/((E7)-(C7))),1-SQRT(RAND()*((E7)-(D7))/((E7)-(C7))))</f>
        <v>0.28494357878656218</v>
      </c>
      <c r="C383" s="67">
        <f ca="1">(C8)+(E8-C8)*IF(RAND()&lt;((D8)-(C8))/((E8)-(C8)),SQRT(RAND()*((D8)-(C8))/((E8)-(C8))),1-SQRT(RAND()*((E8)-(D8))/((E8)-(C8))))</f>
        <v>0.65490042606414867</v>
      </c>
      <c r="D383" s="68">
        <f ca="1">(C9)+(E9-C9)*IF(RAND()&lt;((D9)-(C9))/((E9)-(C9)),SQRT(RAND()*((D9)-(C9))/((E9)-(C9))),1-SQRT(RAND()*((E9)-(D9))/((E9)-(C9))))</f>
        <v>1242564.3490819475</v>
      </c>
      <c r="E383" s="68">
        <f ca="1">(C10)+(E10-C10)*IF(RAND()&lt;((D10)-(C10))/((E10)-(C10)),SQRT(RAND()*((D10)-(C10))/((E10)-(C10))),1-SQRT(RAND()*((E10)-(D10))/((E10)-(C10))))</f>
        <v>3199154.0240851641</v>
      </c>
      <c r="F383" s="67">
        <f ca="1">(C11)+(E11-C11)*IF(RAND()&lt;((D11)-(C11))/((E11)-(C11)),SQRT(RAND()*((D11)-(C11))/((E11)-(C11))),1-SQRT(RAND()*((E11)-(D11))/((E11)-(C11))))</f>
        <v>1.6064531029264723E-2</v>
      </c>
      <c r="G383" s="67">
        <f ca="1">(C12)+(E12-C12)*IF(RAND()&lt;((D12)-(C12))/((E12)-(C12)),SQRT(RAND()*((D12)-(C12))/((E12)-(C12))),1-SQRT(RAND()*((E12)-(D12))/((E12)-(C12))))</f>
        <v>0.12892288996381451</v>
      </c>
      <c r="H383" s="68">
        <f t="shared" ca="1" si="10"/>
        <v>305601490.53829062</v>
      </c>
      <c r="I383" s="69">
        <f t="shared" ca="1" si="11"/>
        <v>325.71628477808144</v>
      </c>
    </row>
    <row r="384" spans="1:9" ht="16.05" customHeight="1" x14ac:dyDescent="0.3">
      <c r="A384" s="70">
        <v>368</v>
      </c>
      <c r="B384" s="71">
        <f ca="1">(C7)+(E7-C7)*IF(RAND()&lt;((D7)-(C7))/((E7)-(C7)),SQRT(RAND()*((D7)-(C7))/((E7)-(C7))),1-SQRT(RAND()*((E7)-(D7))/((E7)-(C7))))</f>
        <v>0.25163897314295236</v>
      </c>
      <c r="C384" s="71">
        <f ca="1">(C8)+(E8-C8)*IF(RAND()&lt;((D8)-(C8))/((E8)-(C8)),SQRT(RAND()*((D8)-(C8))/((E8)-(C8))),1-SQRT(RAND()*((E8)-(D8))/((E8)-(C8))))</f>
        <v>0.61251974350482963</v>
      </c>
      <c r="D384" s="72">
        <f ca="1">(C9)+(E9-C9)*IF(RAND()&lt;((D9)-(C9))/((E9)-(C9)),SQRT(RAND()*((D9)-(C9))/((E9)-(C9))),1-SQRT(RAND()*((E9)-(D9))/((E9)-(C9))))</f>
        <v>1413353.996937816</v>
      </c>
      <c r="E384" s="72">
        <f ca="1">(C10)+(E10-C10)*IF(RAND()&lt;((D10)-(C10))/((E10)-(C10)),SQRT(RAND()*((D10)-(C10))/((E10)-(C10))),1-SQRT(RAND()*((E10)-(D10))/((E10)-(C10))))</f>
        <v>5150485.7875549123</v>
      </c>
      <c r="F384" s="71">
        <f ca="1">(C11)+(E11-C11)*IF(RAND()&lt;((D11)-(C11))/((E11)-(C11)),SQRT(RAND()*((D11)-(C11))/((E11)-(C11))),1-SQRT(RAND()*((E11)-(D11))/((E11)-(C11))))</f>
        <v>1.1911701351980332E-2</v>
      </c>
      <c r="G384" s="71">
        <f ca="1">(C12)+(E12-C12)*IF(RAND()&lt;((D12)-(C12))/((E12)-(C12)),SQRT(RAND()*((D12)-(C12))/((E12)-(C12))),1-SQRT(RAND()*((E12)-(D12))/((E12)-(C12))))</f>
        <v>0.12414611834241478</v>
      </c>
      <c r="H384" s="72">
        <f t="shared" ca="1" si="10"/>
        <v>232727644.14840364</v>
      </c>
      <c r="I384" s="73">
        <f t="shared" ca="1" si="11"/>
        <v>218.50790953763345</v>
      </c>
    </row>
    <row r="385" spans="1:9" ht="16.05" customHeight="1" x14ac:dyDescent="0.3">
      <c r="A385" s="66">
        <v>369</v>
      </c>
      <c r="B385" s="67">
        <f ca="1">(C7)+(E7-C7)*IF(RAND()&lt;((D7)-(C7))/((E7)-(C7)),SQRT(RAND()*((D7)-(C7))/((E7)-(C7))),1-SQRT(RAND()*((E7)-(D7))/((E7)-(C7))))</f>
        <v>0.28554018273898241</v>
      </c>
      <c r="C385" s="67">
        <f ca="1">(C8)+(E8-C8)*IF(RAND()&lt;((D8)-(C8))/((E8)-(C8)),SQRT(RAND()*((D8)-(C8))/((E8)-(C8))),1-SQRT(RAND()*((E8)-(D8))/((E8)-(C8))))</f>
        <v>0.72329709995880953</v>
      </c>
      <c r="D385" s="68">
        <f ca="1">(C9)+(E9-C9)*IF(RAND()&lt;((D9)-(C9))/((E9)-(C9)),SQRT(RAND()*((D9)-(C9))/((E9)-(C9))),1-SQRT(RAND()*((E9)-(D9))/((E9)-(C9))))</f>
        <v>1315143.8386555614</v>
      </c>
      <c r="E385" s="68">
        <f ca="1">(C10)+(E10-C10)*IF(RAND()&lt;((D10)-(C10))/((E10)-(C10)),SQRT(RAND()*((D10)-(C10))/((E10)-(C10))),1-SQRT(RAND()*((E10)-(D10))/((E10)-(C10))))</f>
        <v>3935727.3271760736</v>
      </c>
      <c r="F385" s="67">
        <f ca="1">(C11)+(E11-C11)*IF(RAND()&lt;((D11)-(C11))/((E11)-(C11)),SQRT(RAND()*((D11)-(C11))/((E11)-(C11))),1-SQRT(RAND()*((E11)-(D11))/((E11)-(C11))))</f>
        <v>8.7629785534298048E-3</v>
      </c>
      <c r="G385" s="67">
        <f ca="1">(C12)+(E12-C12)*IF(RAND()&lt;((D12)-(C12))/((E12)-(C12)),SQRT(RAND()*((D12)-(C12))/((E12)-(C12))),1-SQRT(RAND()*((E12)-(D12))/((E12)-(C12))))</f>
        <v>0.17726511210526541</v>
      </c>
      <c r="H385" s="68">
        <f t="shared" ca="1" si="10"/>
        <v>271709467.43266898</v>
      </c>
      <c r="I385" s="69">
        <f t="shared" ca="1" si="11"/>
        <v>273.82253762435425</v>
      </c>
    </row>
    <row r="386" spans="1:9" ht="16.05" customHeight="1" x14ac:dyDescent="0.3">
      <c r="A386" s="70">
        <v>370</v>
      </c>
      <c r="B386" s="71">
        <f ca="1">(C7)+(E7-C7)*IF(RAND()&lt;((D7)-(C7))/((E7)-(C7)),SQRT(RAND()*((D7)-(C7))/((E7)-(C7))),1-SQRT(RAND()*((E7)-(D7))/((E7)-(C7))))</f>
        <v>0.23348274493448834</v>
      </c>
      <c r="C386" s="71">
        <f ca="1">(C8)+(E8-C8)*IF(RAND()&lt;((D8)-(C8))/((E8)-(C8)),SQRT(RAND()*((D8)-(C8))/((E8)-(C8))),1-SQRT(RAND()*((E8)-(D8))/((E8)-(C8))))</f>
        <v>0.61207247374297113</v>
      </c>
      <c r="D386" s="72">
        <f ca="1">(C9)+(E9-C9)*IF(RAND()&lt;((D9)-(C9))/((E9)-(C9)),SQRT(RAND()*((D9)-(C9))/((E9)-(C9))),1-SQRT(RAND()*((E9)-(D9))/((E9)-(C9))))</f>
        <v>1276371.4727254182</v>
      </c>
      <c r="E386" s="72">
        <f ca="1">(C10)+(E10-C10)*IF(RAND()&lt;((D10)-(C10))/((E10)-(C10)),SQRT(RAND()*((D10)-(C10))/((E10)-(C10))),1-SQRT(RAND()*((E10)-(D10))/((E10)-(C10))))</f>
        <v>2319919.3266069936</v>
      </c>
      <c r="F386" s="71">
        <f ca="1">(C11)+(E11-C11)*IF(RAND()&lt;((D11)-(C11))/((E11)-(C11)),SQRT(RAND()*((D11)-(C11))/((E11)-(C11))),1-SQRT(RAND()*((E11)-(D11))/((E11)-(C11))))</f>
        <v>1.0699358138564341E-2</v>
      </c>
      <c r="G386" s="71">
        <f ca="1">(C12)+(E12-C12)*IF(RAND()&lt;((D12)-(C12))/((E12)-(C12)),SQRT(RAND()*((D12)-(C12))/((E12)-(C12))),1-SQRT(RAND()*((E12)-(D12))/((E12)-(C12))))</f>
        <v>0.14568151326625425</v>
      </c>
      <c r="H386" s="72">
        <f t="shared" ca="1" si="10"/>
        <v>222631597.91078269</v>
      </c>
      <c r="I386" s="73">
        <f t="shared" ca="1" si="11"/>
        <v>231.38388594314478</v>
      </c>
    </row>
    <row r="387" spans="1:9" ht="16.05" customHeight="1" x14ac:dyDescent="0.3">
      <c r="A387" s="66">
        <v>371</v>
      </c>
      <c r="B387" s="67">
        <f ca="1">(C7)+(E7-C7)*IF(RAND()&lt;((D7)-(C7))/((E7)-(C7)),SQRT(RAND()*((D7)-(C7))/((E7)-(C7))),1-SQRT(RAND()*((E7)-(D7))/((E7)-(C7))))</f>
        <v>0.29585198281237024</v>
      </c>
      <c r="C387" s="67">
        <f ca="1">(C8)+(E8-C8)*IF(RAND()&lt;((D8)-(C8))/((E8)-(C8)),SQRT(RAND()*((D8)-(C8))/((E8)-(C8))),1-SQRT(RAND()*((E8)-(D8))/((E8)-(C8))))</f>
        <v>0.83307338972807865</v>
      </c>
      <c r="D387" s="68">
        <f ca="1">(C9)+(E9-C9)*IF(RAND()&lt;((D9)-(C9))/((E9)-(C9)),SQRT(RAND()*((D9)-(C9))/((E9)-(C9))),1-SQRT(RAND()*((E9)-(D9))/((E9)-(C9))))</f>
        <v>1312595.1424195906</v>
      </c>
      <c r="E387" s="68">
        <f ca="1">(C10)+(E10-C10)*IF(RAND()&lt;((D10)-(C10))/((E10)-(C10)),SQRT(RAND()*((D10)-(C10))/((E10)-(C10))),1-SQRT(RAND()*((E10)-(D10))/((E10)-(C10))))</f>
        <v>3690283.1834417982</v>
      </c>
      <c r="F387" s="67">
        <f ca="1">(C11)+(E11-C11)*IF(RAND()&lt;((D11)-(C11))/((E11)-(C11)),SQRT(RAND()*((D11)-(C11))/((E11)-(C11))),1-SQRT(RAND()*((E11)-(D11))/((E11)-(C11))))</f>
        <v>1.724565863136349E-2</v>
      </c>
      <c r="G387" s="67">
        <f ca="1">(C12)+(E12-C12)*IF(RAND()&lt;((D12)-(C12))/((E12)-(C12)),SQRT(RAND()*((D12)-(C12))/((E12)-(C12))),1-SQRT(RAND()*((E12)-(D12))/((E12)-(C12))))</f>
        <v>0.13347000055393976</v>
      </c>
      <c r="H387" s="68">
        <f t="shared" ca="1" si="10"/>
        <v>377316159.83739561</v>
      </c>
      <c r="I387" s="69">
        <f t="shared" ca="1" si="11"/>
        <v>380.47265486602544</v>
      </c>
    </row>
    <row r="388" spans="1:9" ht="16.05" customHeight="1" x14ac:dyDescent="0.3">
      <c r="A388" s="70">
        <v>372</v>
      </c>
      <c r="B388" s="71">
        <f ca="1">(C7)+(E7-C7)*IF(RAND()&lt;((D7)-(C7))/((E7)-(C7)),SQRT(RAND()*((D7)-(C7))/((E7)-(C7))),1-SQRT(RAND()*((E7)-(D7))/((E7)-(C7))))</f>
        <v>0.37413160891016611</v>
      </c>
      <c r="C388" s="71">
        <f ca="1">(C8)+(E8-C8)*IF(RAND()&lt;((D8)-(C8))/((E8)-(C8)),SQRT(RAND()*((D8)-(C8))/((E8)-(C8))),1-SQRT(RAND()*((E8)-(D8))/((E8)-(C8))))</f>
        <v>0.62927042692939028</v>
      </c>
      <c r="D388" s="72">
        <f ca="1">(C9)+(E9-C9)*IF(RAND()&lt;((D9)-(C9))/((E9)-(C9)),SQRT(RAND()*((D9)-(C9))/((E9)-(C9))),1-SQRT(RAND()*((E9)-(D9))/((E9)-(C9))))</f>
        <v>1293705.1432961328</v>
      </c>
      <c r="E388" s="72">
        <f ca="1">(C10)+(E10-C10)*IF(RAND()&lt;((D10)-(C10))/((E10)-(C10)),SQRT(RAND()*((D10)-(C10))/((E10)-(C10))),1-SQRT(RAND()*((E10)-(D10))/((E10)-(C10))))</f>
        <v>2998762.0230035284</v>
      </c>
      <c r="F388" s="71">
        <f ca="1">(C11)+(E11-C11)*IF(RAND()&lt;((D11)-(C11))/((E11)-(C11)),SQRT(RAND()*((D11)-(C11))/((E11)-(C11))),1-SQRT(RAND()*((E11)-(D11))/((E11)-(C11))))</f>
        <v>1.1513554503282628E-2</v>
      </c>
      <c r="G388" s="71">
        <f ca="1">(C12)+(E12-C12)*IF(RAND()&lt;((D12)-(C12))/((E12)-(C12)),SQRT(RAND()*((D12)-(C12))/((E12)-(C12))),1-SQRT(RAND()*((E12)-(D12))/((E12)-(C12))))</f>
        <v>0.17498636644086654</v>
      </c>
      <c r="H388" s="72">
        <f t="shared" ca="1" si="10"/>
        <v>326576914.4934423</v>
      </c>
      <c r="I388" s="73">
        <f t="shared" ca="1" si="11"/>
        <v>334.27803829556848</v>
      </c>
    </row>
    <row r="389" spans="1:9" ht="16.05" customHeight="1" x14ac:dyDescent="0.3">
      <c r="A389" s="66">
        <v>373</v>
      </c>
      <c r="B389" s="67">
        <f ca="1">(C7)+(E7-C7)*IF(RAND()&lt;((D7)-(C7))/((E7)-(C7)),SQRT(RAND()*((D7)-(C7))/((E7)-(C7))),1-SQRT(RAND()*((E7)-(D7))/((E7)-(C7))))</f>
        <v>0.2271633632833191</v>
      </c>
      <c r="C389" s="67">
        <f ca="1">(C8)+(E8-C8)*IF(RAND()&lt;((D8)-(C8))/((E8)-(C8)),SQRT(RAND()*((D8)-(C8))/((E8)-(C8))),1-SQRT(RAND()*((E8)-(D8))/((E8)-(C8))))</f>
        <v>0.61136367123312996</v>
      </c>
      <c r="D389" s="68">
        <f ca="1">(C9)+(E9-C9)*IF(RAND()&lt;((D9)-(C9))/((E9)-(C9)),SQRT(RAND()*((D9)-(C9))/((E9)-(C9))),1-SQRT(RAND()*((E9)-(D9))/((E9)-(C9))))</f>
        <v>1149425.3242595829</v>
      </c>
      <c r="E389" s="68">
        <f ca="1">(C10)+(E10-C10)*IF(RAND()&lt;((D10)-(C10))/((E10)-(C10)),SQRT(RAND()*((D10)-(C10))/((E10)-(C10))),1-SQRT(RAND()*((E10)-(D10))/((E10)-(C10))))</f>
        <v>2946294.0484899515</v>
      </c>
      <c r="F389" s="67">
        <f ca="1">(C11)+(E11-C11)*IF(RAND()&lt;((D11)-(C11))/((E11)-(C11)),SQRT(RAND()*((D11)-(C11))/((E11)-(C11))),1-SQRT(RAND()*((E11)-(D11))/((E11)-(C11))))</f>
        <v>8.0648902924404763E-3</v>
      </c>
      <c r="G389" s="67">
        <f ca="1">(C12)+(E12-C12)*IF(RAND()&lt;((D12)-(C12))/((E12)-(C12)),SQRT(RAND()*((D12)-(C12))/((E12)-(C12))),1-SQRT(RAND()*((E12)-(D12))/((E12)-(C12))))</f>
        <v>0.15189821208861304</v>
      </c>
      <c r="H389" s="68">
        <f t="shared" ca="1" si="10"/>
        <v>196986101.49772063</v>
      </c>
      <c r="I389" s="69">
        <f t="shared" ca="1" si="11"/>
        <v>227.36428251764391</v>
      </c>
    </row>
    <row r="390" spans="1:9" ht="16.05" customHeight="1" x14ac:dyDescent="0.3">
      <c r="A390" s="70">
        <v>374</v>
      </c>
      <c r="B390" s="71">
        <f ca="1">(C7)+(E7-C7)*IF(RAND()&lt;((D7)-(C7))/((E7)-(C7)),SQRT(RAND()*((D7)-(C7))/((E7)-(C7))),1-SQRT(RAND()*((E7)-(D7))/((E7)-(C7))))</f>
        <v>0.36755104475086109</v>
      </c>
      <c r="C390" s="71">
        <f ca="1">(C8)+(E8-C8)*IF(RAND()&lt;((D8)-(C8))/((E8)-(C8)),SQRT(RAND()*((D8)-(C8))/((E8)-(C8))),1-SQRT(RAND()*((E8)-(D8))/((E8)-(C8))))</f>
        <v>0.73094307512205536</v>
      </c>
      <c r="D390" s="72">
        <f ca="1">(C9)+(E9-C9)*IF(RAND()&lt;((D9)-(C9))/((E9)-(C9)),SQRT(RAND()*((D9)-(C9))/((E9)-(C9))),1-SQRT(RAND()*((E9)-(D9))/((E9)-(C9))))</f>
        <v>1336134.6815090287</v>
      </c>
      <c r="E390" s="72">
        <f ca="1">(C10)+(E10-C10)*IF(RAND()&lt;((D10)-(C10))/((E10)-(C10)),SQRT(RAND()*((D10)-(C10))/((E10)-(C10))),1-SQRT(RAND()*((E10)-(D10))/((E10)-(C10))))</f>
        <v>3082322.274717683</v>
      </c>
      <c r="F390" s="71">
        <f ca="1">(C11)+(E11-C11)*IF(RAND()&lt;((D11)-(C11))/((E11)-(C11)),SQRT(RAND()*((D11)-(C11))/((E11)-(C11))),1-SQRT(RAND()*((E11)-(D11))/((E11)-(C11))))</f>
        <v>8.200232161830797E-3</v>
      </c>
      <c r="G390" s="71">
        <f ca="1">(C12)+(E12-C12)*IF(RAND()&lt;((D12)-(C12))/((E12)-(C12)),SQRT(RAND()*((D12)-(C12))/((E12)-(C12))),1-SQRT(RAND()*((E12)-(D12))/((E12)-(C12))))</f>
        <v>0.16747827008710592</v>
      </c>
      <c r="H390" s="72">
        <f t="shared" ca="1" si="10"/>
        <v>338454909.50825226</v>
      </c>
      <c r="I390" s="73">
        <f t="shared" ca="1" si="11"/>
        <v>335.4303375788441</v>
      </c>
    </row>
    <row r="391" spans="1:9" ht="16.05" customHeight="1" x14ac:dyDescent="0.3">
      <c r="A391" s="66">
        <v>375</v>
      </c>
      <c r="B391" s="67">
        <f ca="1">(C7)+(E7-C7)*IF(RAND()&lt;((D7)-(C7))/((E7)-(C7)),SQRT(RAND()*((D7)-(C7))/((E7)-(C7))),1-SQRT(RAND()*((E7)-(D7))/((E7)-(C7))))</f>
        <v>0.22455009629954401</v>
      </c>
      <c r="C391" s="67">
        <f ca="1">(C8)+(E8-C8)*IF(RAND()&lt;((D8)-(C8))/((E8)-(C8)),SQRT(RAND()*((D8)-(C8))/((E8)-(C8))),1-SQRT(RAND()*((E8)-(D8))/((E8)-(C8))))</f>
        <v>0.74844964435184613</v>
      </c>
      <c r="D391" s="68">
        <f ca="1">(C9)+(E9-C9)*IF(RAND()&lt;((D9)-(C9))/((E9)-(C9)),SQRT(RAND()*((D9)-(C9))/((E9)-(C9))),1-SQRT(RAND()*((E9)-(D9))/((E9)-(C9))))</f>
        <v>1335363.8876876433</v>
      </c>
      <c r="E391" s="68">
        <f ca="1">(C10)+(E10-C10)*IF(RAND()&lt;((D10)-(C10))/((E10)-(C10)),SQRT(RAND()*((D10)-(C10))/((E10)-(C10))),1-SQRT(RAND()*((E10)-(D10))/((E10)-(C10))))</f>
        <v>4228415.7428695299</v>
      </c>
      <c r="F391" s="67">
        <f ca="1">(C11)+(E11-C11)*IF(RAND()&lt;((D11)-(C11))/((E11)-(C11)),SQRT(RAND()*((D11)-(C11))/((E11)-(C11))),1-SQRT(RAND()*((E11)-(D11))/((E11)-(C11))))</f>
        <v>1.2056388770981296E-2</v>
      </c>
      <c r="G391" s="67">
        <f ca="1">(C12)+(E12-C12)*IF(RAND()&lt;((D12)-(C12))/((E12)-(C12)),SQRT(RAND()*((D12)-(C12))/((E12)-(C12))),1-SQRT(RAND()*((E12)-(D12))/((E12)-(C12))))</f>
        <v>0.19451914454814367</v>
      </c>
      <c r="H391" s="68">
        <f t="shared" ca="1" si="10"/>
        <v>252501187.06580922</v>
      </c>
      <c r="I391" s="69">
        <f t="shared" ca="1" si="11"/>
        <v>250.72357914033427</v>
      </c>
    </row>
    <row r="392" spans="1:9" ht="16.05" customHeight="1" x14ac:dyDescent="0.3">
      <c r="A392" s="70">
        <v>376</v>
      </c>
      <c r="B392" s="71">
        <f ca="1">(C7)+(E7-C7)*IF(RAND()&lt;((D7)-(C7))/((E7)-(C7)),SQRT(RAND()*((D7)-(C7))/((E7)-(C7))),1-SQRT(RAND()*((E7)-(D7))/((E7)-(C7))))</f>
        <v>0.27432094308513344</v>
      </c>
      <c r="C392" s="71">
        <f ca="1">(C8)+(E8-C8)*IF(RAND()&lt;((D8)-(C8))/((E8)-(C8)),SQRT(RAND()*((D8)-(C8))/((E8)-(C8))),1-SQRT(RAND()*((E8)-(D8))/((E8)-(C8))))</f>
        <v>0.62643843841077285</v>
      </c>
      <c r="D392" s="72">
        <f ca="1">(C9)+(E9-C9)*IF(RAND()&lt;((D9)-(C9))/((E9)-(C9)),SQRT(RAND()*((D9)-(C9))/((E9)-(C9))),1-SQRT(RAND()*((E9)-(D9))/((E9)-(C9))))</f>
        <v>1329521.8932956904</v>
      </c>
      <c r="E392" s="72">
        <f ca="1">(C10)+(E10-C10)*IF(RAND()&lt;((D10)-(C10))/((E10)-(C10)),SQRT(RAND()*((D10)-(C10))/((E10)-(C10))),1-SQRT(RAND()*((E10)-(D10))/((E10)-(C10))))</f>
        <v>3477336.4257646697</v>
      </c>
      <c r="F392" s="71">
        <f ca="1">(C11)+(E11-C11)*IF(RAND()&lt;((D11)-(C11))/((E11)-(C11)),SQRT(RAND()*((D11)-(C11))/((E11)-(C11))),1-SQRT(RAND()*((E11)-(D11))/((E11)-(C11))))</f>
        <v>1.0115041469254312E-2</v>
      </c>
      <c r="G392" s="71">
        <f ca="1">(C12)+(E12-C12)*IF(RAND()&lt;((D12)-(C12))/((E12)-(C12)),SQRT(RAND()*((D12)-(C12))/((E12)-(C12))),1-SQRT(RAND()*((E12)-(D12))/((E12)-(C12))))</f>
        <v>0.15196153199839957</v>
      </c>
      <c r="H392" s="72">
        <f t="shared" ca="1" si="10"/>
        <v>245455511.52220803</v>
      </c>
      <c r="I392" s="73">
        <f t="shared" ca="1" si="11"/>
        <v>244.82962800815702</v>
      </c>
    </row>
    <row r="393" spans="1:9" ht="16.05" customHeight="1" x14ac:dyDescent="0.3">
      <c r="A393" s="66">
        <v>377</v>
      </c>
      <c r="B393" s="67">
        <f ca="1">(C7)+(E7-C7)*IF(RAND()&lt;((D7)-(C7))/((E7)-(C7)),SQRT(RAND()*((D7)-(C7))/((E7)-(C7))),1-SQRT(RAND()*((E7)-(D7))/((E7)-(C7))))</f>
        <v>0.30422872947811241</v>
      </c>
      <c r="C393" s="67">
        <f ca="1">(C8)+(E8-C8)*IF(RAND()&lt;((D8)-(C8))/((E8)-(C8)),SQRT(RAND()*((D8)-(C8))/((E8)-(C8))),1-SQRT(RAND()*((E8)-(D8))/((E8)-(C8))))</f>
        <v>0.72049876416550618</v>
      </c>
      <c r="D393" s="68">
        <f ca="1">(C9)+(E9-C9)*IF(RAND()&lt;((D9)-(C9))/((E9)-(C9)),SQRT(RAND()*((D9)-(C9))/((E9)-(C9))),1-SQRT(RAND()*((E9)-(D9))/((E9)-(C9))))</f>
        <v>1288873.4975170577</v>
      </c>
      <c r="E393" s="68">
        <f ca="1">(C10)+(E10-C10)*IF(RAND()&lt;((D10)-(C10))/((E10)-(C10)),SQRT(RAND()*((D10)-(C10))/((E10)-(C10))),1-SQRT(RAND()*((E10)-(D10))/((E10)-(C10))))</f>
        <v>3239675.1203224957</v>
      </c>
      <c r="F393" s="67">
        <f ca="1">(C11)+(E11-C11)*IF(RAND()&lt;((D11)-(C11))/((E11)-(C11)),SQRT(RAND()*((D11)-(C11))/((E11)-(C11))),1-SQRT(RAND()*((E11)-(D11))/((E11)-(C11))))</f>
        <v>4.4754065945941252E-3</v>
      </c>
      <c r="G393" s="67">
        <f ca="1">(C12)+(E12-C12)*IF(RAND()&lt;((D12)-(C12))/((E12)-(C12)),SQRT(RAND()*((D12)-(C12))/((E12)-(C12))),1-SQRT(RAND()*((E12)-(D12))/((E12)-(C12))))</f>
        <v>0.14724095813672888</v>
      </c>
      <c r="H393" s="68">
        <f t="shared" ca="1" si="10"/>
        <v>257208184.19677159</v>
      </c>
      <c r="I393" s="69">
        <f t="shared" ca="1" si="11"/>
        <v>264.53671653569234</v>
      </c>
    </row>
    <row r="394" spans="1:9" ht="16.05" customHeight="1" x14ac:dyDescent="0.3">
      <c r="A394" s="70">
        <v>378</v>
      </c>
      <c r="B394" s="71">
        <f ca="1">(C7)+(E7-C7)*IF(RAND()&lt;((D7)-(C7))/((E7)-(C7)),SQRT(RAND()*((D7)-(C7))/((E7)-(C7))),1-SQRT(RAND()*((E7)-(D7))/((E7)-(C7))))</f>
        <v>0.32282810683451602</v>
      </c>
      <c r="C394" s="71">
        <f ca="1">(C8)+(E8-C8)*IF(RAND()&lt;((D8)-(C8))/((E8)-(C8)),SQRT(RAND()*((D8)-(C8))/((E8)-(C8))),1-SQRT(RAND()*((E8)-(D8))/((E8)-(C8))))</f>
        <v>0.75999978916283029</v>
      </c>
      <c r="D394" s="72">
        <f ca="1">(C9)+(E9-C9)*IF(RAND()&lt;((D9)-(C9))/((E9)-(C9)),SQRT(RAND()*((D9)-(C9))/((E9)-(C9))),1-SQRT(RAND()*((E9)-(D9))/((E9)-(C9))))</f>
        <v>1182606.6087904903</v>
      </c>
      <c r="E394" s="72">
        <f ca="1">(C10)+(E10-C10)*IF(RAND()&lt;((D10)-(C10))/((E10)-(C10)),SQRT(RAND()*((D10)-(C10))/((E10)-(C10))),1-SQRT(RAND()*((E10)-(D10))/((E10)-(C10))))</f>
        <v>3435919.7592609697</v>
      </c>
      <c r="F394" s="71">
        <f ca="1">(C11)+(E11-C11)*IF(RAND()&lt;((D11)-(C11))/((E11)-(C11)),SQRT(RAND()*((D11)-(C11))/((E11)-(C11))),1-SQRT(RAND()*((E11)-(D11))/((E11)-(C11))))</f>
        <v>1.0251692283911496E-2</v>
      </c>
      <c r="G394" s="71">
        <f ca="1">(C12)+(E12-C12)*IF(RAND()&lt;((D12)-(C12))/((E12)-(C12)),SQRT(RAND()*((D12)-(C12))/((E12)-(C12))),1-SQRT(RAND()*((E12)-(D12))/((E12)-(C12))))</f>
        <v>0.17539999665189263</v>
      </c>
      <c r="H394" s="72">
        <f t="shared" ca="1" si="10"/>
        <v>326714950.32405424</v>
      </c>
      <c r="I394" s="73">
        <f t="shared" ca="1" si="11"/>
        <v>365.7114243852497</v>
      </c>
    </row>
    <row r="395" spans="1:9" ht="16.05" customHeight="1" x14ac:dyDescent="0.3">
      <c r="A395" s="66">
        <v>379</v>
      </c>
      <c r="B395" s="67">
        <f ca="1">(C7)+(E7-C7)*IF(RAND()&lt;((D7)-(C7))/((E7)-(C7)),SQRT(RAND()*((D7)-(C7))/((E7)-(C7))),1-SQRT(RAND()*((E7)-(D7))/((E7)-(C7))))</f>
        <v>0.32341405991960259</v>
      </c>
      <c r="C395" s="67">
        <f ca="1">(C8)+(E8-C8)*IF(RAND()&lt;((D8)-(C8))/((E8)-(C8)),SQRT(RAND()*((D8)-(C8))/((E8)-(C8))),1-SQRT(RAND()*((E8)-(D8))/((E8)-(C8))))</f>
        <v>0.62118228378926277</v>
      </c>
      <c r="D395" s="68">
        <f ca="1">(C9)+(E9-C9)*IF(RAND()&lt;((D9)-(C9))/((E9)-(C9)),SQRT(RAND()*((D9)-(C9))/((E9)-(C9))),1-SQRT(RAND()*((E9)-(D9))/((E9)-(C9))))</f>
        <v>1313381.0154141053</v>
      </c>
      <c r="E395" s="68">
        <f ca="1">(C10)+(E10-C10)*IF(RAND()&lt;((D10)-(C10))/((E10)-(C10)),SQRT(RAND()*((D10)-(C10))/((E10)-(C10))),1-SQRT(RAND()*((E10)-(D10))/((E10)-(C10))))</f>
        <v>4189760.8313290081</v>
      </c>
      <c r="F395" s="67">
        <f ca="1">(C11)+(E11-C11)*IF(RAND()&lt;((D11)-(C11))/((E11)-(C11)),SQRT(RAND()*((D11)-(C11))/((E11)-(C11))),1-SQRT(RAND()*((E11)-(D11))/((E11)-(C11))))</f>
        <v>6.5992307477362976E-3</v>
      </c>
      <c r="G395" s="67">
        <f ca="1">(C12)+(E12-C12)*IF(RAND()&lt;((D12)-(C12))/((E12)-(C12)),SQRT(RAND()*((D12)-(C12))/((E12)-(C12))),1-SQRT(RAND()*((E12)-(D12))/((E12)-(C12))))</f>
        <v>0.16382397123799303</v>
      </c>
      <c r="H395" s="68">
        <f t="shared" ca="1" si="10"/>
        <v>249004444.31783566</v>
      </c>
      <c r="I395" s="69">
        <f t="shared" ca="1" si="11"/>
        <v>251.38634922368763</v>
      </c>
    </row>
    <row r="396" spans="1:9" ht="16.05" customHeight="1" x14ac:dyDescent="0.3">
      <c r="A396" s="70">
        <v>380</v>
      </c>
      <c r="B396" s="71">
        <f ca="1">(C7)+(E7-C7)*IF(RAND()&lt;((D7)-(C7))/((E7)-(C7)),SQRT(RAND()*((D7)-(C7))/((E7)-(C7))),1-SQRT(RAND()*((E7)-(D7))/((E7)-(C7))))</f>
        <v>0.27686664643891046</v>
      </c>
      <c r="C396" s="71">
        <f ca="1">(C8)+(E8-C8)*IF(RAND()&lt;((D8)-(C8))/((E8)-(C8)),SQRT(RAND()*((D8)-(C8))/((E8)-(C8))),1-SQRT(RAND()*((E8)-(D8))/((E8)-(C8))))</f>
        <v>0.64662206521421539</v>
      </c>
      <c r="D396" s="72">
        <f ca="1">(C9)+(E9-C9)*IF(RAND()&lt;((D9)-(C9))/((E9)-(C9)),SQRT(RAND()*((D9)-(C9))/((E9)-(C9))),1-SQRT(RAND()*((E9)-(D9))/((E9)-(C9))))</f>
        <v>1252394.9524955365</v>
      </c>
      <c r="E396" s="72">
        <f ca="1">(C10)+(E10-C10)*IF(RAND()&lt;((D10)-(C10))/((E10)-(C10)),SQRT(RAND()*((D10)-(C10))/((E10)-(C10))),1-SQRT(RAND()*((E10)-(D10))/((E10)-(C10))))</f>
        <v>3253976.8038441446</v>
      </c>
      <c r="F396" s="71">
        <f ca="1">(C11)+(E11-C11)*IF(RAND()&lt;((D11)-(C11))/((E11)-(C11)),SQRT(RAND()*((D11)-(C11))/((E11)-(C11))),1-SQRT(RAND()*((E11)-(D11))/((E11)-(C11))))</f>
        <v>1.7263675679754481E-2</v>
      </c>
      <c r="G396" s="71">
        <f ca="1">(C12)+(E12-C12)*IF(RAND()&lt;((D12)-(C12))/((E12)-(C12)),SQRT(RAND()*((D12)-(C12))/((E12)-(C12))),1-SQRT(RAND()*((E12)-(D12))/((E12)-(C12))))</f>
        <v>0.16156105675903401</v>
      </c>
      <c r="H396" s="72">
        <f t="shared" ca="1" si="10"/>
        <v>305790421.31681025</v>
      </c>
      <c r="I396" s="73">
        <f t="shared" ca="1" si="11"/>
        <v>323.36892314429593</v>
      </c>
    </row>
    <row r="397" spans="1:9" ht="16.05" customHeight="1" x14ac:dyDescent="0.3">
      <c r="A397" s="66">
        <v>381</v>
      </c>
      <c r="B397" s="67">
        <f ca="1">(C7)+(E7-C7)*IF(RAND()&lt;((D7)-(C7))/((E7)-(C7)),SQRT(RAND()*((D7)-(C7))/((E7)-(C7))),1-SQRT(RAND()*((E7)-(D7))/((E7)-(C7))))</f>
        <v>0.24776510006912744</v>
      </c>
      <c r="C397" s="67">
        <f ca="1">(C8)+(E8-C8)*IF(RAND()&lt;((D8)-(C8))/((E8)-(C8)),SQRT(RAND()*((D8)-(C8))/((E8)-(C8))),1-SQRT(RAND()*((E8)-(D8))/((E8)-(C8))))</f>
        <v>0.65122381808354723</v>
      </c>
      <c r="D397" s="68">
        <f ca="1">(C9)+(E9-C9)*IF(RAND()&lt;((D9)-(C9))/((E9)-(C9)),SQRT(RAND()*((D9)-(C9))/((E9)-(C9))),1-SQRT(RAND()*((E9)-(D9))/((E9)-(C9))))</f>
        <v>1185841.4964942867</v>
      </c>
      <c r="E397" s="68">
        <f ca="1">(C10)+(E10-C10)*IF(RAND()&lt;((D10)-(C10))/((E10)-(C10)),SQRT(RAND()*((D10)-(C10))/((E10)-(C10))),1-SQRT(RAND()*((E10)-(D10))/((E10)-(C10))))</f>
        <v>3013496.8174492558</v>
      </c>
      <c r="F397" s="67">
        <f ca="1">(C11)+(E11-C11)*IF(RAND()&lt;((D11)-(C11))/((E11)-(C11)),SQRT(RAND()*((D11)-(C11))/((E11)-(C11))),1-SQRT(RAND()*((E11)-(D11))/((E11)-(C11))))</f>
        <v>1.7658400065531009E-2</v>
      </c>
      <c r="G397" s="67">
        <f ca="1">(C12)+(E12-C12)*IF(RAND()&lt;((D12)-(C12))/((E12)-(C12)),SQRT(RAND()*((D12)-(C12))/((E12)-(C12))),1-SQRT(RAND()*((E12)-(D12))/((E12)-(C12))))</f>
        <v>0.13526935620770481</v>
      </c>
      <c r="H397" s="68">
        <f t="shared" ca="1" si="10"/>
        <v>290385177.54487258</v>
      </c>
      <c r="I397" s="69">
        <f t="shared" ca="1" si="11"/>
        <v>324.30852067184281</v>
      </c>
    </row>
    <row r="398" spans="1:9" ht="16.05" customHeight="1" x14ac:dyDescent="0.3">
      <c r="A398" s="70">
        <v>382</v>
      </c>
      <c r="B398" s="71">
        <f ca="1">(C7)+(E7-C7)*IF(RAND()&lt;((D7)-(C7))/((E7)-(C7)),SQRT(RAND()*((D7)-(C7))/((E7)-(C7))),1-SQRT(RAND()*((E7)-(D7))/((E7)-(C7))))</f>
        <v>0.2750135745957385</v>
      </c>
      <c r="C398" s="71">
        <f ca="1">(C8)+(E8-C8)*IF(RAND()&lt;((D8)-(C8))/((E8)-(C8)),SQRT(RAND()*((D8)-(C8))/((E8)-(C8))),1-SQRT(RAND()*((E8)-(D8))/((E8)-(C8))))</f>
        <v>0.72466193309541593</v>
      </c>
      <c r="D398" s="72">
        <f ca="1">(C9)+(E9-C9)*IF(RAND()&lt;((D9)-(C9))/((E9)-(C9)),SQRT(RAND()*((D9)-(C9))/((E9)-(C9))),1-SQRT(RAND()*((E9)-(D9))/((E9)-(C9))))</f>
        <v>1387333.2148940088</v>
      </c>
      <c r="E398" s="72">
        <f ca="1">(C10)+(E10-C10)*IF(RAND()&lt;((D10)-(C10))/((E10)-(C10)),SQRT(RAND()*((D10)-(C10))/((E10)-(C10))),1-SQRT(RAND()*((E10)-(D10))/((E10)-(C10))))</f>
        <v>2939431.9694417994</v>
      </c>
      <c r="F398" s="71">
        <f ca="1">(C11)+(E11-C11)*IF(RAND()&lt;((D11)-(C11))/((E11)-(C11)),SQRT(RAND()*((D11)-(C11))/((E11)-(C11))),1-SQRT(RAND()*((E11)-(D11))/((E11)-(C11))))</f>
        <v>2.7729717052111247E-2</v>
      </c>
      <c r="G398" s="71">
        <f ca="1">(C12)+(E12-C12)*IF(RAND()&lt;((D12)-(C12))/((E12)-(C12)),SQRT(RAND()*((D12)-(C12))/((E12)-(C12))),1-SQRT(RAND()*((E12)-(D12))/((E12)-(C12))))</f>
        <v>0.17427143369903147</v>
      </c>
      <c r="H398" s="72">
        <f t="shared" ca="1" si="10"/>
        <v>404434266.22471899</v>
      </c>
      <c r="I398" s="73">
        <f t="shared" ca="1" si="11"/>
        <v>385.82913763959368</v>
      </c>
    </row>
    <row r="399" spans="1:9" ht="16.05" customHeight="1" x14ac:dyDescent="0.3">
      <c r="A399" s="66">
        <v>383</v>
      </c>
      <c r="B399" s="67">
        <f ca="1">(C7)+(E7-C7)*IF(RAND()&lt;((D7)-(C7))/((E7)-(C7)),SQRT(RAND()*((D7)-(C7))/((E7)-(C7))),1-SQRT(RAND()*((E7)-(D7))/((E7)-(C7))))</f>
        <v>0.26836083125612342</v>
      </c>
      <c r="C399" s="67">
        <f ca="1">(C8)+(E8-C8)*IF(RAND()&lt;((D8)-(C8))/((E8)-(C8)),SQRT(RAND()*((D8)-(C8))/((E8)-(C8))),1-SQRT(RAND()*((E8)-(D8))/((E8)-(C8))))</f>
        <v>0.83293691653855229</v>
      </c>
      <c r="D399" s="68">
        <f ca="1">(C9)+(E9-C9)*IF(RAND()&lt;((D9)-(C9))/((E9)-(C9)),SQRT(RAND()*((D9)-(C9))/((E9)-(C9))),1-SQRT(RAND()*((E9)-(D9))/((E9)-(C9))))</f>
        <v>1468106.3461498991</v>
      </c>
      <c r="E399" s="68">
        <f ca="1">(C10)+(E10-C10)*IF(RAND()&lt;((D10)-(C10))/((E10)-(C10)),SQRT(RAND()*((D10)-(C10))/((E10)-(C10))),1-SQRT(RAND()*((E10)-(D10))/((E10)-(C10))))</f>
        <v>3228395.0539379818</v>
      </c>
      <c r="F399" s="67">
        <f ca="1">(C11)+(E11-C11)*IF(RAND()&lt;((D11)-(C11))/((E11)-(C11)),SQRT(RAND()*((D11)-(C11))/((E11)-(C11))),1-SQRT(RAND()*((E11)-(D11))/((E11)-(C11))))</f>
        <v>8.6236360940621926E-3</v>
      </c>
      <c r="G399" s="67">
        <f ca="1">(C12)+(E12-C12)*IF(RAND()&lt;((D12)-(C12))/((E12)-(C12)),SQRT(RAND()*((D12)-(C12))/((E12)-(C12))),1-SQRT(RAND()*((E12)-(D12))/((E12)-(C12))))</f>
        <v>0.16251631038655123</v>
      </c>
      <c r="H399" s="68">
        <f t="shared" ca="1" si="10"/>
        <v>291724389.14327615</v>
      </c>
      <c r="I399" s="69">
        <f t="shared" ca="1" si="11"/>
        <v>263.4122585903537</v>
      </c>
    </row>
    <row r="400" spans="1:9" ht="16.05" customHeight="1" x14ac:dyDescent="0.3">
      <c r="A400" s="70">
        <v>384</v>
      </c>
      <c r="B400" s="71">
        <f ca="1">(C7)+(E7-C7)*IF(RAND()&lt;((D7)-(C7))/((E7)-(C7)),SQRT(RAND()*((D7)-(C7))/((E7)-(C7))),1-SQRT(RAND()*((E7)-(D7))/((E7)-(C7))))</f>
        <v>0.27950059696524798</v>
      </c>
      <c r="C400" s="71">
        <f ca="1">(C8)+(E8-C8)*IF(RAND()&lt;((D8)-(C8))/((E8)-(C8)),SQRT(RAND()*((D8)-(C8))/((E8)-(C8))),1-SQRT(RAND()*((E8)-(D8))/((E8)-(C8))))</f>
        <v>0.63923862583736735</v>
      </c>
      <c r="D400" s="72">
        <f ca="1">(C9)+(E9-C9)*IF(RAND()&lt;((D9)-(C9))/((E9)-(C9)),SQRT(RAND()*((D9)-(C9))/((E9)-(C9))),1-SQRT(RAND()*((E9)-(D9))/((E9)-(C9))))</f>
        <v>1309084.0949231263</v>
      </c>
      <c r="E400" s="72">
        <f ca="1">(C10)+(E10-C10)*IF(RAND()&lt;((D10)-(C10))/((E10)-(C10)),SQRT(RAND()*((D10)-(C10))/((E10)-(C10))),1-SQRT(RAND()*((E10)-(D10))/((E10)-(C10))))</f>
        <v>4304610.5798297003</v>
      </c>
      <c r="F400" s="71">
        <f ca="1">(C11)+(E11-C11)*IF(RAND()&lt;((D11)-(C11))/((E11)-(C11)),SQRT(RAND()*((D11)-(C11))/((E11)-(C11))),1-SQRT(RAND()*((E11)-(D11))/((E11)-(C11))))</f>
        <v>1.7315631791886256E-2</v>
      </c>
      <c r="G400" s="71">
        <f ca="1">(C12)+(E12-C12)*IF(RAND()&lt;((D12)-(C12))/((E12)-(C12)),SQRT(RAND()*((D12)-(C12))/((E12)-(C12))),1-SQRT(RAND()*((E12)-(D12))/((E12)-(C12))))</f>
        <v>0.16885337468097311</v>
      </c>
      <c r="H400" s="72">
        <f t="shared" ca="1" si="10"/>
        <v>301733791.29833043</v>
      </c>
      <c r="I400" s="73">
        <f t="shared" ca="1" si="11"/>
        <v>305.33541508741132</v>
      </c>
    </row>
    <row r="401" spans="1:9" ht="16.05" customHeight="1" x14ac:dyDescent="0.3">
      <c r="A401" s="66">
        <v>385</v>
      </c>
      <c r="B401" s="67">
        <f ca="1">(C7)+(E7-C7)*IF(RAND()&lt;((D7)-(C7))/((E7)-(C7)),SQRT(RAND()*((D7)-(C7))/((E7)-(C7))),1-SQRT(RAND()*((E7)-(D7))/((E7)-(C7))))</f>
        <v>0.26424914897721585</v>
      </c>
      <c r="C401" s="67">
        <f ca="1">(C8)+(E8-C8)*IF(RAND()&lt;((D8)-(C8))/((E8)-(C8)),SQRT(RAND()*((D8)-(C8))/((E8)-(C8))),1-SQRT(RAND()*((E8)-(D8))/((E8)-(C8))))</f>
        <v>0.64565167965208337</v>
      </c>
      <c r="D401" s="68">
        <f ca="1">(C9)+(E9-C9)*IF(RAND()&lt;((D9)-(C9))/((E9)-(C9)),SQRT(RAND()*((D9)-(C9))/((E9)-(C9))),1-SQRT(RAND()*((E9)-(D9))/((E9)-(C9))))</f>
        <v>1161315.3292414569</v>
      </c>
      <c r="E401" s="68">
        <f ca="1">(C10)+(E10-C10)*IF(RAND()&lt;((D10)-(C10))/((E10)-(C10)),SQRT(RAND()*((D10)-(C10))/((E10)-(C10))),1-SQRT(RAND()*((E10)-(D10))/((E10)-(C10))))</f>
        <v>3089581.5606965031</v>
      </c>
      <c r="F401" s="67">
        <f ca="1">(C11)+(E11-C11)*IF(RAND()&lt;((D11)-(C11))/((E11)-(C11)),SQRT(RAND()*((D11)-(C11))/((E11)-(C11))),1-SQRT(RAND()*((E11)-(D11))/((E11)-(C11))))</f>
        <v>1.7729880653754873E-2</v>
      </c>
      <c r="G401" s="67">
        <f ca="1">(C12)+(E12-C12)*IF(RAND()&lt;((D12)-(C12))/((E12)-(C12)),SQRT(RAND()*((D12)-(C12))/((E12)-(C12))),1-SQRT(RAND()*((E12)-(D12))/((E12)-(C12))))</f>
        <v>0.16534555924475625</v>
      </c>
      <c r="H401" s="68">
        <f t="shared" ref="H401:H464" ca="1" si="12">-D401+($L$1*B401*C401+$M$1*F401-E401)*(1-(1+$N$1)^-5)/$N$1</f>
        <v>300714256.94605649</v>
      </c>
      <c r="I401" s="69">
        <f t="shared" ref="I401:I464" ca="1" si="13">($L$1*B401*C401+$M$1*F401-E401)*5/D401</f>
        <v>342.86129475148942</v>
      </c>
    </row>
    <row r="402" spans="1:9" ht="16.05" customHeight="1" x14ac:dyDescent="0.3">
      <c r="A402" s="70">
        <v>386</v>
      </c>
      <c r="B402" s="71">
        <f ca="1">(C7)+(E7-C7)*IF(RAND()&lt;((D7)-(C7))/((E7)-(C7)),SQRT(RAND()*((D7)-(C7))/((E7)-(C7))),1-SQRT(RAND()*((E7)-(D7))/((E7)-(C7))))</f>
        <v>0.18776881856693328</v>
      </c>
      <c r="C402" s="71">
        <f ca="1">(C8)+(E8-C8)*IF(RAND()&lt;((D8)-(C8))/((E8)-(C8)),SQRT(RAND()*((D8)-(C8))/((E8)-(C8))),1-SQRT(RAND()*((E8)-(D8))/((E8)-(C8))))</f>
        <v>0.6468577210703057</v>
      </c>
      <c r="D402" s="72">
        <f ca="1">(C9)+(E9-C9)*IF(RAND()&lt;((D9)-(C9))/((E9)-(C9)),SQRT(RAND()*((D9)-(C9))/((E9)-(C9))),1-SQRT(RAND()*((E9)-(D9))/((E9)-(C9))))</f>
        <v>1285185.183193391</v>
      </c>
      <c r="E402" s="72">
        <f ca="1">(C10)+(E10-C10)*IF(RAND()&lt;((D10)-(C10))/((E10)-(C10)),SQRT(RAND()*((D10)-(C10))/((E10)-(C10))),1-SQRT(RAND()*((E10)-(D10))/((E10)-(C10))))</f>
        <v>3557849.8755807425</v>
      </c>
      <c r="F402" s="71">
        <f ca="1">(C11)+(E11-C11)*IF(RAND()&lt;((D11)-(C11))/((E11)-(C11)),SQRT(RAND()*((D11)-(C11))/((E11)-(C11))),1-SQRT(RAND()*((E11)-(D11))/((E11)-(C11))))</f>
        <v>1.6267541505049818E-2</v>
      </c>
      <c r="G402" s="71">
        <f ca="1">(C12)+(E12-C12)*IF(RAND()&lt;((D12)-(C12))/((E12)-(C12)),SQRT(RAND()*((D12)-(C12))/((E12)-(C12))),1-SQRT(RAND()*((E12)-(D12))/((E12)-(C12))))</f>
        <v>0.1459413086775348</v>
      </c>
      <c r="H402" s="72">
        <f t="shared" ca="1" si="12"/>
        <v>234784112.1862838</v>
      </c>
      <c r="I402" s="73">
        <f t="shared" ca="1" si="13"/>
        <v>242.27825979255306</v>
      </c>
    </row>
    <row r="403" spans="1:9" ht="16.05" customHeight="1" x14ac:dyDescent="0.3">
      <c r="A403" s="66">
        <v>387</v>
      </c>
      <c r="B403" s="67">
        <f ca="1">(C7)+(E7-C7)*IF(RAND()&lt;((D7)-(C7))/((E7)-(C7)),SQRT(RAND()*((D7)-(C7))/((E7)-(C7))),1-SQRT(RAND()*((E7)-(D7))/((E7)-(C7))))</f>
        <v>0.30211769122287568</v>
      </c>
      <c r="C403" s="67">
        <f ca="1">(C8)+(E8-C8)*IF(RAND()&lt;((D8)-(C8))/((E8)-(C8)),SQRT(RAND()*((D8)-(C8))/((E8)-(C8))),1-SQRT(RAND()*((E8)-(D8))/((E8)-(C8))))</f>
        <v>0.68895582561939162</v>
      </c>
      <c r="D403" s="68">
        <f ca="1">(C9)+(E9-C9)*IF(RAND()&lt;((D9)-(C9))/((E9)-(C9)),SQRT(RAND()*((D9)-(C9))/((E9)-(C9))),1-SQRT(RAND()*((E9)-(D9))/((E9)-(C9))))</f>
        <v>1195815.01375641</v>
      </c>
      <c r="E403" s="68">
        <f ca="1">(C10)+(E10-C10)*IF(RAND()&lt;((D10)-(C10))/((E10)-(C10)),SQRT(RAND()*((D10)-(C10))/((E10)-(C10))),1-SQRT(RAND()*((E10)-(D10))/((E10)-(C10))))</f>
        <v>3914269.8453817535</v>
      </c>
      <c r="F403" s="67">
        <f ca="1">(C11)+(E11-C11)*IF(RAND()&lt;((D11)-(C11))/((E11)-(C11)),SQRT(RAND()*((D11)-(C11))/((E11)-(C11))),1-SQRT(RAND()*((E11)-(D11))/((E11)-(C11))))</f>
        <v>6.3658814301463026E-3</v>
      </c>
      <c r="G403" s="67">
        <f ca="1">(C12)+(E12-C12)*IF(RAND()&lt;((D12)-(C12))/((E12)-(C12)),SQRT(RAND()*((D12)-(C12))/((E12)-(C12))),1-SQRT(RAND()*((E12)-(D12))/((E12)-(C12))))</f>
        <v>0.15961178838270643</v>
      </c>
      <c r="H403" s="68">
        <f t="shared" ca="1" si="12"/>
        <v>256366147.08704168</v>
      </c>
      <c r="I403" s="69">
        <f t="shared" ca="1" si="13"/>
        <v>284.0915859440052</v>
      </c>
    </row>
    <row r="404" spans="1:9" ht="16.05" customHeight="1" x14ac:dyDescent="0.3">
      <c r="A404" s="70">
        <v>388</v>
      </c>
      <c r="B404" s="71">
        <f ca="1">(C7)+(E7-C7)*IF(RAND()&lt;((D7)-(C7))/((E7)-(C7)),SQRT(RAND()*((D7)-(C7))/((E7)-(C7))),1-SQRT(RAND()*((E7)-(D7))/((E7)-(C7))))</f>
        <v>0.33118049326391824</v>
      </c>
      <c r="C404" s="71">
        <f ca="1">(C8)+(E8-C8)*IF(RAND()&lt;((D8)-(C8))/((E8)-(C8)),SQRT(RAND()*((D8)-(C8))/((E8)-(C8))),1-SQRT(RAND()*((E8)-(D8))/((E8)-(C8))))</f>
        <v>0.60714987703558299</v>
      </c>
      <c r="D404" s="72">
        <f ca="1">(C9)+(E9-C9)*IF(RAND()&lt;((D9)-(C9))/((E9)-(C9)),SQRT(RAND()*((D9)-(C9))/((E9)-(C9))),1-SQRT(RAND()*((E9)-(D9))/((E9)-(C9))))</f>
        <v>1404763.6257415744</v>
      </c>
      <c r="E404" s="72">
        <f ca="1">(C10)+(E10-C10)*IF(RAND()&lt;((D10)-(C10))/((E10)-(C10)),SQRT(RAND()*((D10)-(C10))/((E10)-(C10))),1-SQRT(RAND()*((E10)-(D10))/((E10)-(C10))))</f>
        <v>4120745.079481184</v>
      </c>
      <c r="F404" s="71">
        <f ca="1">(C11)+(E11-C11)*IF(RAND()&lt;((D11)-(C11))/((E11)-(C11)),SQRT(RAND()*((D11)-(C11))/((E11)-(C11))),1-SQRT(RAND()*((E11)-(D11))/((E11)-(C11))))</f>
        <v>7.100789949715634E-3</v>
      </c>
      <c r="G404" s="71">
        <f ca="1">(C12)+(E12-C12)*IF(RAND()&lt;((D12)-(C12))/((E12)-(C12)),SQRT(RAND()*((D12)-(C12))/((E12)-(C12))),1-SQRT(RAND()*((E12)-(D12))/((E12)-(C12))))</f>
        <v>0.17157223229390317</v>
      </c>
      <c r="H404" s="72">
        <f t="shared" ca="1" si="12"/>
        <v>252987457.88535422</v>
      </c>
      <c r="I404" s="73">
        <f t="shared" ca="1" si="13"/>
        <v>238.85878712505655</v>
      </c>
    </row>
    <row r="405" spans="1:9" ht="16.05" customHeight="1" x14ac:dyDescent="0.3">
      <c r="A405" s="66">
        <v>389</v>
      </c>
      <c r="B405" s="67">
        <f ca="1">(C7)+(E7-C7)*IF(RAND()&lt;((D7)-(C7))/((E7)-(C7)),SQRT(RAND()*((D7)-(C7))/((E7)-(C7))),1-SQRT(RAND()*((E7)-(D7))/((E7)-(C7))))</f>
        <v>0.2981601292256888</v>
      </c>
      <c r="C405" s="67">
        <f ca="1">(C8)+(E8-C8)*IF(RAND()&lt;((D8)-(C8))/((E8)-(C8)),SQRT(RAND()*((D8)-(C8))/((E8)-(C8))),1-SQRT(RAND()*((E8)-(D8))/((E8)-(C8))))</f>
        <v>0.66707948529416838</v>
      </c>
      <c r="D405" s="68">
        <f ca="1">(C9)+(E9-C9)*IF(RAND()&lt;((D9)-(C9))/((E9)-(C9)),SQRT(RAND()*((D9)-(C9))/((E9)-(C9))),1-SQRT(RAND()*((E9)-(D9))/((E9)-(C9))))</f>
        <v>1391880.9282277985</v>
      </c>
      <c r="E405" s="68">
        <f ca="1">(C10)+(E10-C10)*IF(RAND()&lt;((D10)-(C10))/((E10)-(C10)),SQRT(RAND()*((D10)-(C10))/((E10)-(C10))),1-SQRT(RAND()*((E10)-(D10))/((E10)-(C10))))</f>
        <v>3026584.2615934052</v>
      </c>
      <c r="F405" s="67">
        <f ca="1">(C11)+(E11-C11)*IF(RAND()&lt;((D11)-(C11))/((E11)-(C11)),SQRT(RAND()*((D11)-(C11))/((E11)-(C11))),1-SQRT(RAND()*((E11)-(D11))/((E11)-(C11))))</f>
        <v>1.6082345108754913E-2</v>
      </c>
      <c r="G405" s="67">
        <f ca="1">(C12)+(E12-C12)*IF(RAND()&lt;((D12)-(C12))/((E12)-(C12)),SQRT(RAND()*((D12)-(C12))/((E12)-(C12))),1-SQRT(RAND()*((E12)-(D12))/((E12)-(C12))))</f>
        <v>0.14638696542308574</v>
      </c>
      <c r="H405" s="68">
        <f t="shared" ca="1" si="12"/>
        <v>319602457.83533168</v>
      </c>
      <c r="I405" s="69">
        <f t="shared" ca="1" si="13"/>
        <v>304.18369918688728</v>
      </c>
    </row>
    <row r="406" spans="1:9" ht="16.05" customHeight="1" x14ac:dyDescent="0.3">
      <c r="A406" s="70">
        <v>390</v>
      </c>
      <c r="B406" s="71">
        <f ca="1">(C7)+(E7-C7)*IF(RAND()&lt;((D7)-(C7))/((E7)-(C7)),SQRT(RAND()*((D7)-(C7))/((E7)-(C7))),1-SQRT(RAND()*((E7)-(D7))/((E7)-(C7))))</f>
        <v>0.23058208492161628</v>
      </c>
      <c r="C406" s="71">
        <f ca="1">(C8)+(E8-C8)*IF(RAND()&lt;((D8)-(C8))/((E8)-(C8)),SQRT(RAND()*((D8)-(C8))/((E8)-(C8))),1-SQRT(RAND()*((E8)-(D8))/((E8)-(C8))))</f>
        <v>0.65546700633826505</v>
      </c>
      <c r="D406" s="72">
        <f ca="1">(C9)+(E9-C9)*IF(RAND()&lt;((D9)-(C9))/((E9)-(C9)),SQRT(RAND()*((D9)-(C9))/((E9)-(C9))),1-SQRT(RAND()*((E9)-(D9))/((E9)-(C9))))</f>
        <v>1159165.6725603852</v>
      </c>
      <c r="E406" s="72">
        <f ca="1">(C10)+(E10-C10)*IF(RAND()&lt;((D10)-(C10))/((E10)-(C10)),SQRT(RAND()*((D10)-(C10))/((E10)-(C10))),1-SQRT(RAND()*((E10)-(D10))/((E10)-(C10))))</f>
        <v>3360904.1620555911</v>
      </c>
      <c r="F406" s="71">
        <f ca="1">(C11)+(E11-C11)*IF(RAND()&lt;((D11)-(C11))/((E11)-(C11)),SQRT(RAND()*((D11)-(C11))/((E11)-(C11))),1-SQRT(RAND()*((E11)-(D11))/((E11)-(C11))))</f>
        <v>1.2463997483715742E-2</v>
      </c>
      <c r="G406" s="71">
        <f ca="1">(C12)+(E12-C12)*IF(RAND()&lt;((D12)-(C12))/((E12)-(C12)),SQRT(RAND()*((D12)-(C12))/((E12)-(C12))),1-SQRT(RAND()*((E12)-(D12))/((E12)-(C12))))</f>
        <v>0.17649558419727218</v>
      </c>
      <c r="H406" s="72">
        <f t="shared" ca="1" si="12"/>
        <v>240493731.06695518</v>
      </c>
      <c r="I406" s="73">
        <f t="shared" ca="1" si="13"/>
        <v>274.97115768546911</v>
      </c>
    </row>
    <row r="407" spans="1:9" ht="16.05" customHeight="1" x14ac:dyDescent="0.3">
      <c r="A407" s="66">
        <v>391</v>
      </c>
      <c r="B407" s="67">
        <f ca="1">(C7)+(E7-C7)*IF(RAND()&lt;((D7)-(C7))/((E7)-(C7)),SQRT(RAND()*((D7)-(C7))/((E7)-(C7))),1-SQRT(RAND()*((E7)-(D7))/((E7)-(C7))))</f>
        <v>0.20830671815122501</v>
      </c>
      <c r="C407" s="67">
        <f ca="1">(C8)+(E8-C8)*IF(RAND()&lt;((D8)-(C8))/((E8)-(C8)),SQRT(RAND()*((D8)-(C8))/((E8)-(C8))),1-SQRT(RAND()*((E8)-(D8))/((E8)-(C8))))</f>
        <v>0.78309136782478306</v>
      </c>
      <c r="D407" s="68">
        <f ca="1">(C9)+(E9-C9)*IF(RAND()&lt;((D9)-(C9))/((E9)-(C9)),SQRT(RAND()*((D9)-(C9))/((E9)-(C9))),1-SQRT(RAND()*((E9)-(D9))/((E9)-(C9))))</f>
        <v>1049593.794858437</v>
      </c>
      <c r="E407" s="68">
        <f ca="1">(C10)+(E10-C10)*IF(RAND()&lt;((D10)-(C10))/((E10)-(C10)),SQRT(RAND()*((D10)-(C10))/((E10)-(C10))),1-SQRT(RAND()*((E10)-(D10))/((E10)-(C10))))</f>
        <v>3151313.6378721092</v>
      </c>
      <c r="F407" s="67">
        <f ca="1">(C11)+(E11-C11)*IF(RAND()&lt;((D11)-(C11))/((E11)-(C11)),SQRT(RAND()*((D11)-(C11))/((E11)-(C11))),1-SQRT(RAND()*((E11)-(D11))/((E11)-(C11))))</f>
        <v>9.5334323605805148E-3</v>
      </c>
      <c r="G407" s="67">
        <f ca="1">(C12)+(E12-C12)*IF(RAND()&lt;((D12)-(C12))/((E12)-(C12)),SQRT(RAND()*((D12)-(C12))/((E12)-(C12))),1-SQRT(RAND()*((E12)-(D12))/((E12)-(C12))))</f>
        <v>0.15983237113447107</v>
      </c>
      <c r="H407" s="68">
        <f t="shared" ca="1" si="12"/>
        <v>233284326.81994045</v>
      </c>
      <c r="I407" s="69">
        <f t="shared" ca="1" si="13"/>
        <v>294.47915100944942</v>
      </c>
    </row>
    <row r="408" spans="1:9" ht="16.05" customHeight="1" x14ac:dyDescent="0.3">
      <c r="A408" s="70">
        <v>392</v>
      </c>
      <c r="B408" s="71">
        <f ca="1">(C7)+(E7-C7)*IF(RAND()&lt;((D7)-(C7))/((E7)-(C7)),SQRT(RAND()*((D7)-(C7))/((E7)-(C7))),1-SQRT(RAND()*((E7)-(D7))/((E7)-(C7))))</f>
        <v>0.2382145105818104</v>
      </c>
      <c r="C408" s="71">
        <f ca="1">(C8)+(E8-C8)*IF(RAND()&lt;((D8)-(C8))/((E8)-(C8)),SQRT(RAND()*((D8)-(C8))/((E8)-(C8))),1-SQRT(RAND()*((E8)-(D8))/((E8)-(C8))))</f>
        <v>0.64101883525274106</v>
      </c>
      <c r="D408" s="72">
        <f ca="1">(C9)+(E9-C9)*IF(RAND()&lt;((D9)-(C9))/((E9)-(C9)),SQRT(RAND()*((D9)-(C9))/((E9)-(C9))),1-SQRT(RAND()*((E9)-(D9))/((E9)-(C9))))</f>
        <v>1170554.3730140557</v>
      </c>
      <c r="E408" s="72">
        <f ca="1">(C10)+(E10-C10)*IF(RAND()&lt;((D10)-(C10))/((E10)-(C10)),SQRT(RAND()*((D10)-(C10))/((E10)-(C10))),1-SQRT(RAND()*((E10)-(D10))/((E10)-(C10))))</f>
        <v>3519430.2098756474</v>
      </c>
      <c r="F408" s="71">
        <f ca="1">(C11)+(E11-C11)*IF(RAND()&lt;((D11)-(C11))/((E11)-(C11)),SQRT(RAND()*((D11)-(C11))/((E11)-(C11))),1-SQRT(RAND()*((E11)-(D11))/((E11)-(C11))))</f>
        <v>8.4995919289804229E-3</v>
      </c>
      <c r="G408" s="71">
        <f ca="1">(C12)+(E12-C12)*IF(RAND()&lt;((D12)-(C12))/((E12)-(C12)),SQRT(RAND()*((D12)-(C12))/((E12)-(C12))),1-SQRT(RAND()*((E12)-(D12))/((E12)-(C12))))</f>
        <v>0.1500634233828011</v>
      </c>
      <c r="H408" s="72">
        <f t="shared" ca="1" si="12"/>
        <v>212966022.06918818</v>
      </c>
      <c r="I408" s="73">
        <f t="shared" ca="1" si="13"/>
        <v>241.29032667663202</v>
      </c>
    </row>
    <row r="409" spans="1:9" ht="16.05" customHeight="1" x14ac:dyDescent="0.3">
      <c r="A409" s="66">
        <v>393</v>
      </c>
      <c r="B409" s="67">
        <f ca="1">(C7)+(E7-C7)*IF(RAND()&lt;((D7)-(C7))/((E7)-(C7)),SQRT(RAND()*((D7)-(C7))/((E7)-(C7))),1-SQRT(RAND()*((E7)-(D7))/((E7)-(C7))))</f>
        <v>0.27113514644949371</v>
      </c>
      <c r="C409" s="67">
        <f ca="1">(C8)+(E8-C8)*IF(RAND()&lt;((D8)-(C8))/((E8)-(C8)),SQRT(RAND()*((D8)-(C8))/((E8)-(C8))),1-SQRT(RAND()*((E8)-(D8))/((E8)-(C8))))</f>
        <v>0.71695047484334473</v>
      </c>
      <c r="D409" s="68">
        <f ca="1">(C9)+(E9-C9)*IF(RAND()&lt;((D9)-(C9))/((E9)-(C9)),SQRT(RAND()*((D9)-(C9))/((E9)-(C9))),1-SQRT(RAND()*((E9)-(D9))/((E9)-(C9))))</f>
        <v>1345209.8865401363</v>
      </c>
      <c r="E409" s="68">
        <f ca="1">(C10)+(E10-C10)*IF(RAND()&lt;((D10)-(C10))/((E10)-(C10)),SQRT(RAND()*((D10)-(C10))/((E10)-(C10))),1-SQRT(RAND()*((E10)-(D10))/((E10)-(C10))))</f>
        <v>4205199.3323212052</v>
      </c>
      <c r="F409" s="67">
        <f ca="1">(C11)+(E11-C11)*IF(RAND()&lt;((D11)-(C11))/((E11)-(C11)),SQRT(RAND()*((D11)-(C11))/((E11)-(C11))),1-SQRT(RAND()*((E11)-(D11))/((E11)-(C11))))</f>
        <v>8.5141663006002045E-3</v>
      </c>
      <c r="G409" s="67">
        <f ca="1">(C12)+(E12-C12)*IF(RAND()&lt;((D12)-(C12))/((E12)-(C12)),SQRT(RAND()*((D12)-(C12))/((E12)-(C12))),1-SQRT(RAND()*((E12)-(D12))/((E12)-(C12))))</f>
        <v>0.13996915844382229</v>
      </c>
      <c r="H409" s="68">
        <f t="shared" ca="1" si="12"/>
        <v>255654358.72935337</v>
      </c>
      <c r="I409" s="69">
        <f t="shared" ca="1" si="13"/>
        <v>251.98981751680054</v>
      </c>
    </row>
    <row r="410" spans="1:9" ht="16.05" customHeight="1" x14ac:dyDescent="0.3">
      <c r="A410" s="70">
        <v>394</v>
      </c>
      <c r="B410" s="71">
        <f ca="1">(C7)+(E7-C7)*IF(RAND()&lt;((D7)-(C7))/((E7)-(C7)),SQRT(RAND()*((D7)-(C7))/((E7)-(C7))),1-SQRT(RAND()*((E7)-(D7))/((E7)-(C7))))</f>
        <v>0.24732758112085371</v>
      </c>
      <c r="C410" s="71">
        <f ca="1">(C8)+(E8-C8)*IF(RAND()&lt;((D8)-(C8))/((E8)-(C8)),SQRT(RAND()*((D8)-(C8))/((E8)-(C8))),1-SQRT(RAND()*((E8)-(D8))/((E8)-(C8))))</f>
        <v>0.73960399283216538</v>
      </c>
      <c r="D410" s="72">
        <f ca="1">(C9)+(E9-C9)*IF(RAND()&lt;((D9)-(C9))/((E9)-(C9)),SQRT(RAND()*((D9)-(C9))/((E9)-(C9))),1-SQRT(RAND()*((E9)-(D9))/((E9)-(C9))))</f>
        <v>1343728.6768688655</v>
      </c>
      <c r="E410" s="72">
        <f ca="1">(C10)+(E10-C10)*IF(RAND()&lt;((D10)-(C10))/((E10)-(C10)),SQRT(RAND()*((D10)-(C10))/((E10)-(C10))),1-SQRT(RAND()*((E10)-(D10))/((E10)-(C10))))</f>
        <v>4087837.178841352</v>
      </c>
      <c r="F410" s="71">
        <f ca="1">(C11)+(E11-C11)*IF(RAND()&lt;((D11)-(C11))/((E11)-(C11)),SQRT(RAND()*((D11)-(C11))/((E11)-(C11))),1-SQRT(RAND()*((E11)-(D11))/((E11)-(C11))))</f>
        <v>1.1853434143293186E-2</v>
      </c>
      <c r="G410" s="71">
        <f ca="1">(C12)+(E12-C12)*IF(RAND()&lt;((D12)-(C12))/((E12)-(C12)),SQRT(RAND()*((D12)-(C12))/((E12)-(C12))),1-SQRT(RAND()*((E12)-(D12))/((E12)-(C12))))</f>
        <v>0.1388679054640381</v>
      </c>
      <c r="H410" s="72">
        <f t="shared" ca="1" si="12"/>
        <v>267727920.95203698</v>
      </c>
      <c r="I410" s="73">
        <f t="shared" ca="1" si="13"/>
        <v>264.11739418551787</v>
      </c>
    </row>
    <row r="411" spans="1:9" ht="16.05" customHeight="1" x14ac:dyDescent="0.3">
      <c r="A411" s="66">
        <v>395</v>
      </c>
      <c r="B411" s="67">
        <f ca="1">(C7)+(E7-C7)*IF(RAND()&lt;((D7)-(C7))/((E7)-(C7)),SQRT(RAND()*((D7)-(C7))/((E7)-(C7))),1-SQRT(RAND()*((E7)-(D7))/((E7)-(C7))))</f>
        <v>0.28220819208679143</v>
      </c>
      <c r="C411" s="67">
        <f ca="1">(C8)+(E8-C8)*IF(RAND()&lt;((D8)-(C8))/((E8)-(C8)),SQRT(RAND()*((D8)-(C8))/((E8)-(C8))),1-SQRT(RAND()*((E8)-(D8))/((E8)-(C8))))</f>
        <v>0.76025012765819922</v>
      </c>
      <c r="D411" s="68">
        <f ca="1">(C9)+(E9-C9)*IF(RAND()&lt;((D9)-(C9))/((E9)-(C9)),SQRT(RAND()*((D9)-(C9))/((E9)-(C9))),1-SQRT(RAND()*((E9)-(D9))/((E9)-(C9))))</f>
        <v>1248311.7638648977</v>
      </c>
      <c r="E411" s="68">
        <f ca="1">(C10)+(E10-C10)*IF(RAND()&lt;((D10)-(C10))/((E10)-(C10)),SQRT(RAND()*((D10)-(C10))/((E10)-(C10))),1-SQRT(RAND()*((E10)-(D10))/((E10)-(C10))))</f>
        <v>4271091.5989697874</v>
      </c>
      <c r="F411" s="67">
        <f ca="1">(C11)+(E11-C11)*IF(RAND()&lt;((D11)-(C11))/((E11)-(C11)),SQRT(RAND()*((D11)-(C11))/((E11)-(C11))),1-SQRT(RAND()*((E11)-(D11))/((E11)-(C11))))</f>
        <v>6.9933517851849042E-3</v>
      </c>
      <c r="G411" s="67">
        <f ca="1">(C12)+(E12-C12)*IF(RAND()&lt;((D12)-(C12))/((E12)-(C12)),SQRT(RAND()*((D12)-(C12))/((E12)-(C12))),1-SQRT(RAND()*((E12)-(D12))/((E12)-(C12))))</f>
        <v>0.1671986983489005</v>
      </c>
      <c r="H411" s="68">
        <f t="shared" ca="1" si="12"/>
        <v>266456139.47856179</v>
      </c>
      <c r="I411" s="69">
        <f t="shared" ca="1" si="13"/>
        <v>282.86106836262621</v>
      </c>
    </row>
    <row r="412" spans="1:9" ht="16.05" customHeight="1" x14ac:dyDescent="0.3">
      <c r="A412" s="70">
        <v>396</v>
      </c>
      <c r="B412" s="71">
        <f ca="1">(C7)+(E7-C7)*IF(RAND()&lt;((D7)-(C7))/((E7)-(C7)),SQRT(RAND()*((D7)-(C7))/((E7)-(C7))),1-SQRT(RAND()*((E7)-(D7))/((E7)-(C7))))</f>
        <v>0.25436323602563593</v>
      </c>
      <c r="C412" s="71">
        <f ca="1">(C8)+(E8-C8)*IF(RAND()&lt;((D8)-(C8))/((E8)-(C8)),SQRT(RAND()*((D8)-(C8))/((E8)-(C8))),1-SQRT(RAND()*((E8)-(D8))/((E8)-(C8))))</f>
        <v>0.7255841985533813</v>
      </c>
      <c r="D412" s="72">
        <f ca="1">(C9)+(E9-C9)*IF(RAND()&lt;((D9)-(C9))/((E9)-(C9)),SQRT(RAND()*((D9)-(C9))/((E9)-(C9))),1-SQRT(RAND()*((E9)-(D9))/((E9)-(C9))))</f>
        <v>1336509.707682749</v>
      </c>
      <c r="E412" s="72">
        <f ca="1">(C10)+(E10-C10)*IF(RAND()&lt;((D10)-(C10))/((E10)-(C10)),SQRT(RAND()*((D10)-(C10))/((E10)-(C10))),1-SQRT(RAND()*((E10)-(D10))/((E10)-(C10))))</f>
        <v>3396918.3472081767</v>
      </c>
      <c r="F412" s="71">
        <f ca="1">(C11)+(E11-C11)*IF(RAND()&lt;((D11)-(C11))/((E11)-(C11)),SQRT(RAND()*((D11)-(C11))/((E11)-(C11))),1-SQRT(RAND()*((E11)-(D11))/((E11)-(C11))))</f>
        <v>1.6900250739747835E-2</v>
      </c>
      <c r="G412" s="71">
        <f ca="1">(C12)+(E12-C12)*IF(RAND()&lt;((D12)-(C12))/((E12)-(C12)),SQRT(RAND()*((D12)-(C12))/((E12)-(C12))),1-SQRT(RAND()*((E12)-(D12))/((E12)-(C12))))</f>
        <v>0.17204740888858699</v>
      </c>
      <c r="H412" s="72">
        <f t="shared" ca="1" si="12"/>
        <v>308561966.0439533</v>
      </c>
      <c r="I412" s="73">
        <f t="shared" ca="1" si="13"/>
        <v>305.83555336516241</v>
      </c>
    </row>
    <row r="413" spans="1:9" ht="16.05" customHeight="1" x14ac:dyDescent="0.3">
      <c r="A413" s="66">
        <v>397</v>
      </c>
      <c r="B413" s="67">
        <f ca="1">(C7)+(E7-C7)*IF(RAND()&lt;((D7)-(C7))/((E7)-(C7)),SQRT(RAND()*((D7)-(C7))/((E7)-(C7))),1-SQRT(RAND()*((E7)-(D7))/((E7)-(C7))))</f>
        <v>0.25370049829786412</v>
      </c>
      <c r="C413" s="67">
        <f ca="1">(C8)+(E8-C8)*IF(RAND()&lt;((D8)-(C8))/((E8)-(C8)),SQRT(RAND()*((D8)-(C8))/((E8)-(C8))),1-SQRT(RAND()*((E8)-(D8))/((E8)-(C8))))</f>
        <v>0.86301195859102542</v>
      </c>
      <c r="D413" s="68">
        <f ca="1">(C9)+(E9-C9)*IF(RAND()&lt;((D9)-(C9))/((E9)-(C9)),SQRT(RAND()*((D9)-(C9))/((E9)-(C9))),1-SQRT(RAND()*((E9)-(D9))/((E9)-(C9))))</f>
        <v>1202372.6865246808</v>
      </c>
      <c r="E413" s="68">
        <f ca="1">(C10)+(E10-C10)*IF(RAND()&lt;((D10)-(C10))/((E10)-(C10)),SQRT(RAND()*((D10)-(C10))/((E10)-(C10))),1-SQRT(RAND()*((E10)-(D10))/((E10)-(C10))))</f>
        <v>3771138.3809943264</v>
      </c>
      <c r="F413" s="67">
        <f ca="1">(C11)+(E11-C11)*IF(RAND()&lt;((D11)-(C11))/((E11)-(C11)),SQRT(RAND()*((D11)-(C11))/((E11)-(C11))),1-SQRT(RAND()*((E11)-(D11))/((E11)-(C11))))</f>
        <v>1.0291740142382419E-2</v>
      </c>
      <c r="G413" s="67">
        <f ca="1">(C12)+(E12-C12)*IF(RAND()&lt;((D12)-(C12))/((E12)-(C12)),SQRT(RAND()*((D12)-(C12))/((E12)-(C12))),1-SQRT(RAND()*((E12)-(D12))/((E12)-(C12))))</f>
        <v>0.15827442380239432</v>
      </c>
      <c r="H413" s="68">
        <f t="shared" ca="1" si="12"/>
        <v>296988491.23481917</v>
      </c>
      <c r="I413" s="69">
        <f t="shared" ca="1" si="13"/>
        <v>327.11155027075091</v>
      </c>
    </row>
    <row r="414" spans="1:9" ht="16.05" customHeight="1" x14ac:dyDescent="0.3">
      <c r="A414" s="70">
        <v>398</v>
      </c>
      <c r="B414" s="71">
        <f ca="1">(C7)+(E7-C7)*IF(RAND()&lt;((D7)-(C7))/((E7)-(C7)),SQRT(RAND()*((D7)-(C7))/((E7)-(C7))),1-SQRT(RAND()*((E7)-(D7))/((E7)-(C7))))</f>
        <v>0.18190792454734941</v>
      </c>
      <c r="C414" s="71">
        <f ca="1">(C8)+(E8-C8)*IF(RAND()&lt;((D8)-(C8))/((E8)-(C8)),SQRT(RAND()*((D8)-(C8))/((E8)-(C8))),1-SQRT(RAND()*((E8)-(D8))/((E8)-(C8))))</f>
        <v>0.62819017623024065</v>
      </c>
      <c r="D414" s="72">
        <f ca="1">(C9)+(E9-C9)*IF(RAND()&lt;((D9)-(C9))/((E9)-(C9)),SQRT(RAND()*((D9)-(C9))/((E9)-(C9))),1-SQRT(RAND()*((E9)-(D9))/((E9)-(C9))))</f>
        <v>1094848.1765125992</v>
      </c>
      <c r="E414" s="72">
        <f ca="1">(C10)+(E10-C10)*IF(RAND()&lt;((D10)-(C10))/((E10)-(C10)),SQRT(RAND()*((D10)-(C10))/((E10)-(C10))),1-SQRT(RAND()*((E10)-(D10))/((E10)-(C10))))</f>
        <v>5305867.9123840798</v>
      </c>
      <c r="F414" s="71">
        <f ca="1">(C11)+(E11-C11)*IF(RAND()&lt;((D11)-(C11))/((E11)-(C11)),SQRT(RAND()*((D11)-(C11))/((E11)-(C11))),1-SQRT(RAND()*((E11)-(D11))/((E11)-(C11))))</f>
        <v>2.4462694124845419E-2</v>
      </c>
      <c r="G414" s="71">
        <f ca="1">(C12)+(E12-C12)*IF(RAND()&lt;((D12)-(C12))/((E12)-(C12)),SQRT(RAND()*((D12)-(C12))/((E12)-(C12))),1-SQRT(RAND()*((E12)-(D12))/((E12)-(C12))))</f>
        <v>0.15038125532956786</v>
      </c>
      <c r="H414" s="72">
        <f t="shared" ca="1" si="12"/>
        <v>279678822.62039226</v>
      </c>
      <c r="I414" s="73">
        <f t="shared" ca="1" si="13"/>
        <v>338.25414618510018</v>
      </c>
    </row>
    <row r="415" spans="1:9" ht="16.05" customHeight="1" x14ac:dyDescent="0.3">
      <c r="A415" s="66">
        <v>399</v>
      </c>
      <c r="B415" s="67">
        <f ca="1">(C7)+(E7-C7)*IF(RAND()&lt;((D7)-(C7))/((E7)-(C7)),SQRT(RAND()*((D7)-(C7))/((E7)-(C7))),1-SQRT(RAND()*((E7)-(D7))/((E7)-(C7))))</f>
        <v>0.2729334465686547</v>
      </c>
      <c r="C415" s="67">
        <f ca="1">(C8)+(E8-C8)*IF(RAND()&lt;((D8)-(C8))/((E8)-(C8)),SQRT(RAND()*((D8)-(C8))/((E8)-(C8))),1-SQRT(RAND()*((E8)-(D8))/((E8)-(C8))))</f>
        <v>0.64837690246941626</v>
      </c>
      <c r="D415" s="68">
        <f ca="1">(C9)+(E9-C9)*IF(RAND()&lt;((D9)-(C9))/((E9)-(C9)),SQRT(RAND()*((D9)-(C9))/((E9)-(C9))),1-SQRT(RAND()*((E9)-(D9))/((E9)-(C9))))</f>
        <v>1282385.8514536524</v>
      </c>
      <c r="E415" s="68">
        <f ca="1">(C10)+(E10-C10)*IF(RAND()&lt;((D10)-(C10))/((E10)-(C10)),SQRT(RAND()*((D10)-(C10))/((E10)-(C10))),1-SQRT(RAND()*((E10)-(D10))/((E10)-(C10))))</f>
        <v>3359809.644174641</v>
      </c>
      <c r="F415" s="67">
        <f ca="1">(C11)+(E11-C11)*IF(RAND()&lt;((D11)-(C11))/((E11)-(C11)),SQRT(RAND()*((D11)-(C11))/((E11)-(C11))),1-SQRT(RAND()*((E11)-(D11))/((E11)-(C11))))</f>
        <v>1.0980880997184684E-2</v>
      </c>
      <c r="G415" s="67">
        <f ca="1">(C12)+(E12-C12)*IF(RAND()&lt;((D12)-(C12))/((E12)-(C12)),SQRT(RAND()*((D12)-(C12))/((E12)-(C12))),1-SQRT(RAND()*((E12)-(D12))/((E12)-(C12))))</f>
        <v>0.15810068932640278</v>
      </c>
      <c r="H415" s="68">
        <f t="shared" ca="1" si="12"/>
        <v>257766266.59916449</v>
      </c>
      <c r="I415" s="69">
        <f t="shared" ca="1" si="13"/>
        <v>266.44235758794304</v>
      </c>
    </row>
    <row r="416" spans="1:9" ht="16.05" customHeight="1" x14ac:dyDescent="0.3">
      <c r="A416" s="70">
        <v>400</v>
      </c>
      <c r="B416" s="71">
        <f ca="1">(C7)+(E7-C7)*IF(RAND()&lt;((D7)-(C7))/((E7)-(C7)),SQRT(RAND()*((D7)-(C7))/((E7)-(C7))),1-SQRT(RAND()*((E7)-(D7))/((E7)-(C7))))</f>
        <v>0.22026243636099913</v>
      </c>
      <c r="C416" s="71">
        <f ca="1">(C8)+(E8-C8)*IF(RAND()&lt;((D8)-(C8))/((E8)-(C8)),SQRT(RAND()*((D8)-(C8))/((E8)-(C8))),1-SQRT(RAND()*((E8)-(D8))/((E8)-(C8))))</f>
        <v>0.65478295643957618</v>
      </c>
      <c r="D416" s="72">
        <f ca="1">(C9)+(E9-C9)*IF(RAND()&lt;((D9)-(C9))/((E9)-(C9)),SQRT(RAND()*((D9)-(C9))/((E9)-(C9))),1-SQRT(RAND()*((E9)-(D9))/((E9)-(C9))))</f>
        <v>1180941.8260053399</v>
      </c>
      <c r="E416" s="72">
        <f ca="1">(C10)+(E10-C10)*IF(RAND()&lt;((D10)-(C10))/((E10)-(C10)),SQRT(RAND()*((D10)-(C10))/((E10)-(C10))),1-SQRT(RAND()*((E10)-(D10))/((E10)-(C10))))</f>
        <v>3280664.9969253764</v>
      </c>
      <c r="F416" s="71">
        <f ca="1">(C11)+(E11-C11)*IF(RAND()&lt;((D11)-(C11))/((E11)-(C11)),SQRT(RAND()*((D11)-(C11))/((E11)-(C11))),1-SQRT(RAND()*((E11)-(D11))/((E11)-(C11))))</f>
        <v>9.5155530455273349E-3</v>
      </c>
      <c r="G416" s="71">
        <f ca="1">(C12)+(E12-C12)*IF(RAND()&lt;((D12)-(C12))/((E12)-(C12)),SQRT(RAND()*((D12)-(C12))/((E12)-(C12))),1-SQRT(RAND()*((E12)-(D12))/((E12)-(C12))))</f>
        <v>0.15117689320933708</v>
      </c>
      <c r="H416" s="72">
        <f t="shared" ca="1" si="12"/>
        <v>211972199.18852758</v>
      </c>
      <c r="I416" s="73">
        <f t="shared" ca="1" si="13"/>
        <v>238.06956610776615</v>
      </c>
    </row>
    <row r="417" spans="1:9" ht="16.05" customHeight="1" x14ac:dyDescent="0.3">
      <c r="A417" s="66">
        <v>401</v>
      </c>
      <c r="B417" s="67">
        <f ca="1">(C7)+(E7-C7)*IF(RAND()&lt;((D7)-(C7))/((E7)-(C7)),SQRT(RAND()*((D7)-(C7))/((E7)-(C7))),1-SQRT(RAND()*((E7)-(D7))/((E7)-(C7))))</f>
        <v>0.29678846995731678</v>
      </c>
      <c r="C417" s="67">
        <f ca="1">(C8)+(E8-C8)*IF(RAND()&lt;((D8)-(C8))/((E8)-(C8)),SQRT(RAND()*((D8)-(C8))/((E8)-(C8))),1-SQRT(RAND()*((E8)-(D8))/((E8)-(C8))))</f>
        <v>0.61953554024004698</v>
      </c>
      <c r="D417" s="68">
        <f ca="1">(C9)+(E9-C9)*IF(RAND()&lt;((D9)-(C9))/((E9)-(C9)),SQRT(RAND()*((D9)-(C9))/((E9)-(C9))),1-SQRT(RAND()*((E9)-(D9))/((E9)-(C9))))</f>
        <v>1240069.5973847304</v>
      </c>
      <c r="E417" s="68">
        <f ca="1">(C10)+(E10-C10)*IF(RAND()&lt;((D10)-(C10))/((E10)-(C10)),SQRT(RAND()*((D10)-(C10))/((E10)-(C10))),1-SQRT(RAND()*((E10)-(D10))/((E10)-(C10))))</f>
        <v>3902741.6544843912</v>
      </c>
      <c r="F417" s="67">
        <f ca="1">(C11)+(E11-C11)*IF(RAND()&lt;((D11)-(C11))/((E11)-(C11)),SQRT(RAND()*((D11)-(C11))/((E11)-(C11))),1-SQRT(RAND()*((E11)-(D11))/((E11)-(C11))))</f>
        <v>1.351858336975144E-2</v>
      </c>
      <c r="G417" s="67">
        <f ca="1">(C12)+(E12-C12)*IF(RAND()&lt;((D12)-(C12))/((E12)-(C12)),SQRT(RAND()*((D12)-(C12))/((E12)-(C12))),1-SQRT(RAND()*((E12)-(D12))/((E12)-(C12))))</f>
        <v>0.13290613477412194</v>
      </c>
      <c r="H417" s="68">
        <f t="shared" ca="1" si="12"/>
        <v>281581507.44126594</v>
      </c>
      <c r="I417" s="69">
        <f t="shared" ca="1" si="13"/>
        <v>300.82029143581235</v>
      </c>
    </row>
    <row r="418" spans="1:9" ht="16.05" customHeight="1" x14ac:dyDescent="0.3">
      <c r="A418" s="70">
        <v>402</v>
      </c>
      <c r="B418" s="71">
        <f ca="1">(C7)+(E7-C7)*IF(RAND()&lt;((D7)-(C7))/((E7)-(C7)),SQRT(RAND()*((D7)-(C7))/((E7)-(C7))),1-SQRT(RAND()*((E7)-(D7))/((E7)-(C7))))</f>
        <v>0.31438153575719474</v>
      </c>
      <c r="C418" s="71">
        <f ca="1">(C8)+(E8-C8)*IF(RAND()&lt;((D8)-(C8))/((E8)-(C8)),SQRT(RAND()*((D8)-(C8))/((E8)-(C8))),1-SQRT(RAND()*((E8)-(D8))/((E8)-(C8))))</f>
        <v>0.69038754120923174</v>
      </c>
      <c r="D418" s="72">
        <f ca="1">(C9)+(E9-C9)*IF(RAND()&lt;((D9)-(C9))/((E9)-(C9)),SQRT(RAND()*((D9)-(C9))/((E9)-(C9))),1-SQRT(RAND()*((E9)-(D9))/((E9)-(C9))))</f>
        <v>1192955.344371137</v>
      </c>
      <c r="E418" s="72">
        <f ca="1">(C10)+(E10-C10)*IF(RAND()&lt;((D10)-(C10))/((E10)-(C10)),SQRT(RAND()*((D10)-(C10))/((E10)-(C10))),1-SQRT(RAND()*((E10)-(D10))/((E10)-(C10))))</f>
        <v>3316951.272995621</v>
      </c>
      <c r="F418" s="71">
        <f ca="1">(C11)+(E11-C11)*IF(RAND()&lt;((D11)-(C11))/((E11)-(C11)),SQRT(RAND()*((D11)-(C11))/((E11)-(C11))),1-SQRT(RAND()*((E11)-(D11))/((E11)-(C11))))</f>
        <v>2.2195113501248746E-2</v>
      </c>
      <c r="G418" s="71">
        <f ca="1">(C12)+(E12-C12)*IF(RAND()&lt;((D12)-(C12))/((E12)-(C12)),SQRT(RAND()*((D12)-(C12))/((E12)-(C12))),1-SQRT(RAND()*((E12)-(D12))/((E12)-(C12))))</f>
        <v>0.16314004012350064</v>
      </c>
      <c r="H418" s="72">
        <f t="shared" ca="1" si="12"/>
        <v>382565399.47062004</v>
      </c>
      <c r="I418" s="73">
        <f t="shared" ca="1" si="13"/>
        <v>424.30124359556862</v>
      </c>
    </row>
    <row r="419" spans="1:9" ht="16.05" customHeight="1" x14ac:dyDescent="0.3">
      <c r="A419" s="66">
        <v>403</v>
      </c>
      <c r="B419" s="67">
        <f ca="1">(C7)+(E7-C7)*IF(RAND()&lt;((D7)-(C7))/((E7)-(C7)),SQRT(RAND()*((D7)-(C7))/((E7)-(C7))),1-SQRT(RAND()*((E7)-(D7))/((E7)-(C7))))</f>
        <v>0.26551373292975466</v>
      </c>
      <c r="C419" s="67">
        <f ca="1">(C8)+(E8-C8)*IF(RAND()&lt;((D8)-(C8))/((E8)-(C8)),SQRT(RAND()*((D8)-(C8))/((E8)-(C8))),1-SQRT(RAND()*((E8)-(D8))/((E8)-(C8))))</f>
        <v>0.81607695076747078</v>
      </c>
      <c r="D419" s="68">
        <f ca="1">(C9)+(E9-C9)*IF(RAND()&lt;((D9)-(C9))/((E9)-(C9)),SQRT(RAND()*((D9)-(C9))/((E9)-(C9))),1-SQRT(RAND()*((E9)-(D9))/((E9)-(C9))))</f>
        <v>1150908.9758494047</v>
      </c>
      <c r="E419" s="68">
        <f ca="1">(C10)+(E10-C10)*IF(RAND()&lt;((D10)-(C10))/((E10)-(C10)),SQRT(RAND()*((D10)-(C10))/((E10)-(C10))),1-SQRT(RAND()*((E10)-(D10))/((E10)-(C10))))</f>
        <v>3176085.2292553829</v>
      </c>
      <c r="F419" s="67">
        <f ca="1">(C11)+(E11-C11)*IF(RAND()&lt;((D11)-(C11))/((E11)-(C11)),SQRT(RAND()*((D11)-(C11))/((E11)-(C11))),1-SQRT(RAND()*((E11)-(D11))/((E11)-(C11))))</f>
        <v>1.0096496160241733E-2</v>
      </c>
      <c r="G419" s="67">
        <f ca="1">(C12)+(E12-C12)*IF(RAND()&lt;((D12)-(C12))/((E12)-(C12)),SQRT(RAND()*((D12)-(C12))/((E12)-(C12))),1-SQRT(RAND()*((E12)-(D12))/((E12)-(C12))))</f>
        <v>0.17454538529026481</v>
      </c>
      <c r="H419" s="68">
        <f t="shared" ca="1" si="12"/>
        <v>295420154.56416863</v>
      </c>
      <c r="I419" s="69">
        <f t="shared" ca="1" si="13"/>
        <v>339.88221953319794</v>
      </c>
    </row>
    <row r="420" spans="1:9" ht="16.05" customHeight="1" x14ac:dyDescent="0.3">
      <c r="A420" s="70">
        <v>404</v>
      </c>
      <c r="B420" s="71">
        <f ca="1">(C7)+(E7-C7)*IF(RAND()&lt;((D7)-(C7))/((E7)-(C7)),SQRT(RAND()*((D7)-(C7))/((E7)-(C7))),1-SQRT(RAND()*((E7)-(D7))/((E7)-(C7))))</f>
        <v>0.29865645148919107</v>
      </c>
      <c r="C420" s="71">
        <f ca="1">(C8)+(E8-C8)*IF(RAND()&lt;((D8)-(C8))/((E8)-(C8)),SQRT(RAND()*((D8)-(C8))/((E8)-(C8))),1-SQRT(RAND()*((E8)-(D8))/((E8)-(C8))))</f>
        <v>0.73609171223209047</v>
      </c>
      <c r="D420" s="72">
        <f ca="1">(C9)+(E9-C9)*IF(RAND()&lt;((D9)-(C9))/((E9)-(C9)),SQRT(RAND()*((D9)-(C9))/((E9)-(C9))),1-SQRT(RAND()*((E9)-(D9))/((E9)-(C9))))</f>
        <v>1195833.0813101325</v>
      </c>
      <c r="E420" s="72">
        <f ca="1">(C10)+(E10-C10)*IF(RAND()&lt;((D10)-(C10))/((E10)-(C10)),SQRT(RAND()*((D10)-(C10))/((E10)-(C10))),1-SQRT(RAND()*((E10)-(D10))/((E10)-(C10))))</f>
        <v>3784240.0475197062</v>
      </c>
      <c r="F420" s="71">
        <f ca="1">(C11)+(E11-C11)*IF(RAND()&lt;((D11)-(C11))/((E11)-(C11)),SQRT(RAND()*((D11)-(C11))/((E11)-(C11))),1-SQRT(RAND()*((E11)-(D11))/((E11)-(C11))))</f>
        <v>2.0190693576774686E-2</v>
      </c>
      <c r="G420" s="71">
        <f ca="1">(C12)+(E12-C12)*IF(RAND()&lt;((D12)-(C12))/((E12)-(C12)),SQRT(RAND()*((D12)-(C12))/((E12)-(C12))),1-SQRT(RAND()*((E12)-(D12))/((E12)-(C12))))</f>
        <v>0.15063202315470689</v>
      </c>
      <c r="H420" s="72">
        <f t="shared" ca="1" si="12"/>
        <v>369363054.92707855</v>
      </c>
      <c r="I420" s="73">
        <f t="shared" ca="1" si="13"/>
        <v>408.72134527178008</v>
      </c>
    </row>
    <row r="421" spans="1:9" ht="16.05" customHeight="1" x14ac:dyDescent="0.3">
      <c r="A421" s="66">
        <v>405</v>
      </c>
      <c r="B421" s="67">
        <f ca="1">(C7)+(E7-C7)*IF(RAND()&lt;((D7)-(C7))/((E7)-(C7)),SQRT(RAND()*((D7)-(C7))/((E7)-(C7))),1-SQRT(RAND()*((E7)-(D7))/((E7)-(C7))))</f>
        <v>0.29265325470200554</v>
      </c>
      <c r="C421" s="67">
        <f ca="1">(C8)+(E8-C8)*IF(RAND()&lt;((D8)-(C8))/((E8)-(C8)),SQRT(RAND()*((D8)-(C8))/((E8)-(C8))),1-SQRT(RAND()*((E8)-(D8))/((E8)-(C8))))</f>
        <v>0.72194783997824652</v>
      </c>
      <c r="D421" s="68">
        <f ca="1">(C9)+(E9-C9)*IF(RAND()&lt;((D9)-(C9))/((E9)-(C9)),SQRT(RAND()*((D9)-(C9))/((E9)-(C9))),1-SQRT(RAND()*((E9)-(D9))/((E9)-(C9))))</f>
        <v>1254683.3578730812</v>
      </c>
      <c r="E421" s="68">
        <f ca="1">(C10)+(E10-C10)*IF(RAND()&lt;((D10)-(C10))/((E10)-(C10)),SQRT(RAND()*((D10)-(C10))/((E10)-(C10))),1-SQRT(RAND()*((E10)-(D10))/((E10)-(C10))))</f>
        <v>4043311.8694231161</v>
      </c>
      <c r="F421" s="67">
        <f ca="1">(C11)+(E11-C11)*IF(RAND()&lt;((D11)-(C11))/((E11)-(C11)),SQRT(RAND()*((D11)-(C11))/((E11)-(C11))),1-SQRT(RAND()*((E11)-(D11))/((E11)-(C11))))</f>
        <v>1.0455514132124968E-2</v>
      </c>
      <c r="G421" s="67">
        <f ca="1">(C12)+(E12-C12)*IF(RAND()&lt;((D12)-(C12))/((E12)-(C12)),SQRT(RAND()*((D12)-(C12))/((E12)-(C12))),1-SQRT(RAND()*((E12)-(D12))/((E12)-(C12))))</f>
        <v>0.15699852665818353</v>
      </c>
      <c r="H421" s="68">
        <f t="shared" ca="1" si="12"/>
        <v>288746029.80227453</v>
      </c>
      <c r="I421" s="69">
        <f t="shared" ca="1" si="13"/>
        <v>304.86360196093813</v>
      </c>
    </row>
    <row r="422" spans="1:9" ht="16.05" customHeight="1" x14ac:dyDescent="0.3">
      <c r="A422" s="70">
        <v>406</v>
      </c>
      <c r="B422" s="71">
        <f ca="1">(C7)+(E7-C7)*IF(RAND()&lt;((D7)-(C7))/((E7)-(C7)),SQRT(RAND()*((D7)-(C7))/((E7)-(C7))),1-SQRT(RAND()*((E7)-(D7))/((E7)-(C7))))</f>
        <v>0.26068116838171723</v>
      </c>
      <c r="C422" s="71">
        <f ca="1">(C8)+(E8-C8)*IF(RAND()&lt;((D8)-(C8))/((E8)-(C8)),SQRT(RAND()*((D8)-(C8))/((E8)-(C8))),1-SQRT(RAND()*((E8)-(D8))/((E8)-(C8))))</f>
        <v>0.62900159870543038</v>
      </c>
      <c r="D422" s="72">
        <f ca="1">(C9)+(E9-C9)*IF(RAND()&lt;((D9)-(C9))/((E9)-(C9)),SQRT(RAND()*((D9)-(C9))/((E9)-(C9))),1-SQRT(RAND()*((E9)-(D9))/((E9)-(C9))))</f>
        <v>1200316.2817438727</v>
      </c>
      <c r="E422" s="72">
        <f ca="1">(C10)+(E10-C10)*IF(RAND()&lt;((D10)-(C10))/((E10)-(C10)),SQRT(RAND()*((D10)-(C10))/((E10)-(C10))),1-SQRT(RAND()*((E10)-(D10))/((E10)-(C10))))</f>
        <v>3422291.032458717</v>
      </c>
      <c r="F422" s="71">
        <f ca="1">(C11)+(E11-C11)*IF(RAND()&lt;((D11)-(C11))/((E11)-(C11)),SQRT(RAND()*((D11)-(C11))/((E11)-(C11))),1-SQRT(RAND()*((E11)-(D11))/((E11)-(C11))))</f>
        <v>2.4934302341488922E-2</v>
      </c>
      <c r="G422" s="71">
        <f ca="1">(C12)+(E12-C12)*IF(RAND()&lt;((D12)-(C12))/((E12)-(C12)),SQRT(RAND()*((D12)-(C12))/((E12)-(C12))),1-SQRT(RAND()*((E12)-(D12))/((E12)-(C12))))</f>
        <v>0.13258270146864429</v>
      </c>
      <c r="H422" s="72">
        <f t="shared" ca="1" si="12"/>
        <v>344184660.55334383</v>
      </c>
      <c r="I422" s="73">
        <f t="shared" ca="1" si="13"/>
        <v>379.53199577146654</v>
      </c>
    </row>
    <row r="423" spans="1:9" ht="16.05" customHeight="1" x14ac:dyDescent="0.3">
      <c r="A423" s="66">
        <v>407</v>
      </c>
      <c r="B423" s="67">
        <f ca="1">(C7)+(E7-C7)*IF(RAND()&lt;((D7)-(C7))/((E7)-(C7)),SQRT(RAND()*((D7)-(C7))/((E7)-(C7))),1-SQRT(RAND()*((E7)-(D7))/((E7)-(C7))))</f>
        <v>0.23169063372661003</v>
      </c>
      <c r="C423" s="67">
        <f ca="1">(C8)+(E8-C8)*IF(RAND()&lt;((D8)-(C8))/((E8)-(C8)),SQRT(RAND()*((D8)-(C8))/((E8)-(C8))),1-SQRT(RAND()*((E8)-(D8))/((E8)-(C8))))</f>
        <v>0.60260894959325961</v>
      </c>
      <c r="D423" s="68">
        <f ca="1">(C9)+(E9-C9)*IF(RAND()&lt;((D9)-(C9))/((E9)-(C9)),SQRT(RAND()*((D9)-(C9))/((E9)-(C9))),1-SQRT(RAND()*((E9)-(D9))/((E9)-(C9))))</f>
        <v>1419154.2835787064</v>
      </c>
      <c r="E423" s="68">
        <f ca="1">(C10)+(E10-C10)*IF(RAND()&lt;((D10)-(C10))/((E10)-(C10)),SQRT(RAND()*((D10)-(C10))/((E10)-(C10))),1-SQRT(RAND()*((E10)-(D10))/((E10)-(C10))))</f>
        <v>4099410.8205118119</v>
      </c>
      <c r="F423" s="67">
        <f ca="1">(C11)+(E11-C11)*IF(RAND()&lt;((D11)-(C11))/((E11)-(C11)),SQRT(RAND()*((D11)-(C11))/((E11)-(C11))),1-SQRT(RAND()*((E11)-(D11))/((E11)-(C11))))</f>
        <v>1.5493540250604674E-2</v>
      </c>
      <c r="G423" s="67">
        <f ca="1">(C12)+(E12-C12)*IF(RAND()&lt;((D12)-(C12))/((E12)-(C12)),SQRT(RAND()*((D12)-(C12))/((E12)-(C12))),1-SQRT(RAND()*((E12)-(D12))/((E12)-(C12))))</f>
        <v>0.1118695366705932</v>
      </c>
      <c r="H423" s="68">
        <f t="shared" ca="1" si="12"/>
        <v>246767065.70269167</v>
      </c>
      <c r="I423" s="69">
        <f t="shared" ca="1" si="13"/>
        <v>230.66871712936469</v>
      </c>
    </row>
    <row r="424" spans="1:9" ht="16.05" customHeight="1" x14ac:dyDescent="0.3">
      <c r="A424" s="70">
        <v>408</v>
      </c>
      <c r="B424" s="71">
        <f ca="1">(C7)+(E7-C7)*IF(RAND()&lt;((D7)-(C7))/((E7)-(C7)),SQRT(RAND()*((D7)-(C7))/((E7)-(C7))),1-SQRT(RAND()*((E7)-(D7))/((E7)-(C7))))</f>
        <v>0.35750720350338216</v>
      </c>
      <c r="C424" s="71">
        <f ca="1">(C8)+(E8-C8)*IF(RAND()&lt;((D8)-(C8))/((E8)-(C8)),SQRT(RAND()*((D8)-(C8))/((E8)-(C8))),1-SQRT(RAND()*((E8)-(D8))/((E8)-(C8))))</f>
        <v>0.60297221075251273</v>
      </c>
      <c r="D424" s="72">
        <f ca="1">(C9)+(E9-C9)*IF(RAND()&lt;((D9)-(C9))/((E9)-(C9)),SQRT(RAND()*((D9)-(C9))/((E9)-(C9))),1-SQRT(RAND()*((E9)-(D9))/((E9)-(C9))))</f>
        <v>1177313.8567708011</v>
      </c>
      <c r="E424" s="72">
        <f ca="1">(C10)+(E10-C10)*IF(RAND()&lt;((D10)-(C10))/((E10)-(C10)),SQRT(RAND()*((D10)-(C10))/((E10)-(C10))),1-SQRT(RAND()*((E10)-(D10))/((E10)-(C10))))</f>
        <v>3018507.547257924</v>
      </c>
      <c r="F424" s="71">
        <f ca="1">(C11)+(E11-C11)*IF(RAND()&lt;((D11)-(C11))/((E11)-(C11)),SQRT(RAND()*((D11)-(C11))/((E11)-(C11))),1-SQRT(RAND()*((E11)-(D11))/((E11)-(C11))))</f>
        <v>1.7319934906250636E-2</v>
      </c>
      <c r="G424" s="71">
        <f ca="1">(C12)+(E12-C12)*IF(RAND()&lt;((D12)-(C12))/((E12)-(C12)),SQRT(RAND()*((D12)-(C12))/((E12)-(C12))),1-SQRT(RAND()*((E12)-(D12))/((E12)-(C12))))</f>
        <v>0.14163513746601109</v>
      </c>
      <c r="H424" s="72">
        <f t="shared" ca="1" si="12"/>
        <v>346916803.94670099</v>
      </c>
      <c r="I424" s="73">
        <f t="shared" ca="1" si="13"/>
        <v>389.98246231421814</v>
      </c>
    </row>
    <row r="425" spans="1:9" ht="16.05" customHeight="1" x14ac:dyDescent="0.3">
      <c r="A425" s="66">
        <v>409</v>
      </c>
      <c r="B425" s="67">
        <f ca="1">(C7)+(E7-C7)*IF(RAND()&lt;((D7)-(C7))/((E7)-(C7)),SQRT(RAND()*((D7)-(C7))/((E7)-(C7))),1-SQRT(RAND()*((E7)-(D7))/((E7)-(C7))))</f>
        <v>0.38448172256883151</v>
      </c>
      <c r="C425" s="67">
        <f ca="1">(C8)+(E8-C8)*IF(RAND()&lt;((D8)-(C8))/((E8)-(C8)),SQRT(RAND()*((D8)-(C8))/((E8)-(C8))),1-SQRT(RAND()*((E8)-(D8))/((E8)-(C8))))</f>
        <v>0.69077217564307603</v>
      </c>
      <c r="D425" s="68">
        <f ca="1">(C9)+(E9-C9)*IF(RAND()&lt;((D9)-(C9))/((E9)-(C9)),SQRT(RAND()*((D9)-(C9))/((E9)-(C9))),1-SQRT(RAND()*((E9)-(D9))/((E9)-(C9))))</f>
        <v>1220872.47666924</v>
      </c>
      <c r="E425" s="68">
        <f ca="1">(C10)+(E10-C10)*IF(RAND()&lt;((D10)-(C10))/((E10)-(C10)),SQRT(RAND()*((D10)-(C10))/((E10)-(C10))),1-SQRT(RAND()*((E10)-(D10))/((E10)-(C10))))</f>
        <v>4307512.9538318543</v>
      </c>
      <c r="F425" s="67">
        <f ca="1">(C11)+(E11-C11)*IF(RAND()&lt;((D11)-(C11))/((E11)-(C11)),SQRT(RAND()*((D11)-(C11))/((E11)-(C11))),1-SQRT(RAND()*((E11)-(D11))/((E11)-(C11))))</f>
        <v>7.6992666869390713E-3</v>
      </c>
      <c r="G425" s="67">
        <f ca="1">(C12)+(E12-C12)*IF(RAND()&lt;((D12)-(C12))/((E12)-(C12)),SQRT(RAND()*((D12)-(C12))/((E12)-(C12))),1-SQRT(RAND()*((E12)-(D12))/((E12)-(C12))))</f>
        <v>0.14159092736062917</v>
      </c>
      <c r="H425" s="68">
        <f t="shared" ca="1" si="12"/>
        <v>326970332.25929809</v>
      </c>
      <c r="I425" s="69">
        <f t="shared" ca="1" si="13"/>
        <v>354.56615937700388</v>
      </c>
    </row>
    <row r="426" spans="1:9" ht="16.05" customHeight="1" x14ac:dyDescent="0.3">
      <c r="A426" s="70">
        <v>410</v>
      </c>
      <c r="B426" s="71">
        <f ca="1">(C7)+(E7-C7)*IF(RAND()&lt;((D7)-(C7))/((E7)-(C7)),SQRT(RAND()*((D7)-(C7))/((E7)-(C7))),1-SQRT(RAND()*((E7)-(D7))/((E7)-(C7))))</f>
        <v>0.25735808832486773</v>
      </c>
      <c r="C426" s="71">
        <f ca="1">(C8)+(E8-C8)*IF(RAND()&lt;((D8)-(C8))/((E8)-(C8)),SQRT(RAND()*((D8)-(C8))/((E8)-(C8))),1-SQRT(RAND()*((E8)-(D8))/((E8)-(C8))))</f>
        <v>0.60207352978238038</v>
      </c>
      <c r="D426" s="72">
        <f ca="1">(C9)+(E9-C9)*IF(RAND()&lt;((D9)-(C9))/((E9)-(C9)),SQRT(RAND()*((D9)-(C9))/((E9)-(C9))),1-SQRT(RAND()*((E9)-(D9))/((E9)-(C9))))</f>
        <v>1472445.5048496826</v>
      </c>
      <c r="E426" s="72">
        <f ca="1">(C10)+(E10-C10)*IF(RAND()&lt;((D10)-(C10))/((E10)-(C10)),SQRT(RAND()*((D10)-(C10))/((E10)-(C10))),1-SQRT(RAND()*((E10)-(D10))/((E10)-(C10))))</f>
        <v>4063659.1790451189</v>
      </c>
      <c r="F426" s="71">
        <f ca="1">(C11)+(E11-C11)*IF(RAND()&lt;((D11)-(C11))/((E11)-(C11)),SQRT(RAND()*((D11)-(C11))/((E11)-(C11))),1-SQRT(RAND()*((E11)-(D11))/((E11)-(C11))))</f>
        <v>1.321778539864866E-2</v>
      </c>
      <c r="G426" s="71">
        <f ca="1">(C12)+(E12-C12)*IF(RAND()&lt;((D12)-(C12))/((E12)-(C12)),SQRT(RAND()*((D12)-(C12))/((E12)-(C12))),1-SQRT(RAND()*((E12)-(D12))/((E12)-(C12))))</f>
        <v>0.15156590424287028</v>
      </c>
      <c r="H426" s="72">
        <f t="shared" ca="1" si="12"/>
        <v>247101655.41015184</v>
      </c>
      <c r="I426" s="73">
        <f t="shared" ca="1" si="13"/>
        <v>222.6677367556986</v>
      </c>
    </row>
    <row r="427" spans="1:9" ht="16.05" customHeight="1" x14ac:dyDescent="0.3">
      <c r="A427" s="66">
        <v>411</v>
      </c>
      <c r="B427" s="67">
        <f ca="1">(C7)+(E7-C7)*IF(RAND()&lt;((D7)-(C7))/((E7)-(C7)),SQRT(RAND()*((D7)-(C7))/((E7)-(C7))),1-SQRT(RAND()*((E7)-(D7))/((E7)-(C7))))</f>
        <v>0.23813915284271059</v>
      </c>
      <c r="C427" s="67">
        <f ca="1">(C8)+(E8-C8)*IF(RAND()&lt;((D8)-(C8))/((E8)-(C8)),SQRT(RAND()*((D8)-(C8))/((E8)-(C8))),1-SQRT(RAND()*((E8)-(D8))/((E8)-(C8))))</f>
        <v>0.66820581594457573</v>
      </c>
      <c r="D427" s="68">
        <f ca="1">(C9)+(E9-C9)*IF(RAND()&lt;((D9)-(C9))/((E9)-(C9)),SQRT(RAND()*((D9)-(C9))/((E9)-(C9))),1-SQRT(RAND()*((E9)-(D9))/((E9)-(C9))))</f>
        <v>1269945.1666004909</v>
      </c>
      <c r="E427" s="68">
        <f ca="1">(C10)+(E10-C10)*IF(RAND()&lt;((D10)-(C10))/((E10)-(C10)),SQRT(RAND()*((D10)-(C10))/((E10)-(C10))),1-SQRT(RAND()*((E10)-(D10))/((E10)-(C10))))</f>
        <v>3131244.0214841058</v>
      </c>
      <c r="F427" s="67">
        <f ca="1">(C11)+(E11-C11)*IF(RAND()&lt;((D11)-(C11))/((E11)-(C11)),SQRT(RAND()*((D11)-(C11))/((E11)-(C11))),1-SQRT(RAND()*((E11)-(D11))/((E11)-(C11))))</f>
        <v>1.2286739474742164E-2</v>
      </c>
      <c r="G427" s="67">
        <f ca="1">(C12)+(E12-C12)*IF(RAND()&lt;((D12)-(C12))/((E12)-(C12)),SQRT(RAND()*((D12)-(C12))/((E12)-(C12))),1-SQRT(RAND()*((E12)-(D12))/((E12)-(C12))))</f>
        <v>0.13514968343575343</v>
      </c>
      <c r="H427" s="68">
        <f t="shared" ca="1" si="12"/>
        <v>248663679.10357255</v>
      </c>
      <c r="I427" s="69">
        <f t="shared" ca="1" si="13"/>
        <v>259.58546157100886</v>
      </c>
    </row>
    <row r="428" spans="1:9" ht="16.05" customHeight="1" x14ac:dyDescent="0.3">
      <c r="A428" s="70">
        <v>412</v>
      </c>
      <c r="B428" s="71">
        <f ca="1">(C7)+(E7-C7)*IF(RAND()&lt;((D7)-(C7))/((E7)-(C7)),SQRT(RAND()*((D7)-(C7))/((E7)-(C7))),1-SQRT(RAND()*((E7)-(D7))/((E7)-(C7))))</f>
        <v>0.36245647950045856</v>
      </c>
      <c r="C428" s="71">
        <f ca="1">(C8)+(E8-C8)*IF(RAND()&lt;((D8)-(C8))/((E8)-(C8)),SQRT(RAND()*((D8)-(C8))/((E8)-(C8))),1-SQRT(RAND()*((E8)-(D8))/((E8)-(C8))))</f>
        <v>0.73823853141303408</v>
      </c>
      <c r="D428" s="72">
        <f ca="1">(C9)+(E9-C9)*IF(RAND()&lt;((D9)-(C9))/((E9)-(C9)),SQRT(RAND()*((D9)-(C9))/((E9)-(C9))),1-SQRT(RAND()*((E9)-(D9))/((E9)-(C9))))</f>
        <v>1269211.2950820909</v>
      </c>
      <c r="E428" s="72">
        <f ca="1">(C10)+(E10-C10)*IF(RAND()&lt;((D10)-(C10))/((E10)-(C10)),SQRT(RAND()*((D10)-(C10))/((E10)-(C10))),1-SQRT(RAND()*((E10)-(D10))/((E10)-(C10))))</f>
        <v>3520956.2016241928</v>
      </c>
      <c r="F428" s="71">
        <f ca="1">(C11)+(E11-C11)*IF(RAND()&lt;((D11)-(C11))/((E11)-(C11)),SQRT(RAND()*((D11)-(C11))/((E11)-(C11))),1-SQRT(RAND()*((E11)-(D11))/((E11)-(C11))))</f>
        <v>1.1399079479515606E-2</v>
      </c>
      <c r="G428" s="71">
        <f ca="1">(C12)+(E12-C12)*IF(RAND()&lt;((D12)-(C12))/((E12)-(C12)),SQRT(RAND()*((D12)-(C12))/((E12)-(C12))),1-SQRT(RAND()*((E12)-(D12))/((E12)-(C12))))</f>
        <v>0.1368086107760404</v>
      </c>
      <c r="H428" s="72">
        <f t="shared" ca="1" si="12"/>
        <v>358772746.53878635</v>
      </c>
      <c r="I428" s="73">
        <f t="shared" ca="1" si="13"/>
        <v>374.1621344885657</v>
      </c>
    </row>
    <row r="429" spans="1:9" ht="16.05" customHeight="1" x14ac:dyDescent="0.3">
      <c r="A429" s="66">
        <v>413</v>
      </c>
      <c r="B429" s="67">
        <f ca="1">(C7)+(E7-C7)*IF(RAND()&lt;((D7)-(C7))/((E7)-(C7)),SQRT(RAND()*((D7)-(C7))/((E7)-(C7))),1-SQRT(RAND()*((E7)-(D7))/((E7)-(C7))))</f>
        <v>0.23302819853260659</v>
      </c>
      <c r="C429" s="67">
        <f ca="1">(C8)+(E8-C8)*IF(RAND()&lt;((D8)-(C8))/((E8)-(C8)),SQRT(RAND()*((D8)-(C8))/((E8)-(C8))),1-SQRT(RAND()*((E8)-(D8))/((E8)-(C8))))</f>
        <v>0.68366066160583339</v>
      </c>
      <c r="D429" s="68">
        <f ca="1">(C9)+(E9-C9)*IF(RAND()&lt;((D9)-(C9))/((E9)-(C9)),SQRT(RAND()*((D9)-(C9))/((E9)-(C9))),1-SQRT(RAND()*((E9)-(D9))/((E9)-(C9))))</f>
        <v>1312141.6228573457</v>
      </c>
      <c r="E429" s="68">
        <f ca="1">(C10)+(E10-C10)*IF(RAND()&lt;((D10)-(C10))/((E10)-(C10)),SQRT(RAND()*((D10)-(C10))/((E10)-(C10))),1-SQRT(RAND()*((E10)-(D10))/((E10)-(C10))))</f>
        <v>3922631.2343003061</v>
      </c>
      <c r="F429" s="67">
        <f ca="1">(C11)+(E11-C11)*IF(RAND()&lt;((D11)-(C11))/((E11)-(C11)),SQRT(RAND()*((D11)-(C11))/((E11)-(C11))),1-SQRT(RAND()*((E11)-(D11))/((E11)-(C11))))</f>
        <v>1.5986850958418394E-2</v>
      </c>
      <c r="G429" s="67">
        <f ca="1">(C12)+(E12-C12)*IF(RAND()&lt;((D12)-(C12))/((E12)-(C12)),SQRT(RAND()*((D12)-(C12))/((E12)-(C12))),1-SQRT(RAND()*((E12)-(D12))/((E12)-(C12))))</f>
        <v>0.15592504677668273</v>
      </c>
      <c r="H429" s="68">
        <f t="shared" ca="1" si="12"/>
        <v>272530268.57157499</v>
      </c>
      <c r="I429" s="69">
        <f t="shared" ca="1" si="13"/>
        <v>275.27111664495317</v>
      </c>
    </row>
    <row r="430" spans="1:9" ht="16.05" customHeight="1" x14ac:dyDescent="0.3">
      <c r="A430" s="70">
        <v>414</v>
      </c>
      <c r="B430" s="71">
        <f ca="1">(C7)+(E7-C7)*IF(RAND()&lt;((D7)-(C7))/((E7)-(C7)),SQRT(RAND()*((D7)-(C7))/((E7)-(C7))),1-SQRT(RAND()*((E7)-(D7))/((E7)-(C7))))</f>
        <v>0.32680030861867154</v>
      </c>
      <c r="C430" s="71">
        <f ca="1">(C8)+(E8-C8)*IF(RAND()&lt;((D8)-(C8))/((E8)-(C8)),SQRT(RAND()*((D8)-(C8))/((E8)-(C8))),1-SQRT(RAND()*((E8)-(D8))/((E8)-(C8))))</f>
        <v>0.8359015082826835</v>
      </c>
      <c r="D430" s="72">
        <f ca="1">(C9)+(E9-C9)*IF(RAND()&lt;((D9)-(C9))/((E9)-(C9)),SQRT(RAND()*((D9)-(C9))/((E9)-(C9))),1-SQRT(RAND()*((E9)-(D9))/((E9)-(C9))))</f>
        <v>1322517.9801037118</v>
      </c>
      <c r="E430" s="72">
        <f ca="1">(C10)+(E10-C10)*IF(RAND()&lt;((D10)-(C10))/((E10)-(C10)),SQRT(RAND()*((D10)-(C10))/((E10)-(C10))),1-SQRT(RAND()*((E10)-(D10))/((E10)-(C10))))</f>
        <v>3205127.4434793163</v>
      </c>
      <c r="F430" s="71">
        <f ca="1">(C11)+(E11-C11)*IF(RAND()&lt;((D11)-(C11))/((E11)-(C11)),SQRT(RAND()*((D11)-(C11))/((E11)-(C11))),1-SQRT(RAND()*((E11)-(D11))/((E11)-(C11))))</f>
        <v>8.0311110404487403E-3</v>
      </c>
      <c r="G430" s="71">
        <f ca="1">(C12)+(E12-C12)*IF(RAND()&lt;((D12)-(C12))/((E12)-(C12)),SQRT(RAND()*((D12)-(C12))/((E12)-(C12))),1-SQRT(RAND()*((E12)-(D12))/((E12)-(C12))))</f>
        <v>0.17719857755041621</v>
      </c>
      <c r="H430" s="72">
        <f t="shared" ca="1" si="12"/>
        <v>341693350.28346854</v>
      </c>
      <c r="I430" s="73">
        <f t="shared" ca="1" si="13"/>
        <v>342.10015773644375</v>
      </c>
    </row>
    <row r="431" spans="1:9" ht="16.05" customHeight="1" x14ac:dyDescent="0.3">
      <c r="A431" s="66">
        <v>415</v>
      </c>
      <c r="B431" s="67">
        <f ca="1">(C7)+(E7-C7)*IF(RAND()&lt;((D7)-(C7))/((E7)-(C7)),SQRT(RAND()*((D7)-(C7))/((E7)-(C7))),1-SQRT(RAND()*((E7)-(D7))/((E7)-(C7))))</f>
        <v>0.33627701291532053</v>
      </c>
      <c r="C431" s="67">
        <f ca="1">(C8)+(E8-C8)*IF(RAND()&lt;((D8)-(C8))/((E8)-(C8)),SQRT(RAND()*((D8)-(C8))/((E8)-(C8))),1-SQRT(RAND()*((E8)-(D8))/((E8)-(C8))))</f>
        <v>0.62036501085074502</v>
      </c>
      <c r="D431" s="68">
        <f ca="1">(C9)+(E9-C9)*IF(RAND()&lt;((D9)-(C9))/((E9)-(C9)),SQRT(RAND()*((D9)-(C9))/((E9)-(C9))),1-SQRT(RAND()*((E9)-(D9))/((E9)-(C9))))</f>
        <v>1199481.5358407262</v>
      </c>
      <c r="E431" s="68">
        <f ca="1">(C10)+(E10-C10)*IF(RAND()&lt;((D10)-(C10))/((E10)-(C10)),SQRT(RAND()*((D10)-(C10))/((E10)-(C10))),1-SQRT(RAND()*((E10)-(D10))/((E10)-(C10))))</f>
        <v>4219508.4890105017</v>
      </c>
      <c r="F431" s="67">
        <f ca="1">(C11)+(E11-C11)*IF(RAND()&lt;((D11)-(C11))/((E11)-(C11)),SQRT(RAND()*((D11)-(C11))/((E11)-(C11))),1-SQRT(RAND()*((E11)-(D11))/((E11)-(C11))))</f>
        <v>6.3838124149246467E-3</v>
      </c>
      <c r="G431" s="67">
        <f ca="1">(C12)+(E12-C12)*IF(RAND()&lt;((D12)-(C12))/((E12)-(C12)),SQRT(RAND()*((D12)-(C12))/((E12)-(C12))),1-SQRT(RAND()*((E12)-(D12))/((E12)-(C12))))</f>
        <v>0.14216707673797679</v>
      </c>
      <c r="H431" s="68">
        <f t="shared" ca="1" si="12"/>
        <v>255844784.27209312</v>
      </c>
      <c r="I431" s="69">
        <f t="shared" ca="1" si="13"/>
        <v>282.65391232279745</v>
      </c>
    </row>
    <row r="432" spans="1:9" ht="16.05" customHeight="1" x14ac:dyDescent="0.3">
      <c r="A432" s="70">
        <v>416</v>
      </c>
      <c r="B432" s="71">
        <f ca="1">(C7)+(E7-C7)*IF(RAND()&lt;((D7)-(C7))/((E7)-(C7)),SQRT(RAND()*((D7)-(C7))/((E7)-(C7))),1-SQRT(RAND()*((E7)-(D7))/((E7)-(C7))))</f>
        <v>0.27634782155137105</v>
      </c>
      <c r="C432" s="71">
        <f ca="1">(C8)+(E8-C8)*IF(RAND()&lt;((D8)-(C8))/((E8)-(C8)),SQRT(RAND()*((D8)-(C8))/((E8)-(C8))),1-SQRT(RAND()*((E8)-(D8))/((E8)-(C8))))</f>
        <v>0.58048991007364958</v>
      </c>
      <c r="D432" s="72">
        <f ca="1">(C9)+(E9-C9)*IF(RAND()&lt;((D9)-(C9))/((E9)-(C9)),SQRT(RAND()*((D9)-(C9))/((E9)-(C9))),1-SQRT(RAND()*((E9)-(D9))/((E9)-(C9))))</f>
        <v>1337399.3679550637</v>
      </c>
      <c r="E432" s="72">
        <f ca="1">(C10)+(E10-C10)*IF(RAND()&lt;((D10)-(C10))/((E10)-(C10)),SQRT(RAND()*((D10)-(C10))/((E10)-(C10))),1-SQRT(RAND()*((E10)-(D10))/((E10)-(C10))))</f>
        <v>3026817.460022103</v>
      </c>
      <c r="F432" s="71">
        <f ca="1">(C11)+(E11-C11)*IF(RAND()&lt;((D11)-(C11))/((E11)-(C11)),SQRT(RAND()*((D11)-(C11))/((E11)-(C11))),1-SQRT(RAND()*((E11)-(D11))/((E11)-(C11))))</f>
        <v>1.0405539532289062E-2</v>
      </c>
      <c r="G432" s="71">
        <f ca="1">(C12)+(E12-C12)*IF(RAND()&lt;((D12)-(C12))/((E12)-(C12)),SQRT(RAND()*((D12)-(C12))/((E12)-(C12))),1-SQRT(RAND()*((E12)-(D12))/((E12)-(C12))))</f>
        <v>0.1384536142250033</v>
      </c>
      <c r="H432" s="72">
        <f t="shared" ca="1" si="12"/>
        <v>236818945.63407344</v>
      </c>
      <c r="I432" s="73">
        <f t="shared" ca="1" si="13"/>
        <v>234.87764893623844</v>
      </c>
    </row>
    <row r="433" spans="1:9" ht="16.05" customHeight="1" x14ac:dyDescent="0.3">
      <c r="A433" s="66">
        <v>417</v>
      </c>
      <c r="B433" s="67">
        <f ca="1">(C7)+(E7-C7)*IF(RAND()&lt;((D7)-(C7))/((E7)-(C7)),SQRT(RAND()*((D7)-(C7))/((E7)-(C7))),1-SQRT(RAND()*((E7)-(D7))/((E7)-(C7))))</f>
        <v>0.25937967884957375</v>
      </c>
      <c r="C433" s="67">
        <f ca="1">(C8)+(E8-C8)*IF(RAND()&lt;((D8)-(C8))/((E8)-(C8)),SQRT(RAND()*((D8)-(C8))/((E8)-(C8))),1-SQRT(RAND()*((E8)-(D8))/((E8)-(C8))))</f>
        <v>0.80564081247282215</v>
      </c>
      <c r="D433" s="68">
        <f ca="1">(C9)+(E9-C9)*IF(RAND()&lt;((D9)-(C9))/((E9)-(C9)),SQRT(RAND()*((D9)-(C9))/((E9)-(C9))),1-SQRT(RAND()*((E9)-(D9))/((E9)-(C9))))</f>
        <v>1295344.6718681501</v>
      </c>
      <c r="E433" s="68">
        <f ca="1">(C10)+(E10-C10)*IF(RAND()&lt;((D10)-(C10))/((E10)-(C10)),SQRT(RAND()*((D10)-(C10))/((E10)-(C10))),1-SQRT(RAND()*((E10)-(D10))/((E10)-(C10))))</f>
        <v>3897030.550223656</v>
      </c>
      <c r="F433" s="67">
        <f ca="1">(C11)+(E11-C11)*IF(RAND()&lt;((D11)-(C11))/((E11)-(C11)),SQRT(RAND()*((D11)-(C11))/((E11)-(C11))),1-SQRT(RAND()*((E11)-(D11))/((E11)-(C11))))</f>
        <v>1.659805018600161E-2</v>
      </c>
      <c r="G433" s="67">
        <f ca="1">(C12)+(E12-C12)*IF(RAND()&lt;((D12)-(C12))/((E12)-(C12)),SQRT(RAND()*((D12)-(C12))/((E12)-(C12))),1-SQRT(RAND()*((E12)-(D12))/((E12)-(C12))))</f>
        <v>0.14587500243537163</v>
      </c>
      <c r="H433" s="68">
        <f t="shared" ca="1" si="12"/>
        <v>331077596.05626029</v>
      </c>
      <c r="I433" s="69">
        <f t="shared" ca="1" si="13"/>
        <v>338.43943759760219</v>
      </c>
    </row>
    <row r="434" spans="1:9" ht="16.05" customHeight="1" x14ac:dyDescent="0.3">
      <c r="A434" s="70">
        <v>418</v>
      </c>
      <c r="B434" s="71">
        <f ca="1">(C7)+(E7-C7)*IF(RAND()&lt;((D7)-(C7))/((E7)-(C7)),SQRT(RAND()*((D7)-(C7))/((E7)-(C7))),1-SQRT(RAND()*((E7)-(D7))/((E7)-(C7))))</f>
        <v>0.26104193842791995</v>
      </c>
      <c r="C434" s="71">
        <f ca="1">(C8)+(E8-C8)*IF(RAND()&lt;((D8)-(C8))/((E8)-(C8)),SQRT(RAND()*((D8)-(C8))/((E8)-(C8))),1-SQRT(RAND()*((E8)-(D8))/((E8)-(C8))))</f>
        <v>0.72546211855466447</v>
      </c>
      <c r="D434" s="72">
        <f ca="1">(C9)+(E9-C9)*IF(RAND()&lt;((D9)-(C9))/((E9)-(C9)),SQRT(RAND()*((D9)-(C9))/((E9)-(C9))),1-SQRT(RAND()*((E9)-(D9))/((E9)-(C9))))</f>
        <v>1434930.695156073</v>
      </c>
      <c r="E434" s="72">
        <f ca="1">(C10)+(E10-C10)*IF(RAND()&lt;((D10)-(C10))/((E10)-(C10)),SQRT(RAND()*((D10)-(C10))/((E10)-(C10))),1-SQRT(RAND()*((E10)-(D10))/((E10)-(C10))))</f>
        <v>3099166.2295272062</v>
      </c>
      <c r="F434" s="71">
        <f ca="1">(C11)+(E11-C11)*IF(RAND()&lt;((D11)-(C11))/((E11)-(C11)),SQRT(RAND()*((D11)-(C11))/((E11)-(C11))),1-SQRT(RAND()*((E11)-(D11))/((E11)-(C11))))</f>
        <v>1.426999574315769E-2</v>
      </c>
      <c r="G434" s="71">
        <f ca="1">(C12)+(E12-C12)*IF(RAND()&lt;((D12)-(C12))/((E12)-(C12)),SQRT(RAND()*((D12)-(C12))/((E12)-(C12))),1-SQRT(RAND()*((E12)-(D12))/((E12)-(C12))))</f>
        <v>0.15688205854979448</v>
      </c>
      <c r="H434" s="72">
        <f t="shared" ca="1" si="12"/>
        <v>295845499.14199555</v>
      </c>
      <c r="I434" s="73">
        <f t="shared" ca="1" si="13"/>
        <v>273.25998651136916</v>
      </c>
    </row>
    <row r="435" spans="1:9" ht="16.05" customHeight="1" x14ac:dyDescent="0.3">
      <c r="A435" s="66">
        <v>419</v>
      </c>
      <c r="B435" s="67">
        <f ca="1">(C7)+(E7-C7)*IF(RAND()&lt;((D7)-(C7))/((E7)-(C7)),SQRT(RAND()*((D7)-(C7))/((E7)-(C7))),1-SQRT(RAND()*((E7)-(D7))/((E7)-(C7))))</f>
        <v>0.26751580247322115</v>
      </c>
      <c r="C435" s="67">
        <f ca="1">(C8)+(E8-C8)*IF(RAND()&lt;((D8)-(C8))/((E8)-(C8)),SQRT(RAND()*((D8)-(C8))/((E8)-(C8))),1-SQRT(RAND()*((E8)-(D8))/((E8)-(C8))))</f>
        <v>0.546065627517062</v>
      </c>
      <c r="D435" s="68">
        <f ca="1">(C9)+(E9-C9)*IF(RAND()&lt;((D9)-(C9))/((E9)-(C9)),SQRT(RAND()*((D9)-(C9))/((E9)-(C9))),1-SQRT(RAND()*((E9)-(D9))/((E9)-(C9))))</f>
        <v>1300189.5745479679</v>
      </c>
      <c r="E435" s="68">
        <f ca="1">(C10)+(E10-C10)*IF(RAND()&lt;((D10)-(C10))/((E10)-(C10)),SQRT(RAND()*((D10)-(C10))/((E10)-(C10))),1-SQRT(RAND()*((E10)-(D10))/((E10)-(C10))))</f>
        <v>3236903.6690580919</v>
      </c>
      <c r="F435" s="67">
        <f ca="1">(C11)+(E11-C11)*IF(RAND()&lt;((D11)-(C11))/((E11)-(C11)),SQRT(RAND()*((D11)-(C11))/((E11)-(C11))),1-SQRT(RAND()*((E11)-(D11))/((E11)-(C11))))</f>
        <v>9.0431791273045022E-3</v>
      </c>
      <c r="G435" s="67">
        <f ca="1">(C12)+(E12-C12)*IF(RAND()&lt;((D12)-(C12))/((E12)-(C12)),SQRT(RAND()*((D12)-(C12))/((E12)-(C12))),1-SQRT(RAND()*((E12)-(D12))/((E12)-(C12))))</f>
        <v>0.18200245532967901</v>
      </c>
      <c r="H435" s="68">
        <f t="shared" ca="1" si="12"/>
        <v>210629845.48967162</v>
      </c>
      <c r="I435" s="69">
        <f t="shared" ca="1" si="13"/>
        <v>214.99406874616724</v>
      </c>
    </row>
    <row r="436" spans="1:9" ht="16.05" customHeight="1" x14ac:dyDescent="0.3">
      <c r="A436" s="70">
        <v>420</v>
      </c>
      <c r="B436" s="71">
        <f ca="1">(C7)+(E7-C7)*IF(RAND()&lt;((D7)-(C7))/((E7)-(C7)),SQRT(RAND()*((D7)-(C7))/((E7)-(C7))),1-SQRT(RAND()*((E7)-(D7))/((E7)-(C7))))</f>
        <v>0.1707835428168481</v>
      </c>
      <c r="C436" s="71">
        <f ca="1">(C8)+(E8-C8)*IF(RAND()&lt;((D8)-(C8))/((E8)-(C8)),SQRT(RAND()*((D8)-(C8))/((E8)-(C8))),1-SQRT(RAND()*((E8)-(D8))/((E8)-(C8))))</f>
        <v>0.69477313343748726</v>
      </c>
      <c r="D436" s="72">
        <f ca="1">(C9)+(E9-C9)*IF(RAND()&lt;((D9)-(C9))/((E9)-(C9)),SQRT(RAND()*((D9)-(C9))/((E9)-(C9))),1-SQRT(RAND()*((E9)-(D9))/((E9)-(C9))))</f>
        <v>1235361.4792099006</v>
      </c>
      <c r="E436" s="72">
        <f ca="1">(C10)+(E10-C10)*IF(RAND()&lt;((D10)-(C10))/((E10)-(C10)),SQRT(RAND()*((D10)-(C10))/((E10)-(C10))),1-SQRT(RAND()*((E10)-(D10))/((E10)-(C10))))</f>
        <v>2215639.7522034561</v>
      </c>
      <c r="F436" s="71">
        <f ca="1">(C11)+(E11-C11)*IF(RAND()&lt;((D11)-(C11))/((E11)-(C11)),SQRT(RAND()*((D11)-(C11))/((E11)-(C11))),1-SQRT(RAND()*((E11)-(D11))/((E11)-(C11))))</f>
        <v>8.4956403797787228E-3</v>
      </c>
      <c r="G436" s="71">
        <f ca="1">(C12)+(E12-C12)*IF(RAND()&lt;((D12)-(C12))/((E12)-(C12)),SQRT(RAND()*((D12)-(C12))/((E12)-(C12))),1-SQRT(RAND()*((E12)-(D12))/((E12)-(C12))))</f>
        <v>0.13845701792820034</v>
      </c>
      <c r="H436" s="72">
        <f t="shared" ca="1" si="12"/>
        <v>180776532.33264828</v>
      </c>
      <c r="I436" s="73">
        <f t="shared" ca="1" si="13"/>
        <v>194.33291336296696</v>
      </c>
    </row>
    <row r="437" spans="1:9" ht="16.05" customHeight="1" x14ac:dyDescent="0.3">
      <c r="A437" s="66">
        <v>421</v>
      </c>
      <c r="B437" s="67">
        <f ca="1">(C7)+(E7-C7)*IF(RAND()&lt;((D7)-(C7))/((E7)-(C7)),SQRT(RAND()*((D7)-(C7))/((E7)-(C7))),1-SQRT(RAND()*((E7)-(D7))/((E7)-(C7))))</f>
        <v>0.30156870804661462</v>
      </c>
      <c r="C437" s="67">
        <f ca="1">(C8)+(E8-C8)*IF(RAND()&lt;((D8)-(C8))/((E8)-(C8)),SQRT(RAND()*((D8)-(C8))/((E8)-(C8))),1-SQRT(RAND()*((E8)-(D8))/((E8)-(C8))))</f>
        <v>0.71277703651079638</v>
      </c>
      <c r="D437" s="68">
        <f ca="1">(C9)+(E9-C9)*IF(RAND()&lt;((D9)-(C9))/((E9)-(C9)),SQRT(RAND()*((D9)-(C9))/((E9)-(C9))),1-SQRT(RAND()*((E9)-(D9))/((E9)-(C9))))</f>
        <v>1335275.6538184874</v>
      </c>
      <c r="E437" s="68">
        <f ca="1">(C10)+(E10-C10)*IF(RAND()&lt;((D10)-(C10))/((E10)-(C10)),SQRT(RAND()*((D10)-(C10))/((E10)-(C10))),1-SQRT(RAND()*((E10)-(D10))/((E10)-(C10))))</f>
        <v>3084892.8900485537</v>
      </c>
      <c r="F437" s="67">
        <f ca="1">(C11)+(E11-C11)*IF(RAND()&lt;((D11)-(C11))/((E11)-(C11)),SQRT(RAND()*((D11)-(C11))/((E11)-(C11))),1-SQRT(RAND()*((E11)-(D11))/((E11)-(C11))))</f>
        <v>5.9834719217859069E-3</v>
      </c>
      <c r="G437" s="67">
        <f ca="1">(C12)+(E12-C12)*IF(RAND()&lt;((D12)-(C12))/((E12)-(C12)),SQRT(RAND()*((D12)-(C12))/((E12)-(C12))),1-SQRT(RAND()*((E12)-(D12))/((E12)-(C12))))</f>
        <v>0.14124888179927969</v>
      </c>
      <c r="H437" s="68">
        <f t="shared" ca="1" si="12"/>
        <v>264014667.02026144</v>
      </c>
      <c r="I437" s="69">
        <f t="shared" ca="1" si="13"/>
        <v>262.11309330128665</v>
      </c>
    </row>
    <row r="438" spans="1:9" ht="16.05" customHeight="1" x14ac:dyDescent="0.3">
      <c r="A438" s="70">
        <v>422</v>
      </c>
      <c r="B438" s="71">
        <f ca="1">(C7)+(E7-C7)*IF(RAND()&lt;((D7)-(C7))/((E7)-(C7)),SQRT(RAND()*((D7)-(C7))/((E7)-(C7))),1-SQRT(RAND()*((E7)-(D7))/((E7)-(C7))))</f>
        <v>0.35413982052835957</v>
      </c>
      <c r="C438" s="71">
        <f ca="1">(C8)+(E8-C8)*IF(RAND()&lt;((D8)-(C8))/((E8)-(C8)),SQRT(RAND()*((D8)-(C8))/((E8)-(C8))),1-SQRT(RAND()*((E8)-(D8))/((E8)-(C8))))</f>
        <v>0.63666635585679976</v>
      </c>
      <c r="D438" s="72">
        <f ca="1">(C9)+(E9-C9)*IF(RAND()&lt;((D9)-(C9))/((E9)-(C9)),SQRT(RAND()*((D9)-(C9))/((E9)-(C9))),1-SQRT(RAND()*((E9)-(D9))/((E9)-(C9))))</f>
        <v>1349145.5939803859</v>
      </c>
      <c r="E438" s="72">
        <f ca="1">(C10)+(E10-C10)*IF(RAND()&lt;((D10)-(C10))/((E10)-(C10)),SQRT(RAND()*((D10)-(C10))/((E10)-(C10))),1-SQRT(RAND()*((E10)-(D10))/((E10)-(C10))))</f>
        <v>3730880.0974461511</v>
      </c>
      <c r="F438" s="71">
        <f ca="1">(C11)+(E11-C11)*IF(RAND()&lt;((D11)-(C11))/((E11)-(C11)),SQRT(RAND()*((D11)-(C11))/((E11)-(C11))),1-SQRT(RAND()*((E11)-(D11))/((E11)-(C11))))</f>
        <v>1.7313233132575927E-2</v>
      </c>
      <c r="G438" s="71">
        <f ca="1">(C12)+(E12-C12)*IF(RAND()&lt;((D12)-(C12))/((E12)-(C12)),SQRT(RAND()*((D12)-(C12))/((E12)-(C12))),1-SQRT(RAND()*((E12)-(D12))/((E12)-(C12))))</f>
        <v>0.1617863209918608</v>
      </c>
      <c r="H438" s="72">
        <f t="shared" ca="1" si="12"/>
        <v>354769087.17621982</v>
      </c>
      <c r="I438" s="73">
        <f t="shared" ca="1" si="13"/>
        <v>348.15772696812905</v>
      </c>
    </row>
    <row r="439" spans="1:9" ht="16.05" customHeight="1" x14ac:dyDescent="0.3">
      <c r="A439" s="66">
        <v>423</v>
      </c>
      <c r="B439" s="67">
        <f ca="1">(C7)+(E7-C7)*IF(RAND()&lt;((D7)-(C7))/((E7)-(C7)),SQRT(RAND()*((D7)-(C7))/((E7)-(C7))),1-SQRT(RAND()*((E7)-(D7))/((E7)-(C7))))</f>
        <v>0.25248736338133926</v>
      </c>
      <c r="C439" s="67">
        <f ca="1">(C8)+(E8-C8)*IF(RAND()&lt;((D8)-(C8))/((E8)-(C8)),SQRT(RAND()*((D8)-(C8))/((E8)-(C8))),1-SQRT(RAND()*((E8)-(D8))/((E8)-(C8))))</f>
        <v>0.61505988173519166</v>
      </c>
      <c r="D439" s="68">
        <f ca="1">(C9)+(E9-C9)*IF(RAND()&lt;((D9)-(C9))/((E9)-(C9)),SQRT(RAND()*((D9)-(C9))/((E9)-(C9))),1-SQRT(RAND()*((E9)-(D9))/((E9)-(C9))))</f>
        <v>1270162.7868657873</v>
      </c>
      <c r="E439" s="68">
        <f ca="1">(C10)+(E10-C10)*IF(RAND()&lt;((D10)-(C10))/((E10)-(C10)),SQRT(RAND()*((D10)-(C10))/((E10)-(C10))),1-SQRT(RAND()*((E10)-(D10))/((E10)-(C10))))</f>
        <v>3118153.8388523059</v>
      </c>
      <c r="F439" s="67">
        <f ca="1">(C11)+(E11-C11)*IF(RAND()&lt;((D11)-(C11))/((E11)-(C11)),SQRT(RAND()*((D11)-(C11))/((E11)-(C11))),1-SQRT(RAND()*((E11)-(D11))/((E11)-(C11))))</f>
        <v>1.1609565634153819E-2</v>
      </c>
      <c r="G439" s="67">
        <f ca="1">(C12)+(E12-C12)*IF(RAND()&lt;((D12)-(C12))/((E12)-(C12)),SQRT(RAND()*((D12)-(C12))/((E12)-(C12))),1-SQRT(RAND()*((E12)-(D12))/((E12)-(C12))))</f>
        <v>0.1601666840080252</v>
      </c>
      <c r="H439" s="68">
        <f t="shared" ca="1" si="12"/>
        <v>239657386.15406865</v>
      </c>
      <c r="I439" s="69">
        <f t="shared" ca="1" si="13"/>
        <v>250.18872038244848</v>
      </c>
    </row>
    <row r="440" spans="1:9" ht="16.05" customHeight="1" x14ac:dyDescent="0.3">
      <c r="A440" s="70">
        <v>424</v>
      </c>
      <c r="B440" s="71">
        <f ca="1">(C7)+(E7-C7)*IF(RAND()&lt;((D7)-(C7))/((E7)-(C7)),SQRT(RAND()*((D7)-(C7))/((E7)-(C7))),1-SQRT(RAND()*((E7)-(D7))/((E7)-(C7))))</f>
        <v>0.29574554480775495</v>
      </c>
      <c r="C440" s="71">
        <f ca="1">(C8)+(E8-C8)*IF(RAND()&lt;((D8)-(C8))/((E8)-(C8)),SQRT(RAND()*((D8)-(C8))/((E8)-(C8))),1-SQRT(RAND()*((E8)-(D8))/((E8)-(C8))))</f>
        <v>0.74466256581209622</v>
      </c>
      <c r="D440" s="72">
        <f ca="1">(C9)+(E9-C9)*IF(RAND()&lt;((D9)-(C9))/((E9)-(C9)),SQRT(RAND()*((D9)-(C9))/((E9)-(C9))),1-SQRT(RAND()*((E9)-(D9))/((E9)-(C9))))</f>
        <v>1312071.3635290323</v>
      </c>
      <c r="E440" s="72">
        <f ca="1">(C10)+(E10-C10)*IF(RAND()&lt;((D10)-(C10))/((E10)-(C10)),SQRT(RAND()*((D10)-(C10))/((E10)-(C10))),1-SQRT(RAND()*((E10)-(D10))/((E10)-(C10))))</f>
        <v>3682312.2529884675</v>
      </c>
      <c r="F440" s="71">
        <f ca="1">(C11)+(E11-C11)*IF(RAND()&lt;((D11)-(C11))/((E11)-(C11)),SQRT(RAND()*((D11)-(C11))/((E11)-(C11))),1-SQRT(RAND()*((E11)-(D11))/((E11)-(C11))))</f>
        <v>8.2705847507838822E-3</v>
      </c>
      <c r="G440" s="71">
        <f ca="1">(C12)+(E12-C12)*IF(RAND()&lt;((D12)-(C12))/((E12)-(C12)),SQRT(RAND()*((D12)-(C12))/((E12)-(C12))),1-SQRT(RAND()*((E12)-(D12))/((E12)-(C12))))</f>
        <v>0.20723472532622272</v>
      </c>
      <c r="H440" s="72">
        <f t="shared" ca="1" si="12"/>
        <v>284024518.97097063</v>
      </c>
      <c r="I440" s="73">
        <f t="shared" ca="1" si="13"/>
        <v>286.84062392135928</v>
      </c>
    </row>
    <row r="441" spans="1:9" ht="16.05" customHeight="1" x14ac:dyDescent="0.3">
      <c r="A441" s="66">
        <v>425</v>
      </c>
      <c r="B441" s="67">
        <f ca="1">(C7)+(E7-C7)*IF(RAND()&lt;((D7)-(C7))/((E7)-(C7)),SQRT(RAND()*((D7)-(C7))/((E7)-(C7))),1-SQRT(RAND()*((E7)-(D7))/((E7)-(C7))))</f>
        <v>0.23629006468770869</v>
      </c>
      <c r="C441" s="67">
        <f ca="1">(C8)+(E8-C8)*IF(RAND()&lt;((D8)-(C8))/((E8)-(C8)),SQRT(RAND()*((D8)-(C8))/((E8)-(C8))),1-SQRT(RAND()*((E8)-(D8))/((E8)-(C8))))</f>
        <v>0.63244633370561243</v>
      </c>
      <c r="D441" s="68">
        <f ca="1">(C9)+(E9-C9)*IF(RAND()&lt;((D9)-(C9))/((E9)-(C9)),SQRT(RAND()*((D9)-(C9))/((E9)-(C9))),1-SQRT(RAND()*((E9)-(D9))/((E9)-(C9))))</f>
        <v>1184553.4239606671</v>
      </c>
      <c r="E441" s="68">
        <f ca="1">(C10)+(E10-C10)*IF(RAND()&lt;((D10)-(C10))/((E10)-(C10)),SQRT(RAND()*((D10)-(C10))/((E10)-(C10))),1-SQRT(RAND()*((E10)-(D10))/((E10)-(C10))))</f>
        <v>2970825.0685659936</v>
      </c>
      <c r="F441" s="67">
        <f ca="1">(C11)+(E11-C11)*IF(RAND()&lt;((D11)-(C11))/((E11)-(C11)),SQRT(RAND()*((D11)-(C11))/((E11)-(C11))),1-SQRT(RAND()*((E11)-(D11))/((E11)-(C11))))</f>
        <v>1.2478916386480089E-2</v>
      </c>
      <c r="G441" s="67">
        <f ca="1">(C12)+(E12-C12)*IF(RAND()&lt;((D12)-(C12))/((E12)-(C12)),SQRT(RAND()*((D12)-(C12))/((E12)-(C12))),1-SQRT(RAND()*((E12)-(D12))/((E12)-(C12))))</f>
        <v>0.14984262005429813</v>
      </c>
      <c r="H441" s="68">
        <f t="shared" ca="1" si="12"/>
        <v>240207202.34243906</v>
      </c>
      <c r="I441" s="69">
        <f t="shared" ca="1" si="13"/>
        <v>268.78710477608263</v>
      </c>
    </row>
    <row r="442" spans="1:9" ht="16.05" customHeight="1" x14ac:dyDescent="0.3">
      <c r="A442" s="70">
        <v>426</v>
      </c>
      <c r="B442" s="71">
        <f ca="1">(C7)+(E7-C7)*IF(RAND()&lt;((D7)-(C7))/((E7)-(C7)),SQRT(RAND()*((D7)-(C7))/((E7)-(C7))),1-SQRT(RAND()*((E7)-(D7))/((E7)-(C7))))</f>
        <v>0.38509241171045122</v>
      </c>
      <c r="C442" s="71">
        <f ca="1">(C8)+(E8-C8)*IF(RAND()&lt;((D8)-(C8))/((E8)-(C8)),SQRT(RAND()*((D8)-(C8))/((E8)-(C8))),1-SQRT(RAND()*((E8)-(D8))/((E8)-(C8))))</f>
        <v>0.6740777732548886</v>
      </c>
      <c r="D442" s="72">
        <f ca="1">(C9)+(E9-C9)*IF(RAND()&lt;((D9)-(C9))/((E9)-(C9)),SQRT(RAND()*((D9)-(C9))/((E9)-(C9))),1-SQRT(RAND()*((E9)-(D9))/((E9)-(C9))))</f>
        <v>1305425.5728457968</v>
      </c>
      <c r="E442" s="72">
        <f ca="1">(C10)+(E10-C10)*IF(RAND()&lt;((D10)-(C10))/((E10)-(C10)),SQRT(RAND()*((D10)-(C10))/((E10)-(C10))),1-SQRT(RAND()*((E10)-(D10))/((E10)-(C10))))</f>
        <v>3111591.4353248449</v>
      </c>
      <c r="F442" s="71">
        <f ca="1">(C11)+(E11-C11)*IF(RAND()&lt;((D11)-(C11))/((E11)-(C11)),SQRT(RAND()*((D11)-(C11))/((E11)-(C11))),1-SQRT(RAND()*((E11)-(D11))/((E11)-(C11))))</f>
        <v>1.0310068989338223E-2</v>
      </c>
      <c r="G442" s="71">
        <f ca="1">(C12)+(E12-C12)*IF(RAND()&lt;((D12)-(C12))/((E12)-(C12)),SQRT(RAND()*((D12)-(C12))/((E12)-(C12))),1-SQRT(RAND()*((E12)-(D12))/((E12)-(C12))))</f>
        <v>0.12120743252953202</v>
      </c>
      <c r="H442" s="72">
        <f t="shared" ca="1" si="12"/>
        <v>343727746.09021032</v>
      </c>
      <c r="I442" s="73">
        <f t="shared" ca="1" si="13"/>
        <v>348.61765913209473</v>
      </c>
    </row>
    <row r="443" spans="1:9" ht="16.05" customHeight="1" x14ac:dyDescent="0.3">
      <c r="A443" s="66">
        <v>427</v>
      </c>
      <c r="B443" s="67">
        <f ca="1">(C7)+(E7-C7)*IF(RAND()&lt;((D7)-(C7))/((E7)-(C7)),SQRT(RAND()*((D7)-(C7))/((E7)-(C7))),1-SQRT(RAND()*((E7)-(D7))/((E7)-(C7))))</f>
        <v>0.20741639126020814</v>
      </c>
      <c r="C443" s="67">
        <f ca="1">(C8)+(E8-C8)*IF(RAND()&lt;((D8)-(C8))/((E8)-(C8)),SQRT(RAND()*((D8)-(C8))/((E8)-(C8))),1-SQRT(RAND()*((E8)-(D8))/((E8)-(C8))))</f>
        <v>0.70918525825090939</v>
      </c>
      <c r="D443" s="68">
        <f ca="1">(C9)+(E9-C9)*IF(RAND()&lt;((D9)-(C9))/((E9)-(C9)),SQRT(RAND()*((D9)-(C9))/((E9)-(C9))),1-SQRT(RAND()*((E9)-(D9))/((E9)-(C9))))</f>
        <v>1306326.4627349817</v>
      </c>
      <c r="E443" s="68">
        <f ca="1">(C10)+(E10-C10)*IF(RAND()&lt;((D10)-(C10))/((E10)-(C10)),SQRT(RAND()*((D10)-(C10))/((E10)-(C10))),1-SQRT(RAND()*((E10)-(D10))/((E10)-(C10))))</f>
        <v>4159598.8245578781</v>
      </c>
      <c r="F443" s="67">
        <f ca="1">(C11)+(E11-C11)*IF(RAND()&lt;((D11)-(C11))/((E11)-(C11)),SQRT(RAND()*((D11)-(C11))/((E11)-(C11))),1-SQRT(RAND()*((E11)-(D11))/((E11)-(C11))))</f>
        <v>2.9060881570558243E-2</v>
      </c>
      <c r="G443" s="67">
        <f ca="1">(C12)+(E12-C12)*IF(RAND()&lt;((D12)-(C12))/((E12)-(C12)),SQRT(RAND()*((D12)-(C12))/((E12)-(C12))),1-SQRT(RAND()*((E12)-(D12))/((E12)-(C12))))</f>
        <v>0.13328510046662556</v>
      </c>
      <c r="H443" s="68">
        <f t="shared" ca="1" si="12"/>
        <v>352711676.64258718</v>
      </c>
      <c r="I443" s="69">
        <f t="shared" ca="1" si="13"/>
        <v>357.44915241036654</v>
      </c>
    </row>
    <row r="444" spans="1:9" ht="16.05" customHeight="1" x14ac:dyDescent="0.3">
      <c r="A444" s="70">
        <v>428</v>
      </c>
      <c r="B444" s="71">
        <f ca="1">(C7)+(E7-C7)*IF(RAND()&lt;((D7)-(C7))/((E7)-(C7)),SQRT(RAND()*((D7)-(C7))/((E7)-(C7))),1-SQRT(RAND()*((E7)-(D7))/((E7)-(C7))))</f>
        <v>0.28013722349875081</v>
      </c>
      <c r="C444" s="71">
        <f ca="1">(C8)+(E8-C8)*IF(RAND()&lt;((D8)-(C8))/((E8)-(C8)),SQRT(RAND()*((D8)-(C8))/((E8)-(C8))),1-SQRT(RAND()*((E8)-(D8))/((E8)-(C8))))</f>
        <v>0.68801662158546928</v>
      </c>
      <c r="D444" s="72">
        <f ca="1">(C9)+(E9-C9)*IF(RAND()&lt;((D9)-(C9))/((E9)-(C9)),SQRT(RAND()*((D9)-(C9))/((E9)-(C9))),1-SQRT(RAND()*((E9)-(D9))/((E9)-(C9))))</f>
        <v>1183455.1323903578</v>
      </c>
      <c r="E444" s="72">
        <f ca="1">(C10)+(E10-C10)*IF(RAND()&lt;((D10)-(C10))/((E10)-(C10)),SQRT(RAND()*((D10)-(C10))/((E10)-(C10))),1-SQRT(RAND()*((E10)-(D10))/((E10)-(C10))))</f>
        <v>2506152.2402754636</v>
      </c>
      <c r="F444" s="71">
        <f ca="1">(C11)+(E11-C11)*IF(RAND()&lt;((D11)-(C11))/((E11)-(C11)),SQRT(RAND()*((D11)-(C11))/((E11)-(C11))),1-SQRT(RAND()*((E11)-(D11))/((E11)-(C11))))</f>
        <v>1.1855405830182299E-2</v>
      </c>
      <c r="G444" s="71">
        <f ca="1">(C12)+(E12-C12)*IF(RAND()&lt;((D12)-(C12))/((E12)-(C12)),SQRT(RAND()*((D12)-(C12))/((E12)-(C12))),1-SQRT(RAND()*((E12)-(D12))/((E12)-(C12))))</f>
        <v>0.12905302016902903</v>
      </c>
      <c r="H444" s="72">
        <f t="shared" ca="1" si="12"/>
        <v>284576106.33754307</v>
      </c>
      <c r="I444" s="73">
        <f t="shared" ca="1" si="13"/>
        <v>318.4854683781748</v>
      </c>
    </row>
    <row r="445" spans="1:9" ht="16.05" customHeight="1" x14ac:dyDescent="0.3">
      <c r="A445" s="66">
        <v>429</v>
      </c>
      <c r="B445" s="67">
        <f ca="1">(C7)+(E7-C7)*IF(RAND()&lt;((D7)-(C7))/((E7)-(C7)),SQRT(RAND()*((D7)-(C7))/((E7)-(C7))),1-SQRT(RAND()*((E7)-(D7))/((E7)-(C7))))</f>
        <v>0.30813682718776858</v>
      </c>
      <c r="C445" s="67">
        <f ca="1">(C8)+(E8-C8)*IF(RAND()&lt;((D8)-(C8))/((E8)-(C8)),SQRT(RAND()*((D8)-(C8))/((E8)-(C8))),1-SQRT(RAND()*((E8)-(D8))/((E8)-(C8))))</f>
        <v>0.68108910414557933</v>
      </c>
      <c r="D445" s="68">
        <f ca="1">(C9)+(E9-C9)*IF(RAND()&lt;((D9)-(C9))/((E9)-(C9)),SQRT(RAND()*((D9)-(C9))/((E9)-(C9))),1-SQRT(RAND()*((E9)-(D9))/((E9)-(C9))))</f>
        <v>1208318.1292684046</v>
      </c>
      <c r="E445" s="68">
        <f ca="1">(C10)+(E10-C10)*IF(RAND()&lt;((D10)-(C10))/((E10)-(C10)),SQRT(RAND()*((D10)-(C10))/((E10)-(C10))),1-SQRT(RAND()*((E10)-(D10))/((E10)-(C10))))</f>
        <v>3566314.3670598716</v>
      </c>
      <c r="F445" s="67">
        <f ca="1">(C11)+(E11-C11)*IF(RAND()&lt;((D11)-(C11))/((E11)-(C11)),SQRT(RAND()*((D11)-(C11))/((E11)-(C11))),1-SQRT(RAND()*((E11)-(D11))/((E11)-(C11))))</f>
        <v>1.7971280736310252E-2</v>
      </c>
      <c r="G445" s="67">
        <f ca="1">(C12)+(E12-C12)*IF(RAND()&lt;((D12)-(C12))/((E12)-(C12)),SQRT(RAND()*((D12)-(C12))/((E12)-(C12))),1-SQRT(RAND()*((E12)-(D12))/((E12)-(C12))))</f>
        <v>0.13788145759641438</v>
      </c>
      <c r="H445" s="68">
        <f t="shared" ca="1" si="12"/>
        <v>343310902.80323207</v>
      </c>
      <c r="I445" s="69">
        <f t="shared" ca="1" si="13"/>
        <v>376.0735702210668</v>
      </c>
    </row>
    <row r="446" spans="1:9" ht="16.05" customHeight="1" x14ac:dyDescent="0.3">
      <c r="A446" s="70">
        <v>430</v>
      </c>
      <c r="B446" s="71">
        <f ca="1">(C7)+(E7-C7)*IF(RAND()&lt;((D7)-(C7))/((E7)-(C7)),SQRT(RAND()*((D7)-(C7))/((E7)-(C7))),1-SQRT(RAND()*((E7)-(D7))/((E7)-(C7))))</f>
        <v>0.27963299472504533</v>
      </c>
      <c r="C446" s="71">
        <f ca="1">(C8)+(E8-C8)*IF(RAND()&lt;((D8)-(C8))/((E8)-(C8)),SQRT(RAND()*((D8)-(C8))/((E8)-(C8))),1-SQRT(RAND()*((E8)-(D8))/((E8)-(C8))))</f>
        <v>0.66424644636653496</v>
      </c>
      <c r="D446" s="72">
        <f ca="1">(C9)+(E9-C9)*IF(RAND()&lt;((D9)-(C9))/((E9)-(C9)),SQRT(RAND()*((D9)-(C9))/((E9)-(C9))),1-SQRT(RAND()*((E9)-(D9))/((E9)-(C9))))</f>
        <v>1377161.4403576236</v>
      </c>
      <c r="E446" s="72">
        <f ca="1">(C10)+(E10-C10)*IF(RAND()&lt;((D10)-(C10))/((E10)-(C10)),SQRT(RAND()*((D10)-(C10))/((E10)-(C10))),1-SQRT(RAND()*((E10)-(D10))/((E10)-(C10))))</f>
        <v>3343857.4552515135</v>
      </c>
      <c r="F446" s="71">
        <f ca="1">(C11)+(E11-C11)*IF(RAND()&lt;((D11)-(C11))/((E11)-(C11)),SQRT(RAND()*((D11)-(C11))/((E11)-(C11))),1-SQRT(RAND()*((E11)-(D11))/((E11)-(C11))))</f>
        <v>6.5523928860581277E-3</v>
      </c>
      <c r="G446" s="71">
        <f ca="1">(C12)+(E12-C12)*IF(RAND()&lt;((D12)-(C12))/((E12)-(C12)),SQRT(RAND()*((D12)-(C12))/((E12)-(C12))),1-SQRT(RAND()*((E12)-(D12))/((E12)-(C12))))</f>
        <v>0.16663856350939188</v>
      </c>
      <c r="H446" s="72">
        <f t="shared" ca="1" si="12"/>
        <v>235322512.19618347</v>
      </c>
      <c r="I446" s="73">
        <f t="shared" ca="1" si="13"/>
        <v>226.70100897554605</v>
      </c>
    </row>
    <row r="447" spans="1:9" ht="16.05" customHeight="1" x14ac:dyDescent="0.3">
      <c r="A447" s="66">
        <v>431</v>
      </c>
      <c r="B447" s="67">
        <f ca="1">(C7)+(E7-C7)*IF(RAND()&lt;((D7)-(C7))/((E7)-(C7)),SQRT(RAND()*((D7)-(C7))/((E7)-(C7))),1-SQRT(RAND()*((E7)-(D7))/((E7)-(C7))))</f>
        <v>0.36884594788507064</v>
      </c>
      <c r="C447" s="67">
        <f ca="1">(C8)+(E8-C8)*IF(RAND()&lt;((D8)-(C8))/((E8)-(C8)),SQRT(RAND()*((D8)-(C8))/((E8)-(C8))),1-SQRT(RAND()*((E8)-(D8))/((E8)-(C8))))</f>
        <v>0.6253335333900486</v>
      </c>
      <c r="D447" s="68">
        <f ca="1">(C9)+(E9-C9)*IF(RAND()&lt;((D9)-(C9))/((E9)-(C9)),SQRT(RAND()*((D9)-(C9))/((E9)-(C9))),1-SQRT(RAND()*((E9)-(D9))/((E9)-(C9))))</f>
        <v>1241261.6948184017</v>
      </c>
      <c r="E447" s="68">
        <f ca="1">(C10)+(E10-C10)*IF(RAND()&lt;((D10)-(C10))/((E10)-(C10)),SQRT(RAND()*((D10)-(C10))/((E10)-(C10))),1-SQRT(RAND()*((E10)-(D10))/((E10)-(C10))))</f>
        <v>4312008.085703047</v>
      </c>
      <c r="F447" s="67">
        <f ca="1">(C11)+(E11-C11)*IF(RAND()&lt;((D11)-(C11))/((E11)-(C11)),SQRT(RAND()*((D11)-(C11))/((E11)-(C11))),1-SQRT(RAND()*((E11)-(D11))/((E11)-(C11))))</f>
        <v>8.5981170784623744E-3</v>
      </c>
      <c r="G447" s="67">
        <f ca="1">(C12)+(E12-C12)*IF(RAND()&lt;((D12)-(C12))/((E12)-(C12)),SQRT(RAND()*((D12)-(C12))/((E12)-(C12))),1-SQRT(RAND()*((E12)-(D12))/((E12)-(C12))))</f>
        <v>0.14843469333425854</v>
      </c>
      <c r="H447" s="68">
        <f t="shared" ca="1" si="12"/>
        <v>295410002.5171088</v>
      </c>
      <c r="I447" s="69">
        <f t="shared" ca="1" si="13"/>
        <v>315.22706493062162</v>
      </c>
    </row>
    <row r="448" spans="1:9" ht="16.05" customHeight="1" x14ac:dyDescent="0.3">
      <c r="A448" s="70">
        <v>432</v>
      </c>
      <c r="B448" s="71">
        <f ca="1">(C7)+(E7-C7)*IF(RAND()&lt;((D7)-(C7))/((E7)-(C7)),SQRT(RAND()*((D7)-(C7))/((E7)-(C7))),1-SQRT(RAND()*((E7)-(D7))/((E7)-(C7))))</f>
        <v>0.28016690114071213</v>
      </c>
      <c r="C448" s="71">
        <f ca="1">(C8)+(E8-C8)*IF(RAND()&lt;((D8)-(C8))/((E8)-(C8)),SQRT(RAND()*((D8)-(C8))/((E8)-(C8))),1-SQRT(RAND()*((E8)-(D8))/((E8)-(C8))))</f>
        <v>0.87394497026162077</v>
      </c>
      <c r="D448" s="72">
        <f ca="1">(C9)+(E9-C9)*IF(RAND()&lt;((D9)-(C9))/((E9)-(C9)),SQRT(RAND()*((D9)-(C9))/((E9)-(C9))),1-SQRT(RAND()*((E9)-(D9))/((E9)-(C9))))</f>
        <v>1185642.3593189751</v>
      </c>
      <c r="E448" s="72">
        <f ca="1">(C10)+(E10-C10)*IF(RAND()&lt;((D10)-(C10))/((E10)-(C10)),SQRT(RAND()*((D10)-(C10))/((E10)-(C10))),1-SQRT(RAND()*((E10)-(D10))/((E10)-(C10))))</f>
        <v>3768005.1868338841</v>
      </c>
      <c r="F448" s="71">
        <f ca="1">(C11)+(E11-C11)*IF(RAND()&lt;((D11)-(C11))/((E11)-(C11)),SQRT(RAND()*((D11)-(C11))/((E11)-(C11))),1-SQRT(RAND()*((E11)-(D11))/((E11)-(C11))))</f>
        <v>1.2940828195837153E-2</v>
      </c>
      <c r="G448" s="71">
        <f ca="1">(C12)+(E12-C12)*IF(RAND()&lt;((D12)-(C12))/((E12)-(C12)),SQRT(RAND()*((D12)-(C12))/((E12)-(C12))),1-SQRT(RAND()*((E12)-(D12))/((E12)-(C12))))</f>
        <v>0.13487571888429931</v>
      </c>
      <c r="H448" s="72">
        <f t="shared" ca="1" si="12"/>
        <v>344319598.04726195</v>
      </c>
      <c r="I448" s="73">
        <f t="shared" ca="1" si="13"/>
        <v>384.36300501692182</v>
      </c>
    </row>
    <row r="449" spans="1:9" ht="16.05" customHeight="1" x14ac:dyDescent="0.3">
      <c r="A449" s="66">
        <v>433</v>
      </c>
      <c r="B449" s="67">
        <f ca="1">(C7)+(E7-C7)*IF(RAND()&lt;((D7)-(C7))/((E7)-(C7)),SQRT(RAND()*((D7)-(C7))/((E7)-(C7))),1-SQRT(RAND()*((E7)-(D7))/((E7)-(C7))))</f>
        <v>0.28594059659334925</v>
      </c>
      <c r="C449" s="67">
        <f ca="1">(C8)+(E8-C8)*IF(RAND()&lt;((D8)-(C8))/((E8)-(C8)),SQRT(RAND()*((D8)-(C8))/((E8)-(C8))),1-SQRT(RAND()*((E8)-(D8))/((E8)-(C8))))</f>
        <v>0.75390041160165688</v>
      </c>
      <c r="D449" s="68">
        <f ca="1">(C9)+(E9-C9)*IF(RAND()&lt;((D9)-(C9))/((E9)-(C9)),SQRT(RAND()*((D9)-(C9))/((E9)-(C9))),1-SQRT(RAND()*((E9)-(D9))/((E9)-(C9))))</f>
        <v>1373685.3181555914</v>
      </c>
      <c r="E449" s="68">
        <f ca="1">(C10)+(E10-C10)*IF(RAND()&lt;((D10)-(C10))/((E10)-(C10)),SQRT(RAND()*((D10)-(C10))/((E10)-(C10))),1-SQRT(RAND()*((E10)-(D10))/((E10)-(C10))))</f>
        <v>3700799.0555055165</v>
      </c>
      <c r="F449" s="67">
        <f ca="1">(C11)+(E11-C11)*IF(RAND()&lt;((D11)-(C11))/((E11)-(C11)),SQRT(RAND()*((D11)-(C11))/((E11)-(C11))),1-SQRT(RAND()*((E11)-(D11))/((E11)-(C11))))</f>
        <v>1.5440889361874349E-2</v>
      </c>
      <c r="G449" s="67">
        <f ca="1">(C12)+(E12-C12)*IF(RAND()&lt;((D12)-(C12))/((E12)-(C12)),SQRT(RAND()*((D12)-(C12))/((E12)-(C12))),1-SQRT(RAND()*((E12)-(D12))/((E12)-(C12))))</f>
        <v>0.1735099219697141</v>
      </c>
      <c r="H449" s="68">
        <f t="shared" ca="1" si="12"/>
        <v>330575863.74593395</v>
      </c>
      <c r="I449" s="69">
        <f t="shared" ca="1" si="13"/>
        <v>318.73185815086407</v>
      </c>
    </row>
    <row r="450" spans="1:9" ht="16.05" customHeight="1" x14ac:dyDescent="0.3">
      <c r="A450" s="70">
        <v>434</v>
      </c>
      <c r="B450" s="71">
        <f ca="1">(C7)+(E7-C7)*IF(RAND()&lt;((D7)-(C7))/((E7)-(C7)),SQRT(RAND()*((D7)-(C7))/((E7)-(C7))),1-SQRT(RAND()*((E7)-(D7))/((E7)-(C7))))</f>
        <v>0.21679105573843985</v>
      </c>
      <c r="C450" s="71">
        <f ca="1">(C8)+(E8-C8)*IF(RAND()&lt;((D8)-(C8))/((E8)-(C8)),SQRT(RAND()*((D8)-(C8))/((E8)-(C8))),1-SQRT(RAND()*((E8)-(D8))/((E8)-(C8))))</f>
        <v>0.67397985573263286</v>
      </c>
      <c r="D450" s="72">
        <f ca="1">(C9)+(E9-C9)*IF(RAND()&lt;((D9)-(C9))/((E9)-(C9)),SQRT(RAND()*((D9)-(C9))/((E9)-(C9))),1-SQRT(RAND()*((E9)-(D9))/((E9)-(C9))))</f>
        <v>1333552.8626538808</v>
      </c>
      <c r="E450" s="72">
        <f ca="1">(C10)+(E10-C10)*IF(RAND()&lt;((D10)-(C10))/((E10)-(C10)),SQRT(RAND()*((D10)-(C10))/((E10)-(C10))),1-SQRT(RAND()*((E10)-(D10))/((E10)-(C10))))</f>
        <v>3717749.111644885</v>
      </c>
      <c r="F450" s="71">
        <f ca="1">(C11)+(E11-C11)*IF(RAND()&lt;((D11)-(C11))/((E11)-(C11)),SQRT(RAND()*((D11)-(C11))/((E11)-(C11))),1-SQRT(RAND()*((E11)-(D11))/((E11)-(C11))))</f>
        <v>1.2860547666203087E-2</v>
      </c>
      <c r="G450" s="71">
        <f ca="1">(C12)+(E12-C12)*IF(RAND()&lt;((D12)-(C12))/((E12)-(C12)),SQRT(RAND()*((D12)-(C12))/((E12)-(C12))),1-SQRT(RAND()*((E12)-(D12))/((E12)-(C12))))</f>
        <v>0.13195787580167428</v>
      </c>
      <c r="H450" s="72">
        <f t="shared" ca="1" si="12"/>
        <v>236360561.34569961</v>
      </c>
      <c r="I450" s="73">
        <f t="shared" ca="1" si="13"/>
        <v>235.09794880990961</v>
      </c>
    </row>
    <row r="451" spans="1:9" ht="16.05" customHeight="1" x14ac:dyDescent="0.3">
      <c r="A451" s="66">
        <v>435</v>
      </c>
      <c r="B451" s="67">
        <f ca="1">(C7)+(E7-C7)*IF(RAND()&lt;((D7)-(C7))/((E7)-(C7)),SQRT(RAND()*((D7)-(C7))/((E7)-(C7))),1-SQRT(RAND()*((E7)-(D7))/((E7)-(C7))))</f>
        <v>0.21373530222486728</v>
      </c>
      <c r="C451" s="67">
        <f ca="1">(C8)+(E8-C8)*IF(RAND()&lt;((D8)-(C8))/((E8)-(C8)),SQRT(RAND()*((D8)-(C8))/((E8)-(C8))),1-SQRT(RAND()*((E8)-(D8))/((E8)-(C8))))</f>
        <v>0.64019982534952036</v>
      </c>
      <c r="D451" s="68">
        <f ca="1">(C9)+(E9-C9)*IF(RAND()&lt;((D9)-(C9))/((E9)-(C9)),SQRT(RAND()*((D9)-(C9))/((E9)-(C9))),1-SQRT(RAND()*((E9)-(D9))/((E9)-(C9))))</f>
        <v>1142024.1259048367</v>
      </c>
      <c r="E451" s="68">
        <f ca="1">(C10)+(E10-C10)*IF(RAND()&lt;((D10)-(C10))/((E10)-(C10)),SQRT(RAND()*((D10)-(C10))/((E10)-(C10))),1-SQRT(RAND()*((E10)-(D10))/((E10)-(C10))))</f>
        <v>3975693.9916795352</v>
      </c>
      <c r="F451" s="67">
        <f ca="1">(C11)+(E11-C11)*IF(RAND()&lt;((D11)-(C11))/((E11)-(C11)),SQRT(RAND()*((D11)-(C11))/((E11)-(C11))),1-SQRT(RAND()*((E11)-(D11))/((E11)-(C11))))</f>
        <v>1.2622617664756541E-2</v>
      </c>
      <c r="G451" s="67">
        <f ca="1">(C12)+(E12-C12)*IF(RAND()&lt;((D12)-(C12))/((E12)-(C12)),SQRT(RAND()*((D12)-(C12))/((E12)-(C12))),1-SQRT(RAND()*((E12)-(D12))/((E12)-(C12))))</f>
        <v>0.17171937000602722</v>
      </c>
      <c r="H451" s="68">
        <f t="shared" ca="1" si="12"/>
        <v>223761291.36017239</v>
      </c>
      <c r="I451" s="69">
        <f t="shared" ca="1" si="13"/>
        <v>259.75339181475738</v>
      </c>
    </row>
    <row r="452" spans="1:9" ht="16.05" customHeight="1" x14ac:dyDescent="0.3">
      <c r="A452" s="70">
        <v>436</v>
      </c>
      <c r="B452" s="71">
        <f ca="1">(C7)+(E7-C7)*IF(RAND()&lt;((D7)-(C7))/((E7)-(C7)),SQRT(RAND()*((D7)-(C7))/((E7)-(C7))),1-SQRT(RAND()*((E7)-(D7))/((E7)-(C7))))</f>
        <v>0.2206768687167549</v>
      </c>
      <c r="C452" s="71">
        <f ca="1">(C8)+(E8-C8)*IF(RAND()&lt;((D8)-(C8))/((E8)-(C8)),SQRT(RAND()*((D8)-(C8))/((E8)-(C8))),1-SQRT(RAND()*((E8)-(D8))/((E8)-(C8))))</f>
        <v>0.60150262514031327</v>
      </c>
      <c r="D452" s="72">
        <f ca="1">(C9)+(E9-C9)*IF(RAND()&lt;((D9)-(C9))/((E9)-(C9)),SQRT(RAND()*((D9)-(C9))/((E9)-(C9))),1-SQRT(RAND()*((E9)-(D9))/((E9)-(C9))))</f>
        <v>1314884.6297649581</v>
      </c>
      <c r="E452" s="72">
        <f ca="1">(C10)+(E10-C10)*IF(RAND()&lt;((D10)-(C10))/((E10)-(C10)),SQRT(RAND()*((D10)-(C10))/((E10)-(C10))),1-SQRT(RAND()*((E10)-(D10))/((E10)-(C10))))</f>
        <v>4628919.0712030232</v>
      </c>
      <c r="F452" s="71">
        <f ca="1">(C11)+(E11-C11)*IF(RAND()&lt;((D11)-(C11))/((E11)-(C11)),SQRT(RAND()*((D11)-(C11))/((E11)-(C11))),1-SQRT(RAND()*((E11)-(D11))/((E11)-(C11))))</f>
        <v>1.5350382436846095E-2</v>
      </c>
      <c r="G452" s="71">
        <f ca="1">(C12)+(E12-C12)*IF(RAND()&lt;((D12)-(C12))/((E12)-(C12)),SQRT(RAND()*((D12)-(C12))/((E12)-(C12))),1-SQRT(RAND()*((E12)-(D12))/((E12)-(C12))))</f>
        <v>0.13052122199383842</v>
      </c>
      <c r="H452" s="72">
        <f t="shared" ca="1" si="12"/>
        <v>236344449.13643968</v>
      </c>
      <c r="I452" s="73">
        <f t="shared" ca="1" si="13"/>
        <v>238.40089128613948</v>
      </c>
    </row>
    <row r="453" spans="1:9" ht="16.05" customHeight="1" x14ac:dyDescent="0.3">
      <c r="A453" s="66">
        <v>437</v>
      </c>
      <c r="B453" s="67">
        <f ca="1">(C7)+(E7-C7)*IF(RAND()&lt;((D7)-(C7))/((E7)-(C7)),SQRT(RAND()*((D7)-(C7))/((E7)-(C7))),1-SQRT(RAND()*((E7)-(D7))/((E7)-(C7))))</f>
        <v>0.24406370962859247</v>
      </c>
      <c r="C453" s="67">
        <f ca="1">(C8)+(E8-C8)*IF(RAND()&lt;((D8)-(C8))/((E8)-(C8)),SQRT(RAND()*((D8)-(C8))/((E8)-(C8))),1-SQRT(RAND()*((E8)-(D8))/((E8)-(C8))))</f>
        <v>0.81829534080374833</v>
      </c>
      <c r="D453" s="68">
        <f ca="1">(C9)+(E9-C9)*IF(RAND()&lt;((D9)-(C9))/((E9)-(C9)),SQRT(RAND()*((D9)-(C9))/((E9)-(C9))),1-SQRT(RAND()*((E9)-(D9))/((E9)-(C9))))</f>
        <v>1174042.8017006253</v>
      </c>
      <c r="E453" s="68">
        <f ca="1">(C10)+(E10-C10)*IF(RAND()&lt;((D10)-(C10))/((E10)-(C10)),SQRT(RAND()*((D10)-(C10))/((E10)-(C10))),1-SQRT(RAND()*((E10)-(D10))/((E10)-(C10))))</f>
        <v>3518379.2376578422</v>
      </c>
      <c r="F453" s="67">
        <f ca="1">(C11)+(E11-C11)*IF(RAND()&lt;((D11)-(C11))/((E11)-(C11)),SQRT(RAND()*((D11)-(C11))/((E11)-(C11))),1-SQRT(RAND()*((E11)-(D11))/((E11)-(C11))))</f>
        <v>5.6478664158808641E-3</v>
      </c>
      <c r="G453" s="67">
        <f ca="1">(C12)+(E12-C12)*IF(RAND()&lt;((D12)-(C12))/((E12)-(C12)),SQRT(RAND()*((D12)-(C12))/((E12)-(C12))),1-SQRT(RAND()*((E12)-(D12))/((E12)-(C12))))</f>
        <v>0.17426059789143844</v>
      </c>
      <c r="H453" s="68">
        <f t="shared" ca="1" si="12"/>
        <v>243535294.84768087</v>
      </c>
      <c r="I453" s="69">
        <f t="shared" ca="1" si="13"/>
        <v>274.92058511559446</v>
      </c>
    </row>
    <row r="454" spans="1:9" ht="16.05" customHeight="1" x14ac:dyDescent="0.3">
      <c r="A454" s="70">
        <v>438</v>
      </c>
      <c r="B454" s="71">
        <f ca="1">(C7)+(E7-C7)*IF(RAND()&lt;((D7)-(C7))/((E7)-(C7)),SQRT(RAND()*((D7)-(C7))/((E7)-(C7))),1-SQRT(RAND()*((E7)-(D7))/((E7)-(C7))))</f>
        <v>0.29477223002658959</v>
      </c>
      <c r="C454" s="71">
        <f ca="1">(C8)+(E8-C8)*IF(RAND()&lt;((D8)-(C8))/((E8)-(C8)),SQRT(RAND()*((D8)-(C8))/((E8)-(C8))),1-SQRT(RAND()*((E8)-(D8))/((E8)-(C8))))</f>
        <v>0.60428825226026395</v>
      </c>
      <c r="D454" s="72">
        <f ca="1">(C9)+(E9-C9)*IF(RAND()&lt;((D9)-(C9))/((E9)-(C9)),SQRT(RAND()*((D9)-(C9))/((E9)-(C9))),1-SQRT(RAND()*((E9)-(D9))/((E9)-(C9))))</f>
        <v>1334571.0046246033</v>
      </c>
      <c r="E454" s="72">
        <f ca="1">(C10)+(E10-C10)*IF(RAND()&lt;((D10)-(C10))/((E10)-(C10)),SQRT(RAND()*((D10)-(C10))/((E10)-(C10))),1-SQRT(RAND()*((E10)-(D10))/((E10)-(C10))))</f>
        <v>3259820.7509293305</v>
      </c>
      <c r="F454" s="71">
        <f ca="1">(C11)+(E11-C11)*IF(RAND()&lt;((D11)-(C11))/((E11)-(C11)),SQRT(RAND()*((D11)-(C11))/((E11)-(C11))),1-SQRT(RAND()*((E11)-(D11))/((E11)-(C11))))</f>
        <v>1.3509790485581322E-2</v>
      </c>
      <c r="G454" s="71">
        <f ca="1">(C12)+(E12-C12)*IF(RAND()&lt;((D12)-(C12))/((E12)-(C12)),SQRT(RAND()*((D12)-(C12))/((E12)-(C12))),1-SQRT(RAND()*((E12)-(D12))/((E12)-(C12))))</f>
        <v>0.18203175840625702</v>
      </c>
      <c r="H454" s="72">
        <f t="shared" ca="1" si="12"/>
        <v>277611924.91014093</v>
      </c>
      <c r="I454" s="73">
        <f t="shared" ca="1" si="13"/>
        <v>275.68927634365701</v>
      </c>
    </row>
    <row r="455" spans="1:9" ht="16.05" customHeight="1" x14ac:dyDescent="0.3">
      <c r="A455" s="66">
        <v>439</v>
      </c>
      <c r="B455" s="67">
        <f ca="1">(C7)+(E7-C7)*IF(RAND()&lt;((D7)-(C7))/((E7)-(C7)),SQRT(RAND()*((D7)-(C7))/((E7)-(C7))),1-SQRT(RAND()*((E7)-(D7))/((E7)-(C7))))</f>
        <v>0.21900593079660488</v>
      </c>
      <c r="C455" s="67">
        <f ca="1">(C8)+(E8-C8)*IF(RAND()&lt;((D8)-(C8))/((E8)-(C8)),SQRT(RAND()*((D8)-(C8))/((E8)-(C8))),1-SQRT(RAND()*((E8)-(D8))/((E8)-(C8))))</f>
        <v>0.69981519116693058</v>
      </c>
      <c r="D455" s="68">
        <f ca="1">(C9)+(E9-C9)*IF(RAND()&lt;((D9)-(C9))/((E9)-(C9)),SQRT(RAND()*((D9)-(C9))/((E9)-(C9))),1-SQRT(RAND()*((E9)-(D9))/((E9)-(C9))))</f>
        <v>1162332.2317844052</v>
      </c>
      <c r="E455" s="68">
        <f ca="1">(C10)+(E10-C10)*IF(RAND()&lt;((D10)-(C10))/((E10)-(C10)),SQRT(RAND()*((D10)-(C10))/((E10)-(C10))),1-SQRT(RAND()*((E10)-(D10))/((E10)-(C10))))</f>
        <v>3363894.0316414824</v>
      </c>
      <c r="F455" s="67">
        <f ca="1">(C11)+(E11-C11)*IF(RAND()&lt;((D11)-(C11))/((E11)-(C11)),SQRT(RAND()*((D11)-(C11))/((E11)-(C11))),1-SQRT(RAND()*((E11)-(D11))/((E11)-(C11))))</f>
        <v>2.8524522821526253E-2</v>
      </c>
      <c r="G455" s="67">
        <f ca="1">(C12)+(E12-C12)*IF(RAND()&lt;((D12)-(C12))/((E12)-(C12)),SQRT(RAND()*((D12)-(C12))/((E12)-(C12))),1-SQRT(RAND()*((E12)-(D12))/((E12)-(C12))))</f>
        <v>0.13782728950175877</v>
      </c>
      <c r="H455" s="68">
        <f t="shared" ca="1" si="12"/>
        <v>358710220.48335248</v>
      </c>
      <c r="I455" s="69">
        <f t="shared" ca="1" si="13"/>
        <v>408.37494744375277</v>
      </c>
    </row>
    <row r="456" spans="1:9" ht="16.05" customHeight="1" x14ac:dyDescent="0.3">
      <c r="A456" s="70">
        <v>440</v>
      </c>
      <c r="B456" s="71">
        <f ca="1">(C7)+(E7-C7)*IF(RAND()&lt;((D7)-(C7))/((E7)-(C7)),SQRT(RAND()*((D7)-(C7))/((E7)-(C7))),1-SQRT(RAND()*((E7)-(D7))/((E7)-(C7))))</f>
        <v>0.27677793832526432</v>
      </c>
      <c r="C456" s="71">
        <f ca="1">(C8)+(E8-C8)*IF(RAND()&lt;((D8)-(C8))/((E8)-(C8)),SQRT(RAND()*((D8)-(C8))/((E8)-(C8))),1-SQRT(RAND()*((E8)-(D8))/((E8)-(C8))))</f>
        <v>0.68709921234359062</v>
      </c>
      <c r="D456" s="72">
        <f ca="1">(C9)+(E9-C9)*IF(RAND()&lt;((D9)-(C9))/((E9)-(C9)),SQRT(RAND()*((D9)-(C9))/((E9)-(C9))),1-SQRT(RAND()*((E9)-(D9))/((E9)-(C9))))</f>
        <v>1155912.9191462738</v>
      </c>
      <c r="E456" s="72">
        <f ca="1">(C10)+(E10-C10)*IF(RAND()&lt;((D10)-(C10))/((E10)-(C10)),SQRT(RAND()*((D10)-(C10))/((E10)-(C10))),1-SQRT(RAND()*((E10)-(D10))/((E10)-(C10))))</f>
        <v>3122487.946918352</v>
      </c>
      <c r="F456" s="71">
        <f ca="1">(C11)+(E11-C11)*IF(RAND()&lt;((D11)-(C11))/((E11)-(C11)),SQRT(RAND()*((D11)-(C11))/((E11)-(C11))),1-SQRT(RAND()*((E11)-(D11))/((E11)-(C11))))</f>
        <v>1.2494917961232109E-2</v>
      </c>
      <c r="G456" s="71">
        <f ca="1">(C12)+(E12-C12)*IF(RAND()&lt;((D12)-(C12))/((E12)-(C12)),SQRT(RAND()*((D12)-(C12))/((E12)-(C12))),1-SQRT(RAND()*((E12)-(D12))/((E12)-(C12))))</f>
        <v>0.15636788403551527</v>
      </c>
      <c r="H456" s="72">
        <f t="shared" ca="1" si="12"/>
        <v>284092247.54604751</v>
      </c>
      <c r="I456" s="73">
        <f t="shared" ca="1" si="13"/>
        <v>325.49054900964916</v>
      </c>
    </row>
    <row r="457" spans="1:9" ht="16.05" customHeight="1" x14ac:dyDescent="0.3">
      <c r="A457" s="66">
        <v>441</v>
      </c>
      <c r="B457" s="67">
        <f ca="1">(C7)+(E7-C7)*IF(RAND()&lt;((D7)-(C7))/((E7)-(C7)),SQRT(RAND()*((D7)-(C7))/((E7)-(C7))),1-SQRT(RAND()*((E7)-(D7))/((E7)-(C7))))</f>
        <v>0.33296146304076768</v>
      </c>
      <c r="C457" s="67">
        <f ca="1">(C8)+(E8-C8)*IF(RAND()&lt;((D8)-(C8))/((E8)-(C8)),SQRT(RAND()*((D8)-(C8))/((E8)-(C8))),1-SQRT(RAND()*((E8)-(D8))/((E8)-(C8))))</f>
        <v>0.59732801860513163</v>
      </c>
      <c r="D457" s="68">
        <f ca="1">(C9)+(E9-C9)*IF(RAND()&lt;((D9)-(C9))/((E9)-(C9)),SQRT(RAND()*((D9)-(C9))/((E9)-(C9))),1-SQRT(RAND()*((E9)-(D9))/((E9)-(C9))))</f>
        <v>1327482.008821602</v>
      </c>
      <c r="E457" s="68">
        <f ca="1">(C10)+(E10-C10)*IF(RAND()&lt;((D10)-(C10))/((E10)-(C10)),SQRT(RAND()*((D10)-(C10))/((E10)-(C10))),1-SQRT(RAND()*((E10)-(D10))/((E10)-(C10))))</f>
        <v>3219260.2996307435</v>
      </c>
      <c r="F457" s="67">
        <f ca="1">(C11)+(E11-C11)*IF(RAND()&lt;((D11)-(C11))/((E11)-(C11)),SQRT(RAND()*((D11)-(C11))/((E11)-(C11))),1-SQRT(RAND()*((E11)-(D11))/((E11)-(C11))))</f>
        <v>8.1035521793464162E-3</v>
      </c>
      <c r="G457" s="67">
        <f ca="1">(C12)+(E12-C12)*IF(RAND()&lt;((D12)-(C12))/((E12)-(C12)),SQRT(RAND()*((D12)-(C12))/((E12)-(C12))),1-SQRT(RAND()*((E12)-(D12))/((E12)-(C12))))</f>
        <v>0.14406366817578739</v>
      </c>
      <c r="H457" s="68">
        <f t="shared" ca="1" si="12"/>
        <v>261338152.23159924</v>
      </c>
      <c r="I457" s="69">
        <f t="shared" ca="1" si="13"/>
        <v>260.98482745346502</v>
      </c>
    </row>
    <row r="458" spans="1:9" ht="16.05" customHeight="1" x14ac:dyDescent="0.3">
      <c r="A458" s="70">
        <v>442</v>
      </c>
      <c r="B458" s="71">
        <f ca="1">(C7)+(E7-C7)*IF(RAND()&lt;((D7)-(C7))/((E7)-(C7)),SQRT(RAND()*((D7)-(C7))/((E7)-(C7))),1-SQRT(RAND()*((E7)-(D7))/((E7)-(C7))))</f>
        <v>0.32277789858525774</v>
      </c>
      <c r="C458" s="71">
        <f ca="1">(C8)+(E8-C8)*IF(RAND()&lt;((D8)-(C8))/((E8)-(C8)),SQRT(RAND()*((D8)-(C8))/((E8)-(C8))),1-SQRT(RAND()*((E8)-(D8))/((E8)-(C8))))</f>
        <v>0.66650522086053587</v>
      </c>
      <c r="D458" s="72">
        <f ca="1">(C9)+(E9-C9)*IF(RAND()&lt;((D9)-(C9))/((E9)-(C9)),SQRT(RAND()*((D9)-(C9))/((E9)-(C9))),1-SQRT(RAND()*((E9)-(D9))/((E9)-(C9))))</f>
        <v>1286588.4898492028</v>
      </c>
      <c r="E458" s="72">
        <f ca="1">(C10)+(E10-C10)*IF(RAND()&lt;((D10)-(C10))/((E10)-(C10)),SQRT(RAND()*((D10)-(C10))/((E10)-(C10))),1-SQRT(RAND()*((E10)-(D10))/((E10)-(C10))))</f>
        <v>3446646.1843200857</v>
      </c>
      <c r="F458" s="71">
        <f ca="1">(C11)+(E11-C11)*IF(RAND()&lt;((D11)-(C11))/((E11)-(C11)),SQRT(RAND()*((D11)-(C11))/((E11)-(C11))),1-SQRT(RAND()*((E11)-(D11))/((E11)-(C11))))</f>
        <v>1.7041897181275176E-2</v>
      </c>
      <c r="G458" s="71">
        <f ca="1">(C12)+(E12-C12)*IF(RAND()&lt;((D12)-(C12))/((E12)-(C12)),SQRT(RAND()*((D12)-(C12))/((E12)-(C12))),1-SQRT(RAND()*((E12)-(D12))/((E12)-(C12))))</f>
        <v>0.15416108749305615</v>
      </c>
      <c r="H458" s="72">
        <f t="shared" ca="1" si="12"/>
        <v>342705860.34427333</v>
      </c>
      <c r="I458" s="73">
        <f t="shared" ca="1" si="13"/>
        <v>352.65487811682772</v>
      </c>
    </row>
    <row r="459" spans="1:9" ht="16.05" customHeight="1" x14ac:dyDescent="0.3">
      <c r="A459" s="66">
        <v>443</v>
      </c>
      <c r="B459" s="67">
        <f ca="1">(C7)+(E7-C7)*IF(RAND()&lt;((D7)-(C7))/((E7)-(C7)),SQRT(RAND()*((D7)-(C7))/((E7)-(C7))),1-SQRT(RAND()*((E7)-(D7))/((E7)-(C7))))</f>
        <v>0.27778018550402661</v>
      </c>
      <c r="C459" s="67">
        <f ca="1">(C8)+(E8-C8)*IF(RAND()&lt;((D8)-(C8))/((E8)-(C8)),SQRT(RAND()*((D8)-(C8))/((E8)-(C8))),1-SQRT(RAND()*((E8)-(D8))/((E8)-(C8))))</f>
        <v>0.69964471827382702</v>
      </c>
      <c r="D459" s="68">
        <f ca="1">(C9)+(E9-C9)*IF(RAND()&lt;((D9)-(C9))/((E9)-(C9)),SQRT(RAND()*((D9)-(C9))/((E9)-(C9))),1-SQRT(RAND()*((E9)-(D9))/((E9)-(C9))))</f>
        <v>1301781.8608639019</v>
      </c>
      <c r="E459" s="68">
        <f ca="1">(C10)+(E10-C10)*IF(RAND()&lt;((D10)-(C10))/((E10)-(C10)),SQRT(RAND()*((D10)-(C10))/((E10)-(C10))),1-SQRT(RAND()*((E10)-(D10))/((E10)-(C10))))</f>
        <v>3923333.3602175573</v>
      </c>
      <c r="F459" s="67">
        <f ca="1">(C11)+(E11-C11)*IF(RAND()&lt;((D11)-(C11))/((E11)-(C11)),SQRT(RAND()*((D11)-(C11))/((E11)-(C11))),1-SQRT(RAND()*((E11)-(D11))/((E11)-(C11))))</f>
        <v>1.4247932030102753E-2</v>
      </c>
      <c r="G459" s="67">
        <f ca="1">(C12)+(E12-C12)*IF(RAND()&lt;((D12)-(C12))/((E12)-(C12)),SQRT(RAND()*((D12)-(C12))/((E12)-(C12))),1-SQRT(RAND()*((E12)-(D12))/((E12)-(C12))))</f>
        <v>0.15554941291480909</v>
      </c>
      <c r="H459" s="68">
        <f t="shared" ca="1" si="12"/>
        <v>298103823.38098502</v>
      </c>
      <c r="I459" s="69">
        <f t="shared" ca="1" si="13"/>
        <v>303.36282434528079</v>
      </c>
    </row>
    <row r="460" spans="1:9" ht="16.05" customHeight="1" x14ac:dyDescent="0.3">
      <c r="A460" s="70">
        <v>444</v>
      </c>
      <c r="B460" s="71">
        <f ca="1">(C7)+(E7-C7)*IF(RAND()&lt;((D7)-(C7))/((E7)-(C7)),SQRT(RAND()*((D7)-(C7))/((E7)-(C7))),1-SQRT(RAND()*((E7)-(D7))/((E7)-(C7))))</f>
        <v>0.36406213075555516</v>
      </c>
      <c r="C460" s="71">
        <f ca="1">(C8)+(E8-C8)*IF(RAND()&lt;((D8)-(C8))/((E8)-(C8)),SQRT(RAND()*((D8)-(C8))/((E8)-(C8))),1-SQRT(RAND()*((E8)-(D8))/((E8)-(C8))))</f>
        <v>0.88012671252191788</v>
      </c>
      <c r="D460" s="72">
        <f ca="1">(C9)+(E9-C9)*IF(RAND()&lt;((D9)-(C9))/((E9)-(C9)),SQRT(RAND()*((D9)-(C9))/((E9)-(C9))),1-SQRT(RAND()*((E9)-(D9))/((E9)-(C9))))</f>
        <v>1283944.1805094134</v>
      </c>
      <c r="E460" s="72">
        <f ca="1">(C10)+(E10-C10)*IF(RAND()&lt;((D10)-(C10))/((E10)-(C10)),SQRT(RAND()*((D10)-(C10))/((E10)-(C10))),1-SQRT(RAND()*((E10)-(D10))/((E10)-(C10))))</f>
        <v>3299719.5219247346</v>
      </c>
      <c r="F460" s="71">
        <f ca="1">(C11)+(E11-C11)*IF(RAND()&lt;((D11)-(C11))/((E11)-(C11)),SQRT(RAND()*((D11)-(C11))/((E11)-(C11))),1-SQRT(RAND()*((E11)-(D11))/((E11)-(C11))))</f>
        <v>1.3408648742440623E-2</v>
      </c>
      <c r="G460" s="71">
        <f ca="1">(C12)+(E12-C12)*IF(RAND()&lt;((D12)-(C12))/((E12)-(C12)),SQRT(RAND()*((D12)-(C12))/((E12)-(C12))),1-SQRT(RAND()*((E12)-(D12))/((E12)-(C12))))</f>
        <v>0.20742823862720644</v>
      </c>
      <c r="H460" s="72">
        <f t="shared" ca="1" si="12"/>
        <v>431590239.25178874</v>
      </c>
      <c r="I460" s="73">
        <f t="shared" ca="1" si="13"/>
        <v>444.68879887448304</v>
      </c>
    </row>
    <row r="461" spans="1:9" ht="16.05" customHeight="1" x14ac:dyDescent="0.3">
      <c r="A461" s="66">
        <v>445</v>
      </c>
      <c r="B461" s="67">
        <f ca="1">(C7)+(E7-C7)*IF(RAND()&lt;((D7)-(C7))/((E7)-(C7)),SQRT(RAND()*((D7)-(C7))/((E7)-(C7))),1-SQRT(RAND()*((E7)-(D7))/((E7)-(C7))))</f>
        <v>0.24951941355466167</v>
      </c>
      <c r="C461" s="67">
        <f ca="1">(C8)+(E8-C8)*IF(RAND()&lt;((D8)-(C8))/((E8)-(C8)),SQRT(RAND()*((D8)-(C8))/((E8)-(C8))),1-SQRT(RAND()*((E8)-(D8))/((E8)-(C8))))</f>
        <v>0.69098341981918754</v>
      </c>
      <c r="D461" s="68">
        <f ca="1">(C9)+(E9-C9)*IF(RAND()&lt;((D9)-(C9))/((E9)-(C9)),SQRT(RAND()*((D9)-(C9))/((E9)-(C9))),1-SQRT(RAND()*((E9)-(D9))/((E9)-(C9))))</f>
        <v>1291878.4534886368</v>
      </c>
      <c r="E461" s="68">
        <f ca="1">(C10)+(E10-C10)*IF(RAND()&lt;((D10)-(C10))/((E10)-(C10)),SQRT(RAND()*((D10)-(C10))/((E10)-(C10))),1-SQRT(RAND()*((E10)-(D10))/((E10)-(C10))))</f>
        <v>3005992.9078049972</v>
      </c>
      <c r="F461" s="67">
        <f ca="1">(C11)+(E11-C11)*IF(RAND()&lt;((D11)-(C11))/((E11)-(C11)),SQRT(RAND()*((D11)-(C11))/((E11)-(C11))),1-SQRT(RAND()*((E11)-(D11))/((E11)-(C11))))</f>
        <v>6.213643540050471E-3</v>
      </c>
      <c r="G461" s="67">
        <f ca="1">(C12)+(E12-C12)*IF(RAND()&lt;((D12)-(C12))/((E12)-(C12)),SQRT(RAND()*((D12)-(C12))/((E12)-(C12))),1-SQRT(RAND()*((E12)-(D12))/((E12)-(C12))))</f>
        <v>0.14829664891924352</v>
      </c>
      <c r="H461" s="68">
        <f t="shared" ca="1" si="12"/>
        <v>219739567.38750374</v>
      </c>
      <c r="I461" s="69">
        <f t="shared" ca="1" si="13"/>
        <v>225.66959930254313</v>
      </c>
    </row>
    <row r="462" spans="1:9" ht="16.05" customHeight="1" x14ac:dyDescent="0.3">
      <c r="A462" s="70">
        <v>446</v>
      </c>
      <c r="B462" s="71">
        <f ca="1">(C7)+(E7-C7)*IF(RAND()&lt;((D7)-(C7))/((E7)-(C7)),SQRT(RAND()*((D7)-(C7))/((E7)-(C7))),1-SQRT(RAND()*((E7)-(D7))/((E7)-(C7))))</f>
        <v>0.19085776116429515</v>
      </c>
      <c r="C462" s="71">
        <f ca="1">(C8)+(E8-C8)*IF(RAND()&lt;((D8)-(C8))/((E8)-(C8)),SQRT(RAND()*((D8)-(C8))/((E8)-(C8))),1-SQRT(RAND()*((E8)-(D8))/((E8)-(C8))))</f>
        <v>0.60937953838324233</v>
      </c>
      <c r="D462" s="72">
        <f ca="1">(C9)+(E9-C9)*IF(RAND()&lt;((D9)-(C9))/((E9)-(C9)),SQRT(RAND()*((D9)-(C9))/((E9)-(C9))),1-SQRT(RAND()*((E9)-(D9))/((E9)-(C9))))</f>
        <v>1272562.9139669558</v>
      </c>
      <c r="E462" s="72">
        <f ca="1">(C10)+(E10-C10)*IF(RAND()&lt;((D10)-(C10))/((E10)-(C10)),SQRT(RAND()*((D10)-(C10))/((E10)-(C10))),1-SQRT(RAND()*((E10)-(D10))/((E10)-(C10))))</f>
        <v>3392697.0091067068</v>
      </c>
      <c r="F462" s="71">
        <f ca="1">(C11)+(E11-C11)*IF(RAND()&lt;((D11)-(C11))/((E11)-(C11)),SQRT(RAND()*((D11)-(C11))/((E11)-(C11))),1-SQRT(RAND()*((E11)-(D11))/((E11)-(C11))))</f>
        <v>1.6603486115983567E-2</v>
      </c>
      <c r="G462" s="71">
        <f ca="1">(C12)+(E12-C12)*IF(RAND()&lt;((D12)-(C12))/((E12)-(C12)),SQRT(RAND()*((D12)-(C12))/((E12)-(C12))),1-SQRT(RAND()*((E12)-(D12))/((E12)-(C12))))</f>
        <v>0.16033824940889971</v>
      </c>
      <c r="H462" s="72">
        <f t="shared" ca="1" si="12"/>
        <v>232239228.41002059</v>
      </c>
      <c r="I462" s="73">
        <f t="shared" ca="1" si="13"/>
        <v>242.03055743276079</v>
      </c>
    </row>
    <row r="463" spans="1:9" ht="16.05" customHeight="1" x14ac:dyDescent="0.3">
      <c r="A463" s="66">
        <v>447</v>
      </c>
      <c r="B463" s="67">
        <f ca="1">(C7)+(E7-C7)*IF(RAND()&lt;((D7)-(C7))/((E7)-(C7)),SQRT(RAND()*((D7)-(C7))/((E7)-(C7))),1-SQRT(RAND()*((E7)-(D7))/((E7)-(C7))))</f>
        <v>0.16297766591112078</v>
      </c>
      <c r="C463" s="67">
        <f ca="1">(C8)+(E8-C8)*IF(RAND()&lt;((D8)-(C8))/((E8)-(C8)),SQRT(RAND()*((D8)-(C8))/((E8)-(C8))),1-SQRT(RAND()*((E8)-(D8))/((E8)-(C8))))</f>
        <v>0.7118418254469624</v>
      </c>
      <c r="D463" s="68">
        <f ca="1">(C9)+(E9-C9)*IF(RAND()&lt;((D9)-(C9))/((E9)-(C9)),SQRT(RAND()*((D9)-(C9))/((E9)-(C9))),1-SQRT(RAND()*((E9)-(D9))/((E9)-(C9))))</f>
        <v>1193673.1821542252</v>
      </c>
      <c r="E463" s="68">
        <f ca="1">(C10)+(E10-C10)*IF(RAND()&lt;((D10)-(C10))/((E10)-(C10)),SQRT(RAND()*((D10)-(C10))/((E10)-(C10))),1-SQRT(RAND()*((E10)-(D10))/((E10)-(C10))))</f>
        <v>4136443.7638050532</v>
      </c>
      <c r="F463" s="67">
        <f ca="1">(C11)+(E11-C11)*IF(RAND()&lt;((D11)-(C11))/((E11)-(C11)),SQRT(RAND()*((D11)-(C11))/((E11)-(C11))),1-SQRT(RAND()*((E11)-(D11))/((E11)-(C11))))</f>
        <v>2.8022693423121699E-2</v>
      </c>
      <c r="G463" s="67">
        <f ca="1">(C12)+(E12-C12)*IF(RAND()&lt;((D12)-(C12))/((E12)-(C12)),SQRT(RAND()*((D12)-(C12))/((E12)-(C12))),1-SQRT(RAND()*((E12)-(D12))/((E12)-(C12))))</f>
        <v>0.14130301013517088</v>
      </c>
      <c r="H463" s="68">
        <f t="shared" ca="1" si="12"/>
        <v>311602619.93740922</v>
      </c>
      <c r="I463" s="69">
        <f t="shared" ca="1" si="13"/>
        <v>345.63427980329055</v>
      </c>
    </row>
    <row r="464" spans="1:9" ht="16.05" customHeight="1" x14ac:dyDescent="0.3">
      <c r="A464" s="70">
        <v>448</v>
      </c>
      <c r="B464" s="71">
        <f ca="1">(C7)+(E7-C7)*IF(RAND()&lt;((D7)-(C7))/((E7)-(C7)),SQRT(RAND()*((D7)-(C7))/((E7)-(C7))),1-SQRT(RAND()*((E7)-(D7))/((E7)-(C7))))</f>
        <v>0.22159972595399519</v>
      </c>
      <c r="C464" s="71">
        <f ca="1">(C8)+(E8-C8)*IF(RAND()&lt;((D8)-(C8))/((E8)-(C8)),SQRT(RAND()*((D8)-(C8))/((E8)-(C8))),1-SQRT(RAND()*((E8)-(D8))/((E8)-(C8))))</f>
        <v>0.7433453402954926</v>
      </c>
      <c r="D464" s="72">
        <f ca="1">(C9)+(E9-C9)*IF(RAND()&lt;((D9)-(C9))/((E9)-(C9)),SQRT(RAND()*((D9)-(C9))/((E9)-(C9))),1-SQRT(RAND()*((E9)-(D9))/((E9)-(C9))))</f>
        <v>1247854.9770713602</v>
      </c>
      <c r="E464" s="72">
        <f ca="1">(C10)+(E10-C10)*IF(RAND()&lt;((D10)-(C10))/((E10)-(C10)),SQRT(RAND()*((D10)-(C10))/((E10)-(C10))),1-SQRT(RAND()*((E10)-(D10))/((E10)-(C10))))</f>
        <v>4654791.4131540749</v>
      </c>
      <c r="F464" s="71">
        <f ca="1">(C11)+(E11-C11)*IF(RAND()&lt;((D11)-(C11))/((E11)-(C11)),SQRT(RAND()*((D11)-(C11))/((E11)-(C11))),1-SQRT(RAND()*((E11)-(D11))/((E11)-(C11))))</f>
        <v>4.512342525390462E-3</v>
      </c>
      <c r="G464" s="71">
        <f ca="1">(C12)+(E12-C12)*IF(RAND()&lt;((D12)-(C12))/((E12)-(C12)),SQRT(RAND()*((D12)-(C12))/((E12)-(C12))),1-SQRT(RAND()*((E12)-(D12))/((E12)-(C12))))</f>
        <v>0.16456275777261894</v>
      </c>
      <c r="H464" s="72">
        <f t="shared" ca="1" si="12"/>
        <v>192889022.68535194</v>
      </c>
      <c r="I464" s="73">
        <f t="shared" ca="1" si="13"/>
        <v>205.20340984213684</v>
      </c>
    </row>
    <row r="465" spans="1:9" ht="16.05" customHeight="1" x14ac:dyDescent="0.3">
      <c r="A465" s="66">
        <v>449</v>
      </c>
      <c r="B465" s="67">
        <f ca="1">(C7)+(E7-C7)*IF(RAND()&lt;((D7)-(C7))/((E7)-(C7)),SQRT(RAND()*((D7)-(C7))/((E7)-(C7))),1-SQRT(RAND()*((E7)-(D7))/((E7)-(C7))))</f>
        <v>0.22798363575596248</v>
      </c>
      <c r="C465" s="67">
        <f ca="1">(C8)+(E8-C8)*IF(RAND()&lt;((D8)-(C8))/((E8)-(C8)),SQRT(RAND()*((D8)-(C8))/((E8)-(C8))),1-SQRT(RAND()*((E8)-(D8))/((E8)-(C8))))</f>
        <v>0.87782801107225228</v>
      </c>
      <c r="D465" s="68">
        <f ca="1">(C9)+(E9-C9)*IF(RAND()&lt;((D9)-(C9))/((E9)-(C9)),SQRT(RAND()*((D9)-(C9))/((E9)-(C9))),1-SQRT(RAND()*((E9)-(D9))/((E9)-(C9))))</f>
        <v>1324547.9872857502</v>
      </c>
      <c r="E465" s="68">
        <f ca="1">(C10)+(E10-C10)*IF(RAND()&lt;((D10)-(C10))/((E10)-(C10)),SQRT(RAND()*((D10)-(C10))/((E10)-(C10))),1-SQRT(RAND()*((E10)-(D10))/((E10)-(C10))))</f>
        <v>4198257.6535171764</v>
      </c>
      <c r="F465" s="67">
        <f ca="1">(C11)+(E11-C11)*IF(RAND()&lt;((D11)-(C11))/((E11)-(C11)),SQRT(RAND()*((D11)-(C11))/((E11)-(C11))),1-SQRT(RAND()*((E11)-(D11))/((E11)-(C11))))</f>
        <v>1.0634775909398205E-2</v>
      </c>
      <c r="G465" s="67">
        <f ca="1">(C12)+(E12-C12)*IF(RAND()&lt;((D12)-(C12))/((E12)-(C12)),SQRT(RAND()*((D12)-(C12))/((E12)-(C12))),1-SQRT(RAND()*((E12)-(D12))/((E12)-(C12))))</f>
        <v>0.14651477321468992</v>
      </c>
      <c r="H465" s="68">
        <f t="shared" ref="H465:H528" ca="1" si="14">-D465+($L$1*B465*C465+$M$1*F465-E465)*(1-(1+$N$1)^-5)/$N$1</f>
        <v>277251981.38842338</v>
      </c>
      <c r="I465" s="69">
        <f t="shared" ref="I465:I528" ca="1" si="15">($L$1*B465*C465+$M$1*F465-E465)*5/D465</f>
        <v>277.40703758285798</v>
      </c>
    </row>
    <row r="466" spans="1:9" ht="16.05" customHeight="1" x14ac:dyDescent="0.3">
      <c r="A466" s="70">
        <v>450</v>
      </c>
      <c r="B466" s="71">
        <f ca="1">(C7)+(E7-C7)*IF(RAND()&lt;((D7)-(C7))/((E7)-(C7)),SQRT(RAND()*((D7)-(C7))/((E7)-(C7))),1-SQRT(RAND()*((E7)-(D7))/((E7)-(C7))))</f>
        <v>0.26346814094422105</v>
      </c>
      <c r="C466" s="71">
        <f ca="1">(C8)+(E8-C8)*IF(RAND()&lt;((D8)-(C8))/((E8)-(C8)),SQRT(RAND()*((D8)-(C8))/((E8)-(C8))),1-SQRT(RAND()*((E8)-(D8))/((E8)-(C8))))</f>
        <v>0.65051393826165238</v>
      </c>
      <c r="D466" s="72">
        <f ca="1">(C9)+(E9-C9)*IF(RAND()&lt;((D9)-(C9))/((E9)-(C9)),SQRT(RAND()*((D9)-(C9))/((E9)-(C9))),1-SQRT(RAND()*((E9)-(D9))/((E9)-(C9))))</f>
        <v>1286153.8692819974</v>
      </c>
      <c r="E466" s="72">
        <f ca="1">(C10)+(E10-C10)*IF(RAND()&lt;((D10)-(C10))/((E10)-(C10)),SQRT(RAND()*((D10)-(C10))/((E10)-(C10))),1-SQRT(RAND()*((E10)-(D10))/((E10)-(C10))))</f>
        <v>4019802.4691086328</v>
      </c>
      <c r="F466" s="71">
        <f ca="1">(C11)+(E11-C11)*IF(RAND()&lt;((D11)-(C11))/((E11)-(C11)),SQRT(RAND()*((D11)-(C11))/((E11)-(C11))),1-SQRT(RAND()*((E11)-(D11))/((E11)-(C11))))</f>
        <v>1.5190825625076584E-2</v>
      </c>
      <c r="G466" s="71">
        <f ca="1">(C12)+(E12-C12)*IF(RAND()&lt;((D12)-(C12))/((E12)-(C12)),SQRT(RAND()*((D12)-(C12))/((E12)-(C12))),1-SQRT(RAND()*((E12)-(D12))/((E12)-(C12))))</f>
        <v>0.13420079620089773</v>
      </c>
      <c r="H466" s="72">
        <f t="shared" ca="1" si="14"/>
        <v>279582232.80299199</v>
      </c>
      <c r="I466" s="73">
        <f t="shared" ca="1" si="15"/>
        <v>288.03852559411399</v>
      </c>
    </row>
    <row r="467" spans="1:9" ht="16.05" customHeight="1" x14ac:dyDescent="0.3">
      <c r="A467" s="66">
        <v>451</v>
      </c>
      <c r="B467" s="67">
        <f ca="1">(C7)+(E7-C7)*IF(RAND()&lt;((D7)-(C7))/((E7)-(C7)),SQRT(RAND()*((D7)-(C7))/((E7)-(C7))),1-SQRT(RAND()*((E7)-(D7))/((E7)-(C7))))</f>
        <v>0.25450984240364605</v>
      </c>
      <c r="C467" s="67">
        <f ca="1">(C8)+(E8-C8)*IF(RAND()&lt;((D8)-(C8))/((E8)-(C8)),SQRT(RAND()*((D8)-(C8))/((E8)-(C8))),1-SQRT(RAND()*((E8)-(D8))/((E8)-(C8))))</f>
        <v>0.64420257935866831</v>
      </c>
      <c r="D467" s="68">
        <f ca="1">(C9)+(E9-C9)*IF(RAND()&lt;((D9)-(C9))/((E9)-(C9)),SQRT(RAND()*((D9)-(C9))/((E9)-(C9))),1-SQRT(RAND()*((E9)-(D9))/((E9)-(C9))))</f>
        <v>1169130.8209645336</v>
      </c>
      <c r="E467" s="68">
        <f ca="1">(C10)+(E10-C10)*IF(RAND()&lt;((D10)-(C10))/((E10)-(C10)),SQRT(RAND()*((D10)-(C10))/((E10)-(C10))),1-SQRT(RAND()*((E10)-(D10))/((E10)-(C10))))</f>
        <v>3606237.402818975</v>
      </c>
      <c r="F467" s="67">
        <f ca="1">(C11)+(E11-C11)*IF(RAND()&lt;((D11)-(C11))/((E11)-(C11)),SQRT(RAND()*((D11)-(C11))/((E11)-(C11))),1-SQRT(RAND()*((E11)-(D11))/((E11)-(C11))))</f>
        <v>1.86374596454578E-2</v>
      </c>
      <c r="G467" s="67">
        <f ca="1">(C12)+(E12-C12)*IF(RAND()&lt;((D12)-(C12))/((E12)-(C12)),SQRT(RAND()*((D12)-(C12))/((E12)-(C12))),1-SQRT(RAND()*((E12)-(D12))/((E12)-(C12))))</f>
        <v>0.12939636911440985</v>
      </c>
      <c r="H467" s="68">
        <f t="shared" ca="1" si="14"/>
        <v>298055971.51349401</v>
      </c>
      <c r="I467" s="69">
        <f t="shared" ca="1" si="15"/>
        <v>337.57910907377641</v>
      </c>
    </row>
    <row r="468" spans="1:9" ht="16.05" customHeight="1" x14ac:dyDescent="0.3">
      <c r="A468" s="70">
        <v>452</v>
      </c>
      <c r="B468" s="71">
        <f ca="1">(C7)+(E7-C7)*IF(RAND()&lt;((D7)-(C7))/((E7)-(C7)),SQRT(RAND()*((D7)-(C7))/((E7)-(C7))),1-SQRT(RAND()*((E7)-(D7))/((E7)-(C7))))</f>
        <v>0.22247957749009709</v>
      </c>
      <c r="C468" s="71">
        <f ca="1">(C8)+(E8-C8)*IF(RAND()&lt;((D8)-(C8))/((E8)-(C8)),SQRT(RAND()*((D8)-(C8))/((E8)-(C8))),1-SQRT(RAND()*((E8)-(D8))/((E8)-(C8))))</f>
        <v>0.67706944146583459</v>
      </c>
      <c r="D468" s="72">
        <f ca="1">(C9)+(E9-C9)*IF(RAND()&lt;((D9)-(C9))/((E9)-(C9)),SQRT(RAND()*((D9)-(C9))/((E9)-(C9))),1-SQRT(RAND()*((E9)-(D9))/((E9)-(C9))))</f>
        <v>1140921.5321647492</v>
      </c>
      <c r="E468" s="72">
        <f ca="1">(C10)+(E10-C10)*IF(RAND()&lt;((D10)-(C10))/((E10)-(C10)),SQRT(RAND()*((D10)-(C10))/((E10)-(C10))),1-SQRT(RAND()*((E10)-(D10))/((E10)-(C10))))</f>
        <v>4064515.3937717765</v>
      </c>
      <c r="F468" s="71">
        <f ca="1">(C11)+(E11-C11)*IF(RAND()&lt;((D11)-(C11))/((E11)-(C11)),SQRT(RAND()*((D11)-(C11))/((E11)-(C11))),1-SQRT(RAND()*((E11)-(D11))/((E11)-(C11))))</f>
        <v>4.8484719423800707E-3</v>
      </c>
      <c r="G468" s="71">
        <f ca="1">(C12)+(E12-C12)*IF(RAND()&lt;((D12)-(C12))/((E12)-(C12)),SQRT(RAND()*((D12)-(C12))/((E12)-(C12))),1-SQRT(RAND()*((E12)-(D12))/((E12)-(C12))))</f>
        <v>0.14039202712605525</v>
      </c>
      <c r="H468" s="72">
        <f t="shared" ca="1" si="14"/>
        <v>182329248.14817575</v>
      </c>
      <c r="I468" s="73">
        <f t="shared" ca="1" si="15"/>
        <v>212.10472060610326</v>
      </c>
    </row>
    <row r="469" spans="1:9" ht="16.05" customHeight="1" x14ac:dyDescent="0.3">
      <c r="A469" s="66">
        <v>453</v>
      </c>
      <c r="B469" s="67">
        <f ca="1">(C7)+(E7-C7)*IF(RAND()&lt;((D7)-(C7))/((E7)-(C7)),SQRT(RAND()*((D7)-(C7))/((E7)-(C7))),1-SQRT(RAND()*((E7)-(D7))/((E7)-(C7))))</f>
        <v>0.30596128691265745</v>
      </c>
      <c r="C469" s="67">
        <f ca="1">(C8)+(E8-C8)*IF(RAND()&lt;((D8)-(C8))/((E8)-(C8)),SQRT(RAND()*((D8)-(C8))/((E8)-(C8))),1-SQRT(RAND()*((E8)-(D8))/((E8)-(C8))))</f>
        <v>0.78022058252106952</v>
      </c>
      <c r="D469" s="68">
        <f ca="1">(C9)+(E9-C9)*IF(RAND()&lt;((D9)-(C9))/((E9)-(C9)),SQRT(RAND()*((D9)-(C9))/((E9)-(C9))),1-SQRT(RAND()*((E9)-(D9))/((E9)-(C9))))</f>
        <v>1369201.592704254</v>
      </c>
      <c r="E469" s="68">
        <f ca="1">(C10)+(E10-C10)*IF(RAND()&lt;((D10)-(C10))/((E10)-(C10)),SQRT(RAND()*((D10)-(C10))/((E10)-(C10))),1-SQRT(RAND()*((E10)-(D10))/((E10)-(C10))))</f>
        <v>4263145.7908698823</v>
      </c>
      <c r="F469" s="67">
        <f ca="1">(C11)+(E11-C11)*IF(RAND()&lt;((D11)-(C11))/((E11)-(C11)),SQRT(RAND()*((D11)-(C11))/((E11)-(C11))),1-SQRT(RAND()*((E11)-(D11))/((E11)-(C11))))</f>
        <v>1.2874386669554495E-2</v>
      </c>
      <c r="G469" s="67">
        <f ca="1">(C12)+(E12-C12)*IF(RAND()&lt;((D12)-(C12))/((E12)-(C12)),SQRT(RAND()*((D12)-(C12))/((E12)-(C12))),1-SQRT(RAND()*((E12)-(D12))/((E12)-(C12))))</f>
        <v>0.16993337577813911</v>
      </c>
      <c r="H469" s="68">
        <f t="shared" ca="1" si="14"/>
        <v>335106906.50417918</v>
      </c>
      <c r="I469" s="69">
        <f t="shared" ca="1" si="15"/>
        <v>324.1361613094129</v>
      </c>
    </row>
    <row r="470" spans="1:9" ht="16.05" customHeight="1" x14ac:dyDescent="0.3">
      <c r="A470" s="70">
        <v>454</v>
      </c>
      <c r="B470" s="71">
        <f ca="1">(C7)+(E7-C7)*IF(RAND()&lt;((D7)-(C7))/((E7)-(C7)),SQRT(RAND()*((D7)-(C7))/((E7)-(C7))),1-SQRT(RAND()*((E7)-(D7))/((E7)-(C7))))</f>
        <v>0.30149719798873831</v>
      </c>
      <c r="C470" s="71">
        <f ca="1">(C8)+(E8-C8)*IF(RAND()&lt;((D8)-(C8))/((E8)-(C8)),SQRT(RAND()*((D8)-(C8))/((E8)-(C8))),1-SQRT(RAND()*((E8)-(D8))/((E8)-(C8))))</f>
        <v>0.72680758024792413</v>
      </c>
      <c r="D470" s="72">
        <f ca="1">(C9)+(E9-C9)*IF(RAND()&lt;((D9)-(C9))/((E9)-(C9)),SQRT(RAND()*((D9)-(C9))/((E9)-(C9))),1-SQRT(RAND()*((E9)-(D9))/((E9)-(C9))))</f>
        <v>1114480.893265283</v>
      </c>
      <c r="E470" s="72">
        <f ca="1">(C10)+(E10-C10)*IF(RAND()&lt;((D10)-(C10))/((E10)-(C10)),SQRT(RAND()*((D10)-(C10))/((E10)-(C10))),1-SQRT(RAND()*((E10)-(D10))/((E10)-(C10))))</f>
        <v>2910811.8603607519</v>
      </c>
      <c r="F470" s="71">
        <f ca="1">(C11)+(E11-C11)*IF(RAND()&lt;((D11)-(C11))/((E11)-(C11)),SQRT(RAND()*((D11)-(C11))/((E11)-(C11))),1-SQRT(RAND()*((E11)-(D11))/((E11)-(C11))))</f>
        <v>7.8047431468107097E-3</v>
      </c>
      <c r="G470" s="71">
        <f ca="1">(C12)+(E12-C12)*IF(RAND()&lt;((D12)-(C12))/((E12)-(C12)),SQRT(RAND()*((D12)-(C12))/((E12)-(C12))),1-SQRT(RAND()*((E12)-(D12))/((E12)-(C12))))</f>
        <v>0.14938488660040092</v>
      </c>
      <c r="H470" s="72">
        <f t="shared" ca="1" si="14"/>
        <v>282587462.37863749</v>
      </c>
      <c r="I470" s="73">
        <f t="shared" ca="1" si="15"/>
        <v>335.76106321765059</v>
      </c>
    </row>
    <row r="471" spans="1:9" ht="16.05" customHeight="1" x14ac:dyDescent="0.3">
      <c r="A471" s="66">
        <v>455</v>
      </c>
      <c r="B471" s="67">
        <f ca="1">(C7)+(E7-C7)*IF(RAND()&lt;((D7)-(C7))/((E7)-(C7)),SQRT(RAND()*((D7)-(C7))/((E7)-(C7))),1-SQRT(RAND()*((E7)-(D7))/((E7)-(C7))))</f>
        <v>0.33053195304972782</v>
      </c>
      <c r="C471" s="67">
        <f ca="1">(C8)+(E8-C8)*IF(RAND()&lt;((D8)-(C8))/((E8)-(C8)),SQRT(RAND()*((D8)-(C8))/((E8)-(C8))),1-SQRT(RAND()*((E8)-(D8))/((E8)-(C8))))</f>
        <v>0.69251479837711483</v>
      </c>
      <c r="D471" s="68">
        <f ca="1">(C9)+(E9-C9)*IF(RAND()&lt;((D9)-(C9))/((E9)-(C9)),SQRT(RAND()*((D9)-(C9))/((E9)-(C9))),1-SQRT(RAND()*((E9)-(D9))/((E9)-(C9))))</f>
        <v>1351711.3822082612</v>
      </c>
      <c r="E471" s="68">
        <f ca="1">(C10)+(E10-C10)*IF(RAND()&lt;((D10)-(C10))/((E10)-(C10)),SQRT(RAND()*((D10)-(C10))/((E10)-(C10))),1-SQRT(RAND()*((E10)-(D10))/((E10)-(C10))))</f>
        <v>3463455.0251351707</v>
      </c>
      <c r="F471" s="67">
        <f ca="1">(C11)+(E11-C11)*IF(RAND()&lt;((D11)-(C11))/((E11)-(C11)),SQRT(RAND()*((D11)-(C11))/((E11)-(C11))),1-SQRT(RAND()*((E11)-(D11))/((E11)-(C11))))</f>
        <v>6.7299466458757397E-3</v>
      </c>
      <c r="G471" s="67">
        <f ca="1">(C12)+(E12-C12)*IF(RAND()&lt;((D12)-(C12))/((E12)-(C12)),SQRT(RAND()*((D12)-(C12))/((E12)-(C12))),1-SQRT(RAND()*((E12)-(D12))/((E12)-(C12))))</f>
        <v>0.15236325642646542</v>
      </c>
      <c r="H471" s="68">
        <f t="shared" ca="1" si="14"/>
        <v>283124722.26245457</v>
      </c>
      <c r="I471" s="69">
        <f t="shared" ca="1" si="15"/>
        <v>277.58946003080018</v>
      </c>
    </row>
    <row r="472" spans="1:9" ht="16.05" customHeight="1" x14ac:dyDescent="0.3">
      <c r="A472" s="70">
        <v>456</v>
      </c>
      <c r="B472" s="71">
        <f ca="1">(C7)+(E7-C7)*IF(RAND()&lt;((D7)-(C7))/((E7)-(C7)),SQRT(RAND()*((D7)-(C7))/((E7)-(C7))),1-SQRT(RAND()*((E7)-(D7))/((E7)-(C7))))</f>
        <v>0.2191333870284112</v>
      </c>
      <c r="C472" s="71">
        <f ca="1">(C8)+(E8-C8)*IF(RAND()&lt;((D8)-(C8))/((E8)-(C8)),SQRT(RAND()*((D8)-(C8))/((E8)-(C8))),1-SQRT(RAND()*((E8)-(D8))/((E8)-(C8))))</f>
        <v>0.72181742993701581</v>
      </c>
      <c r="D472" s="72">
        <f ca="1">(C9)+(E9-C9)*IF(RAND()&lt;((D9)-(C9))/((E9)-(C9)),SQRT(RAND()*((D9)-(C9))/((E9)-(C9))),1-SQRT(RAND()*((E9)-(D9))/((E9)-(C9))))</f>
        <v>1435815.2132491856</v>
      </c>
      <c r="E472" s="72">
        <f ca="1">(C10)+(E10-C10)*IF(RAND()&lt;((D10)-(C10))/((E10)-(C10)),SQRT(RAND()*((D10)-(C10))/((E10)-(C10))),1-SQRT(RAND()*((E10)-(D10))/((E10)-(C10))))</f>
        <v>4892196.7431080323</v>
      </c>
      <c r="F472" s="71">
        <f ca="1">(C11)+(E11-C11)*IF(RAND()&lt;((D11)-(C11))/((E11)-(C11)),SQRT(RAND()*((D11)-(C11))/((E11)-(C11))),1-SQRT(RAND()*((E11)-(D11))/((E11)-(C11))))</f>
        <v>1.0668405893017536E-2</v>
      </c>
      <c r="G472" s="71">
        <f ca="1">(C12)+(E12-C12)*IF(RAND()&lt;((D12)-(C12))/((E12)-(C12)),SQRT(RAND()*((D12)-(C12))/((E12)-(C12))),1-SQRT(RAND()*((E12)-(D12))/((E12)-(C12))))</f>
        <v>0.17113314928442575</v>
      </c>
      <c r="H472" s="72">
        <f t="shared" ca="1" si="14"/>
        <v>229106460.96145192</v>
      </c>
      <c r="I472" s="73">
        <f t="shared" ca="1" si="15"/>
        <v>211.78376963267999</v>
      </c>
    </row>
    <row r="473" spans="1:9" ht="16.05" customHeight="1" x14ac:dyDescent="0.3">
      <c r="A473" s="66">
        <v>457</v>
      </c>
      <c r="B473" s="67">
        <f ca="1">(C7)+(E7-C7)*IF(RAND()&lt;((D7)-(C7))/((E7)-(C7)),SQRT(RAND()*((D7)-(C7))/((E7)-(C7))),1-SQRT(RAND()*((E7)-(D7))/((E7)-(C7))))</f>
        <v>0.22429651023400937</v>
      </c>
      <c r="C473" s="67">
        <f ca="1">(C8)+(E8-C8)*IF(RAND()&lt;((D8)-(C8))/((E8)-(C8)),SQRT(RAND()*((D8)-(C8))/((E8)-(C8))),1-SQRT(RAND()*((E8)-(D8))/((E8)-(C8))))</f>
        <v>0.6123167979166787</v>
      </c>
      <c r="D473" s="68">
        <f ca="1">(C9)+(E9-C9)*IF(RAND()&lt;((D9)-(C9))/((E9)-(C9)),SQRT(RAND()*((D9)-(C9))/((E9)-(C9))),1-SQRT(RAND()*((E9)-(D9))/((E9)-(C9))))</f>
        <v>1262725.7934616206</v>
      </c>
      <c r="E473" s="68">
        <f ca="1">(C10)+(E10-C10)*IF(RAND()&lt;((D10)-(C10))/((E10)-(C10)),SQRT(RAND()*((D10)-(C10))/((E10)-(C10))),1-SQRT(RAND()*((E10)-(D10))/((E10)-(C10))))</f>
        <v>2386661.4434547182</v>
      </c>
      <c r="F473" s="67">
        <f ca="1">(C11)+(E11-C11)*IF(RAND()&lt;((D11)-(C11))/((E11)-(C11)),SQRT(RAND()*((D11)-(C11))/((E11)-(C11))),1-SQRT(RAND()*((E11)-(D11))/((E11)-(C11))))</f>
        <v>1.5863058662950187E-2</v>
      </c>
      <c r="G473" s="67">
        <f ca="1">(C12)+(E12-C12)*IF(RAND()&lt;((D12)-(C12))/((E12)-(C12)),SQRT(RAND()*((D12)-(C12))/((E12)-(C12))),1-SQRT(RAND()*((E12)-(D12))/((E12)-(C12))))</f>
        <v>0.17070607035797919</v>
      </c>
      <c r="H473" s="68">
        <f t="shared" ca="1" si="14"/>
        <v>253604498.69733077</v>
      </c>
      <c r="I473" s="69">
        <f t="shared" ca="1" si="15"/>
        <v>266.22300782146544</v>
      </c>
    </row>
    <row r="474" spans="1:9" ht="16.05" customHeight="1" x14ac:dyDescent="0.3">
      <c r="A474" s="70">
        <v>458</v>
      </c>
      <c r="B474" s="71">
        <f ca="1">(C7)+(E7-C7)*IF(RAND()&lt;((D7)-(C7))/((E7)-(C7)),SQRT(RAND()*((D7)-(C7))/((E7)-(C7))),1-SQRT(RAND()*((E7)-(D7))/((E7)-(C7))))</f>
        <v>0.25504379785949532</v>
      </c>
      <c r="C474" s="71">
        <f ca="1">(C8)+(E8-C8)*IF(RAND()&lt;((D8)-(C8))/((E8)-(C8)),SQRT(RAND()*((D8)-(C8))/((E8)-(C8))),1-SQRT(RAND()*((E8)-(D8))/((E8)-(C8))))</f>
        <v>0.64218966762913132</v>
      </c>
      <c r="D474" s="72">
        <f ca="1">(C9)+(E9-C9)*IF(RAND()&lt;((D9)-(C9))/((E9)-(C9)),SQRT(RAND()*((D9)-(C9))/((E9)-(C9))),1-SQRT(RAND()*((E9)-(D9))/((E9)-(C9))))</f>
        <v>1245894.7901007598</v>
      </c>
      <c r="E474" s="72">
        <f ca="1">(C10)+(E10-C10)*IF(RAND()&lt;((D10)-(C10))/((E10)-(C10)),SQRT(RAND()*((D10)-(C10))/((E10)-(C10))),1-SQRT(RAND()*((E10)-(D10))/((E10)-(C10))))</f>
        <v>3499094.5041875029</v>
      </c>
      <c r="F474" s="71">
        <f ca="1">(C11)+(E11-C11)*IF(RAND()&lt;((D11)-(C11))/((E11)-(C11)),SQRT(RAND()*((D11)-(C11))/((E11)-(C11))),1-SQRT(RAND()*((E11)-(D11))/((E11)-(C11))))</f>
        <v>1.166604648473084E-2</v>
      </c>
      <c r="G474" s="71">
        <f ca="1">(C12)+(E12-C12)*IF(RAND()&lt;((D12)-(C12))/((E12)-(C12)),SQRT(RAND()*((D12)-(C12))/((E12)-(C12))),1-SQRT(RAND()*((E12)-(D12))/((E12)-(C12))))</f>
        <v>0.17420015468168529</v>
      </c>
      <c r="H474" s="72">
        <f t="shared" ca="1" si="14"/>
        <v>247883782.05558482</v>
      </c>
      <c r="I474" s="73">
        <f t="shared" ca="1" si="15"/>
        <v>263.74530845331583</v>
      </c>
    </row>
    <row r="475" spans="1:9" ht="16.05" customHeight="1" x14ac:dyDescent="0.3">
      <c r="A475" s="66">
        <v>459</v>
      </c>
      <c r="B475" s="67">
        <f ca="1">(C7)+(E7-C7)*IF(RAND()&lt;((D7)-(C7))/((E7)-(C7)),SQRT(RAND()*((D7)-(C7))/((E7)-(C7))),1-SQRT(RAND()*((E7)-(D7))/((E7)-(C7))))</f>
        <v>0.23920454533575256</v>
      </c>
      <c r="C475" s="67">
        <f ca="1">(C8)+(E8-C8)*IF(RAND()&lt;((D8)-(C8))/((E8)-(C8)),SQRT(RAND()*((D8)-(C8))/((E8)-(C8))),1-SQRT(RAND()*((E8)-(D8))/((E8)-(C8))))</f>
        <v>0.71371570422441799</v>
      </c>
      <c r="D475" s="68">
        <f ca="1">(C9)+(E9-C9)*IF(RAND()&lt;((D9)-(C9))/((E9)-(C9)),SQRT(RAND()*((D9)-(C9))/((E9)-(C9))),1-SQRT(RAND()*((E9)-(D9))/((E9)-(C9))))</f>
        <v>1252577.8071983394</v>
      </c>
      <c r="E475" s="68">
        <f ca="1">(C10)+(E10-C10)*IF(RAND()&lt;((D10)-(C10))/((E10)-(C10)),SQRT(RAND()*((D10)-(C10))/((E10)-(C10))),1-SQRT(RAND()*((E10)-(D10))/((E10)-(C10))))</f>
        <v>4145108.3279998992</v>
      </c>
      <c r="F475" s="67">
        <f ca="1">(C11)+(E11-C11)*IF(RAND()&lt;((D11)-(C11))/((E11)-(C11)),SQRT(RAND()*((D11)-(C11))/((E11)-(C11))),1-SQRT(RAND()*((E11)-(D11))/((E11)-(C11))))</f>
        <v>1.8212677701999566E-2</v>
      </c>
      <c r="G475" s="67">
        <f ca="1">(C12)+(E12-C12)*IF(RAND()&lt;((D12)-(C12))/((E12)-(C12)),SQRT(RAND()*((D12)-(C12))/((E12)-(C12))),1-SQRT(RAND()*((E12)-(D12))/((E12)-(C12))))</f>
        <v>0.19447509905870092</v>
      </c>
      <c r="H475" s="68">
        <f t="shared" ca="1" si="14"/>
        <v>300227290.03892457</v>
      </c>
      <c r="I475" s="69">
        <f t="shared" ca="1" si="15"/>
        <v>317.4638301552904</v>
      </c>
    </row>
    <row r="476" spans="1:9" ht="16.05" customHeight="1" x14ac:dyDescent="0.3">
      <c r="A476" s="70">
        <v>460</v>
      </c>
      <c r="B476" s="71">
        <f ca="1">(C7)+(E7-C7)*IF(RAND()&lt;((D7)-(C7))/((E7)-(C7)),SQRT(RAND()*((D7)-(C7))/((E7)-(C7))),1-SQRT(RAND()*((E7)-(D7))/((E7)-(C7))))</f>
        <v>0.30103028258849068</v>
      </c>
      <c r="C476" s="71">
        <f ca="1">(C8)+(E8-C8)*IF(RAND()&lt;((D8)-(C8))/((E8)-(C8)),SQRT(RAND()*((D8)-(C8))/((E8)-(C8))),1-SQRT(RAND()*((E8)-(D8))/((E8)-(C8))))</f>
        <v>0.82851583148628072</v>
      </c>
      <c r="D476" s="72">
        <f ca="1">(C9)+(E9-C9)*IF(RAND()&lt;((D9)-(C9))/((E9)-(C9)),SQRT(RAND()*((D9)-(C9))/((E9)-(C9))),1-SQRT(RAND()*((E9)-(D9))/((E9)-(C9))))</f>
        <v>1321610.9529828797</v>
      </c>
      <c r="E476" s="72">
        <f ca="1">(C10)+(E10-C10)*IF(RAND()&lt;((D10)-(C10))/((E10)-(C10)),SQRT(RAND()*((D10)-(C10))/((E10)-(C10))),1-SQRT(RAND()*((E10)-(D10))/((E10)-(C10))))</f>
        <v>3420470.9102011598</v>
      </c>
      <c r="F476" s="71">
        <f ca="1">(C11)+(E11-C11)*IF(RAND()&lt;((D11)-(C11))/((E11)-(C11)),SQRT(RAND()*((D11)-(C11))/((E11)-(C11))),1-SQRT(RAND()*((E11)-(D11))/((E11)-(C11))))</f>
        <v>2.5303854309735852E-2</v>
      </c>
      <c r="G476" s="71">
        <f ca="1">(C12)+(E12-C12)*IF(RAND()&lt;((D12)-(C12))/((E12)-(C12)),SQRT(RAND()*((D12)-(C12))/((E12)-(C12))),1-SQRT(RAND()*((E12)-(D12))/((E12)-(C12))))</f>
        <v>0.17390696004585221</v>
      </c>
      <c r="H476" s="72">
        <f t="shared" ca="1" si="14"/>
        <v>439691946.85655683</v>
      </c>
      <c r="I476" s="73">
        <f t="shared" ca="1" si="15"/>
        <v>440.13809542024649</v>
      </c>
    </row>
    <row r="477" spans="1:9" ht="16.05" customHeight="1" x14ac:dyDescent="0.3">
      <c r="A477" s="66">
        <v>461</v>
      </c>
      <c r="B477" s="67">
        <f ca="1">(C7)+(E7-C7)*IF(RAND()&lt;((D7)-(C7))/((E7)-(C7)),SQRT(RAND()*((D7)-(C7))/((E7)-(C7))),1-SQRT(RAND()*((E7)-(D7))/((E7)-(C7))))</f>
        <v>0.2169324150895614</v>
      </c>
      <c r="C477" s="67">
        <f ca="1">(C8)+(E8-C8)*IF(RAND()&lt;((D8)-(C8))/((E8)-(C8)),SQRT(RAND()*((D8)-(C8))/((E8)-(C8))),1-SQRT(RAND()*((E8)-(D8))/((E8)-(C8))))</f>
        <v>0.63548612916977298</v>
      </c>
      <c r="D477" s="68">
        <f ca="1">(C9)+(E9-C9)*IF(RAND()&lt;((D9)-(C9))/((E9)-(C9)),SQRT(RAND()*((D9)-(C9))/((E9)-(C9))),1-SQRT(RAND()*((E9)-(D9))/((E9)-(C9))))</f>
        <v>1242978.1819527203</v>
      </c>
      <c r="E477" s="68">
        <f ca="1">(C10)+(E10-C10)*IF(RAND()&lt;((D10)-(C10))/((E10)-(C10)),SQRT(RAND()*((D10)-(C10))/((E10)-(C10))),1-SQRT(RAND()*((E10)-(D10))/((E10)-(C10))))</f>
        <v>3123680.7325049089</v>
      </c>
      <c r="F477" s="67">
        <f ca="1">(C11)+(E11-C11)*IF(RAND()&lt;((D11)-(C11))/((E11)-(C11)),SQRT(RAND()*((D11)-(C11))/((E11)-(C11))),1-SQRT(RAND()*((E11)-(D11))/((E11)-(C11))))</f>
        <v>1.7201658442500413E-2</v>
      </c>
      <c r="G477" s="67">
        <f ca="1">(C12)+(E12-C12)*IF(RAND()&lt;((D12)-(C12))/((E12)-(C12)),SQRT(RAND()*((D12)-(C12))/((E12)-(C12))),1-SQRT(RAND()*((E12)-(D12))/((E12)-(C12))))</f>
        <v>0.16675857831679058</v>
      </c>
      <c r="H477" s="68">
        <f t="shared" ca="1" si="14"/>
        <v>261054413.47900528</v>
      </c>
      <c r="I477" s="69">
        <f t="shared" ca="1" si="15"/>
        <v>278.33711059388997</v>
      </c>
    </row>
    <row r="478" spans="1:9" ht="16.05" customHeight="1" x14ac:dyDescent="0.3">
      <c r="A478" s="70">
        <v>462</v>
      </c>
      <c r="B478" s="71">
        <f ca="1">(C7)+(E7-C7)*IF(RAND()&lt;((D7)-(C7))/((E7)-(C7)),SQRT(RAND()*((D7)-(C7))/((E7)-(C7))),1-SQRT(RAND()*((E7)-(D7))/((E7)-(C7))))</f>
        <v>0.33374305142475252</v>
      </c>
      <c r="C478" s="71">
        <f ca="1">(C8)+(E8-C8)*IF(RAND()&lt;((D8)-(C8))/((E8)-(C8)),SQRT(RAND()*((D8)-(C8))/((E8)-(C8))),1-SQRT(RAND()*((E8)-(D8))/((E8)-(C8))))</f>
        <v>0.63905305667304402</v>
      </c>
      <c r="D478" s="72">
        <f ca="1">(C9)+(E9-C9)*IF(RAND()&lt;((D9)-(C9))/((E9)-(C9)),SQRT(RAND()*((D9)-(C9))/((E9)-(C9))),1-SQRT(RAND()*((E9)-(D9))/((E9)-(C9))))</f>
        <v>1240439.4451094612</v>
      </c>
      <c r="E478" s="72">
        <f ca="1">(C10)+(E10-C10)*IF(RAND()&lt;((D10)-(C10))/((E10)-(C10)),SQRT(RAND()*((D10)-(C10))/((E10)-(C10))),1-SQRT(RAND()*((E10)-(D10))/((E10)-(C10))))</f>
        <v>4139792.1575180287</v>
      </c>
      <c r="F478" s="71">
        <f ca="1">(C11)+(E11-C11)*IF(RAND()&lt;((D11)-(C11))/((E11)-(C11)),SQRT(RAND()*((D11)-(C11))/((E11)-(C11))),1-SQRT(RAND()*((E11)-(D11))/((E11)-(C11))))</f>
        <v>1.0773778197726194E-2</v>
      </c>
      <c r="G478" s="71">
        <f ca="1">(C12)+(E12-C12)*IF(RAND()&lt;((D12)-(C12))/((E12)-(C12)),SQRT(RAND()*((D12)-(C12))/((E12)-(C12))),1-SQRT(RAND()*((E12)-(D12))/((E12)-(C12))))</f>
        <v>0.13763339163349056</v>
      </c>
      <c r="H478" s="72">
        <f t="shared" ca="1" si="14"/>
        <v>292866626.02455562</v>
      </c>
      <c r="I478" s="73">
        <f t="shared" ca="1" si="15"/>
        <v>312.73071515388028</v>
      </c>
    </row>
    <row r="479" spans="1:9" ht="16.05" customHeight="1" x14ac:dyDescent="0.3">
      <c r="A479" s="66">
        <v>463</v>
      </c>
      <c r="B479" s="67">
        <f ca="1">(C7)+(E7-C7)*IF(RAND()&lt;((D7)-(C7))/((E7)-(C7)),SQRT(RAND()*((D7)-(C7))/((E7)-(C7))),1-SQRT(RAND()*((E7)-(D7))/((E7)-(C7))))</f>
        <v>0.27916263688646903</v>
      </c>
      <c r="C479" s="67">
        <f ca="1">(C8)+(E8-C8)*IF(RAND()&lt;((D8)-(C8))/((E8)-(C8)),SQRT(RAND()*((D8)-(C8))/((E8)-(C8))),1-SQRT(RAND()*((E8)-(D8))/((E8)-(C8))))</f>
        <v>0.65812181190196406</v>
      </c>
      <c r="D479" s="68">
        <f ca="1">(C9)+(E9-C9)*IF(RAND()&lt;((D9)-(C9))/((E9)-(C9)),SQRT(RAND()*((D9)-(C9))/((E9)-(C9))),1-SQRT(RAND()*((E9)-(D9))/((E9)-(C9))))</f>
        <v>1205240.1601984769</v>
      </c>
      <c r="E479" s="68">
        <f ca="1">(C10)+(E10-C10)*IF(RAND()&lt;((D10)-(C10))/((E10)-(C10)),SQRT(RAND()*((D10)-(C10))/((E10)-(C10))),1-SQRT(RAND()*((E10)-(D10))/((E10)-(C10))))</f>
        <v>3035332.6253792304</v>
      </c>
      <c r="F479" s="67">
        <f ca="1">(C11)+(E11-C11)*IF(RAND()&lt;((D11)-(C11))/((E11)-(C11)),SQRT(RAND()*((D11)-(C11))/((E11)-(C11))),1-SQRT(RAND()*((E11)-(D11))/((E11)-(C11))))</f>
        <v>8.6621744425253323E-3</v>
      </c>
      <c r="G479" s="67">
        <f ca="1">(C12)+(E12-C12)*IF(RAND()&lt;((D12)-(C12))/((E12)-(C12)),SQRT(RAND()*((D12)-(C12))/((E12)-(C12))),1-SQRT(RAND()*((E12)-(D12))/((E12)-(C12))))</f>
        <v>0.15955653935152439</v>
      </c>
      <c r="H479" s="68">
        <f t="shared" ca="1" si="14"/>
        <v>249691599.98196727</v>
      </c>
      <c r="I479" s="69">
        <f t="shared" ca="1" si="15"/>
        <v>274.5757922552375</v>
      </c>
    </row>
    <row r="480" spans="1:9" ht="16.05" customHeight="1" x14ac:dyDescent="0.3">
      <c r="A480" s="70">
        <v>464</v>
      </c>
      <c r="B480" s="71">
        <f ca="1">(C7)+(E7-C7)*IF(RAND()&lt;((D7)-(C7))/((E7)-(C7)),SQRT(RAND()*((D7)-(C7))/((E7)-(C7))),1-SQRT(RAND()*((E7)-(D7))/((E7)-(C7))))</f>
        <v>0.30046306542497403</v>
      </c>
      <c r="C480" s="71">
        <f ca="1">(C8)+(E8-C8)*IF(RAND()&lt;((D8)-(C8))/((E8)-(C8)),SQRT(RAND()*((D8)-(C8))/((E8)-(C8))),1-SQRT(RAND()*((E8)-(D8))/((E8)-(C8))))</f>
        <v>0.83306505303786493</v>
      </c>
      <c r="D480" s="72">
        <f ca="1">(C9)+(E9-C9)*IF(RAND()&lt;((D9)-(C9))/((E9)-(C9)),SQRT(RAND()*((D9)-(C9))/((E9)-(C9))),1-SQRT(RAND()*((E9)-(D9))/((E9)-(C9))))</f>
        <v>1313947.0867406721</v>
      </c>
      <c r="E480" s="72">
        <f ca="1">(C10)+(E10-C10)*IF(RAND()&lt;((D10)-(C10))/((E10)-(C10)),SQRT(RAND()*((D10)-(C10))/((E10)-(C10))),1-SQRT(RAND()*((E10)-(D10))/((E10)-(C10))))</f>
        <v>3919339.4398880703</v>
      </c>
      <c r="F480" s="71">
        <f ca="1">(C11)+(E11-C11)*IF(RAND()&lt;((D11)-(C11))/((E11)-(C11)),SQRT(RAND()*((D11)-(C11))/((E11)-(C11))),1-SQRT(RAND()*((E11)-(D11))/((E11)-(C11))))</f>
        <v>1.3253296041392569E-2</v>
      </c>
      <c r="G480" s="71">
        <f ca="1">(C12)+(E12-C12)*IF(RAND()&lt;((D12)-(C12))/((E12)-(C12)),SQRT(RAND()*((D12)-(C12))/((E12)-(C12))),1-SQRT(RAND()*((E12)-(D12))/((E12)-(C12))))</f>
        <v>0.14662634118478712</v>
      </c>
      <c r="H480" s="72">
        <f t="shared" ca="1" si="14"/>
        <v>351807512.48364699</v>
      </c>
      <c r="I480" s="73">
        <f t="shared" ca="1" si="15"/>
        <v>354.47603784526234</v>
      </c>
    </row>
    <row r="481" spans="1:9" ht="16.05" customHeight="1" x14ac:dyDescent="0.3">
      <c r="A481" s="66">
        <v>465</v>
      </c>
      <c r="B481" s="67">
        <f ca="1">(C7)+(E7-C7)*IF(RAND()&lt;((D7)-(C7))/((E7)-(C7)),SQRT(RAND()*((D7)-(C7))/((E7)-(C7))),1-SQRT(RAND()*((E7)-(D7))/((E7)-(C7))))</f>
        <v>0.29356883926476329</v>
      </c>
      <c r="C481" s="67">
        <f ca="1">(C8)+(E8-C8)*IF(RAND()&lt;((D8)-(C8))/((E8)-(C8)),SQRT(RAND()*((D8)-(C8))/((E8)-(C8))),1-SQRT(RAND()*((E8)-(D8))/((E8)-(C8))))</f>
        <v>0.62605232834156344</v>
      </c>
      <c r="D481" s="68">
        <f ca="1">(C9)+(E9-C9)*IF(RAND()&lt;((D9)-(C9))/((E9)-(C9)),SQRT(RAND()*((D9)-(C9))/((E9)-(C9))),1-SQRT(RAND()*((E9)-(D9))/((E9)-(C9))))</f>
        <v>1197691.4931473932</v>
      </c>
      <c r="E481" s="68">
        <f ca="1">(C10)+(E10-C10)*IF(RAND()&lt;((D10)-(C10))/((E10)-(C10)),SQRT(RAND()*((D10)-(C10))/((E10)-(C10))),1-SQRT(RAND()*((E10)-(D10))/((E10)-(C10))))</f>
        <v>3030434.3056359035</v>
      </c>
      <c r="F481" s="67">
        <f ca="1">(C11)+(E11-C11)*IF(RAND()&lt;((D11)-(C11))/((E11)-(C11)),SQRT(RAND()*((D11)-(C11))/((E11)-(C11))),1-SQRT(RAND()*((E11)-(D11))/((E11)-(C11))))</f>
        <v>1.4860809215271945E-2</v>
      </c>
      <c r="G481" s="67">
        <f ca="1">(C12)+(E12-C12)*IF(RAND()&lt;((D12)-(C12))/((E12)-(C12)),SQRT(RAND()*((D12)-(C12))/((E12)-(C12))),1-SQRT(RAND()*((E12)-(D12))/((E12)-(C12))))</f>
        <v>0.13532260744835742</v>
      </c>
      <c r="H481" s="68">
        <f t="shared" ca="1" si="14"/>
        <v>294529621.33308411</v>
      </c>
      <c r="I481" s="69">
        <f t="shared" ca="1" si="15"/>
        <v>325.67702355784746</v>
      </c>
    </row>
    <row r="482" spans="1:9" ht="16.05" customHeight="1" x14ac:dyDescent="0.3">
      <c r="A482" s="70">
        <v>466</v>
      </c>
      <c r="B482" s="71">
        <f ca="1">(C7)+(E7-C7)*IF(RAND()&lt;((D7)-(C7))/((E7)-(C7)),SQRT(RAND()*((D7)-(C7))/((E7)-(C7))),1-SQRT(RAND()*((E7)-(D7))/((E7)-(C7))))</f>
        <v>0.27236608217371538</v>
      </c>
      <c r="C482" s="71">
        <f ca="1">(C8)+(E8-C8)*IF(RAND()&lt;((D8)-(C8))/((E8)-(C8)),SQRT(RAND()*((D8)-(C8))/((E8)-(C8))),1-SQRT(RAND()*((E8)-(D8))/((E8)-(C8))))</f>
        <v>0.85708552337499855</v>
      </c>
      <c r="D482" s="72">
        <f ca="1">(C9)+(E9-C9)*IF(RAND()&lt;((D9)-(C9))/((E9)-(C9)),SQRT(RAND()*((D9)-(C9))/((E9)-(C9))),1-SQRT(RAND()*((E9)-(D9))/((E9)-(C9))))</f>
        <v>1157721.8408546497</v>
      </c>
      <c r="E482" s="72">
        <f ca="1">(C10)+(E10-C10)*IF(RAND()&lt;((D10)-(C10))/((E10)-(C10)),SQRT(RAND()*((D10)-(C10))/((E10)-(C10))),1-SQRT(RAND()*((E10)-(D10))/((E10)-(C10))))</f>
        <v>3910351.4243602008</v>
      </c>
      <c r="F482" s="71">
        <f ca="1">(C11)+(E11-C11)*IF(RAND()&lt;((D11)-(C11))/((E11)-(C11)),SQRT(RAND()*((D11)-(C11))/((E11)-(C11))),1-SQRT(RAND()*((E11)-(D11))/((E11)-(C11))))</f>
        <v>1.6735912358694843E-2</v>
      </c>
      <c r="G482" s="71">
        <f ca="1">(C12)+(E12-C12)*IF(RAND()&lt;((D12)-(C12))/((E12)-(C12)),SQRT(RAND()*((D12)-(C12))/((E12)-(C12))),1-SQRT(RAND()*((E12)-(D12))/((E12)-(C12))))</f>
        <v>0.14038625286955797</v>
      </c>
      <c r="H482" s="72">
        <f t="shared" ca="1" si="14"/>
        <v>358786580.53915614</v>
      </c>
      <c r="I482" s="73">
        <f t="shared" ca="1" si="15"/>
        <v>410.08296139672632</v>
      </c>
    </row>
    <row r="483" spans="1:9" ht="16.05" customHeight="1" x14ac:dyDescent="0.3">
      <c r="A483" s="66">
        <v>467</v>
      </c>
      <c r="B483" s="67">
        <f ca="1">(C7)+(E7-C7)*IF(RAND()&lt;((D7)-(C7))/((E7)-(C7)),SQRT(RAND()*((D7)-(C7))/((E7)-(C7))),1-SQRT(RAND()*((E7)-(D7))/((E7)-(C7))))</f>
        <v>0.22524881328753016</v>
      </c>
      <c r="C483" s="67">
        <f ca="1">(C8)+(E8-C8)*IF(RAND()&lt;((D8)-(C8))/((E8)-(C8)),SQRT(RAND()*((D8)-(C8))/((E8)-(C8))),1-SQRT(RAND()*((E8)-(D8))/((E8)-(C8))))</f>
        <v>0.76333869669162679</v>
      </c>
      <c r="D483" s="68">
        <f ca="1">(C9)+(E9-C9)*IF(RAND()&lt;((D9)-(C9))/((E9)-(C9)),SQRT(RAND()*((D9)-(C9))/((E9)-(C9))),1-SQRT(RAND()*((E9)-(D9))/((E9)-(C9))))</f>
        <v>1196989.7999999411</v>
      </c>
      <c r="E483" s="68">
        <f ca="1">(C10)+(E10-C10)*IF(RAND()&lt;((D10)-(C10))/((E10)-(C10)),SQRT(RAND()*((D10)-(C10))/((E10)-(C10))),1-SQRT(RAND()*((E10)-(D10))/((E10)-(C10))))</f>
        <v>3475489.3819075562</v>
      </c>
      <c r="F483" s="67">
        <f ca="1">(C11)+(E11-C11)*IF(RAND()&lt;((D11)-(C11))/((E11)-(C11)),SQRT(RAND()*((D11)-(C11))/((E11)-(C11))),1-SQRT(RAND()*((E11)-(D11))/((E11)-(C11))))</f>
        <v>1.2087905324371703E-2</v>
      </c>
      <c r="G483" s="67">
        <f ca="1">(C12)+(E12-C12)*IF(RAND()&lt;((D12)-(C12))/((E12)-(C12)),SQRT(RAND()*((D12)-(C12))/((E12)-(C12))),1-SQRT(RAND()*((E12)-(D12))/((E12)-(C12))))</f>
        <v>0.19255033183502807</v>
      </c>
      <c r="H483" s="68">
        <f t="shared" ca="1" si="14"/>
        <v>259938893.89255929</v>
      </c>
      <c r="I483" s="69">
        <f t="shared" ca="1" si="15"/>
        <v>287.7509409988711</v>
      </c>
    </row>
    <row r="484" spans="1:9" ht="16.05" customHeight="1" x14ac:dyDescent="0.3">
      <c r="A484" s="70">
        <v>468</v>
      </c>
      <c r="B484" s="71">
        <f ca="1">(C7)+(E7-C7)*IF(RAND()&lt;((D7)-(C7))/((E7)-(C7)),SQRT(RAND()*((D7)-(C7))/((E7)-(C7))),1-SQRT(RAND()*((E7)-(D7))/((E7)-(C7))))</f>
        <v>0.27374197054177707</v>
      </c>
      <c r="C484" s="71">
        <f ca="1">(C8)+(E8-C8)*IF(RAND()&lt;((D8)-(C8))/((E8)-(C8)),SQRT(RAND()*((D8)-(C8))/((E8)-(C8))),1-SQRT(RAND()*((E8)-(D8))/((E8)-(C8))))</f>
        <v>0.70060144456760454</v>
      </c>
      <c r="D484" s="72">
        <f ca="1">(C9)+(E9-C9)*IF(RAND()&lt;((D9)-(C9))/((E9)-(C9)),SQRT(RAND()*((D9)-(C9))/((E9)-(C9))),1-SQRT(RAND()*((E9)-(D9))/((E9)-(C9))))</f>
        <v>1187843.6212390366</v>
      </c>
      <c r="E484" s="72">
        <f ca="1">(C10)+(E10-C10)*IF(RAND()&lt;((D10)-(C10))/((E10)-(C10)),SQRT(RAND()*((D10)-(C10))/((E10)-(C10))),1-SQRT(RAND()*((E10)-(D10))/((E10)-(C10))))</f>
        <v>3987386.6088853907</v>
      </c>
      <c r="F484" s="71">
        <f ca="1">(C11)+(E11-C11)*IF(RAND()&lt;((D11)-(C11))/((E11)-(C11)),SQRT(RAND()*((D11)-(C11))/((E11)-(C11))),1-SQRT(RAND()*((E11)-(D11))/((E11)-(C11))))</f>
        <v>2.3397236140585254E-2</v>
      </c>
      <c r="G484" s="71">
        <f ca="1">(C12)+(E12-C12)*IF(RAND()&lt;((D12)-(C12))/((E12)-(C12)),SQRT(RAND()*((D12)-(C12))/((E12)-(C12))),1-SQRT(RAND()*((E12)-(D12))/((E12)-(C12))))</f>
        <v>0.18884602162246389</v>
      </c>
      <c r="H484" s="72">
        <f t="shared" ca="1" si="14"/>
        <v>361222610.24233031</v>
      </c>
      <c r="I484" s="73">
        <f t="shared" ca="1" si="15"/>
        <v>402.42235187139642</v>
      </c>
    </row>
    <row r="485" spans="1:9" ht="16.05" customHeight="1" x14ac:dyDescent="0.3">
      <c r="A485" s="66">
        <v>469</v>
      </c>
      <c r="B485" s="67">
        <f ca="1">(C7)+(E7-C7)*IF(RAND()&lt;((D7)-(C7))/((E7)-(C7)),SQRT(RAND()*((D7)-(C7))/((E7)-(C7))),1-SQRT(RAND()*((E7)-(D7))/((E7)-(C7))))</f>
        <v>0.29335970580163939</v>
      </c>
      <c r="C485" s="67">
        <f ca="1">(C8)+(E8-C8)*IF(RAND()&lt;((D8)-(C8))/((E8)-(C8)),SQRT(RAND()*((D8)-(C8))/((E8)-(C8))),1-SQRT(RAND()*((E8)-(D8))/((E8)-(C8))))</f>
        <v>0.69609897281138999</v>
      </c>
      <c r="D485" s="68">
        <f ca="1">(C9)+(E9-C9)*IF(RAND()&lt;((D9)-(C9))/((E9)-(C9)),SQRT(RAND()*((D9)-(C9))/((E9)-(C9))),1-SQRT(RAND()*((E9)-(D9))/((E9)-(C9))))</f>
        <v>1237265.6989414217</v>
      </c>
      <c r="E485" s="68">
        <f ca="1">(C10)+(E10-C10)*IF(RAND()&lt;((D10)-(C10))/((E10)-(C10)),SQRT(RAND()*((D10)-(C10))/((E10)-(C10))),1-SQRT(RAND()*((E10)-(D10))/((E10)-(C10))))</f>
        <v>3259760.4830085626</v>
      </c>
      <c r="F485" s="67">
        <f ca="1">(C11)+(E11-C11)*IF(RAND()&lt;((D11)-(C11))/((E11)-(C11)),SQRT(RAND()*((D11)-(C11))/((E11)-(C11))),1-SQRT(RAND()*((E11)-(D11))/((E11)-(C11))))</f>
        <v>1.427608307414633E-2</v>
      </c>
      <c r="G485" s="67">
        <f ca="1">(C12)+(E12-C12)*IF(RAND()&lt;((D12)-(C12))/((E12)-(C12)),SQRT(RAND()*((D12)-(C12))/((E12)-(C12))),1-SQRT(RAND()*((E12)-(D12))/((E12)-(C12))))</f>
        <v>0.1666691803199391</v>
      </c>
      <c r="H485" s="68">
        <f t="shared" ca="1" si="14"/>
        <v>311614177.518085</v>
      </c>
      <c r="I485" s="69">
        <f t="shared" ca="1" si="15"/>
        <v>333.51535831900242</v>
      </c>
    </row>
    <row r="486" spans="1:9" ht="16.05" customHeight="1" x14ac:dyDescent="0.3">
      <c r="A486" s="70">
        <v>470</v>
      </c>
      <c r="B486" s="71">
        <f ca="1">(C7)+(E7-C7)*IF(RAND()&lt;((D7)-(C7))/((E7)-(C7)),SQRT(RAND()*((D7)-(C7))/((E7)-(C7))),1-SQRT(RAND()*((E7)-(D7))/((E7)-(C7))))</f>
        <v>0.3076874479677143</v>
      </c>
      <c r="C486" s="71">
        <f ca="1">(C8)+(E8-C8)*IF(RAND()&lt;((D8)-(C8))/((E8)-(C8)),SQRT(RAND()*((D8)-(C8))/((E8)-(C8))),1-SQRT(RAND()*((E8)-(D8))/((E8)-(C8))))</f>
        <v>0.59813975139824516</v>
      </c>
      <c r="D486" s="72">
        <f ca="1">(C9)+(E9-C9)*IF(RAND()&lt;((D9)-(C9))/((E9)-(C9)),SQRT(RAND()*((D9)-(C9))/((E9)-(C9))),1-SQRT(RAND()*((E9)-(D9))/((E9)-(C9))))</f>
        <v>1180749.0391263554</v>
      </c>
      <c r="E486" s="72">
        <f ca="1">(C10)+(E10-C10)*IF(RAND()&lt;((D10)-(C10))/((E10)-(C10)),SQRT(RAND()*((D10)-(C10))/((E10)-(C10))),1-SQRT(RAND()*((E10)-(D10))/((E10)-(C10))))</f>
        <v>2693045.4302629032</v>
      </c>
      <c r="F486" s="71">
        <f ca="1">(C11)+(E11-C11)*IF(RAND()&lt;((D11)-(C11))/((E11)-(C11)),SQRT(RAND()*((D11)-(C11))/((E11)-(C11))),1-SQRT(RAND()*((E11)-(D11))/((E11)-(C11))))</f>
        <v>6.972190687821133E-3</v>
      </c>
      <c r="G486" s="71">
        <f ca="1">(C12)+(E12-C12)*IF(RAND()&lt;((D12)-(C12))/((E12)-(C12)),SQRT(RAND()*((D12)-(C12))/((E12)-(C12))),1-SQRT(RAND()*((E12)-(D12))/((E12)-(C12))))</f>
        <v>0.13917398594556998</v>
      </c>
      <c r="H486" s="72">
        <f t="shared" ca="1" si="14"/>
        <v>239160865.75493431</v>
      </c>
      <c r="I486" s="73">
        <f t="shared" ca="1" si="15"/>
        <v>268.48005127205312</v>
      </c>
    </row>
    <row r="487" spans="1:9" ht="16.05" customHeight="1" x14ac:dyDescent="0.3">
      <c r="A487" s="66">
        <v>471</v>
      </c>
      <c r="B487" s="67">
        <f ca="1">(C7)+(E7-C7)*IF(RAND()&lt;((D7)-(C7))/((E7)-(C7)),SQRT(RAND()*((D7)-(C7))/((E7)-(C7))),1-SQRT(RAND()*((E7)-(D7))/((E7)-(C7))))</f>
        <v>0.21428068963571922</v>
      </c>
      <c r="C487" s="67">
        <f ca="1">(C8)+(E8-C8)*IF(RAND()&lt;((D8)-(C8))/((E8)-(C8)),SQRT(RAND()*((D8)-(C8))/((E8)-(C8))),1-SQRT(RAND()*((E8)-(D8))/((E8)-(C8))))</f>
        <v>0.71897338292940349</v>
      </c>
      <c r="D487" s="68">
        <f ca="1">(C9)+(E9-C9)*IF(RAND()&lt;((D9)-(C9))/((E9)-(C9)),SQRT(RAND()*((D9)-(C9))/((E9)-(C9))),1-SQRT(RAND()*((E9)-(D9))/((E9)-(C9))))</f>
        <v>1176149.58895593</v>
      </c>
      <c r="E487" s="68">
        <f ca="1">(C10)+(E10-C10)*IF(RAND()&lt;((D10)-(C10))/((E10)-(C10)),SQRT(RAND()*((D10)-(C10))/((E10)-(C10))),1-SQRT(RAND()*((E10)-(D10))/((E10)-(C10))))</f>
        <v>3801070.6907336884</v>
      </c>
      <c r="F487" s="67">
        <f ca="1">(C11)+(E11-C11)*IF(RAND()&lt;((D11)-(C11))/((E11)-(C11)),SQRT(RAND()*((D11)-(C11))/((E11)-(C11))),1-SQRT(RAND()*((E11)-(D11))/((E11)-(C11))))</f>
        <v>1.1761068448448415E-2</v>
      </c>
      <c r="G487" s="67">
        <f ca="1">(C12)+(E12-C12)*IF(RAND()&lt;((D12)-(C12))/((E12)-(C12)),SQRT(RAND()*((D12)-(C12))/((E12)-(C12))),1-SQRT(RAND()*((E12)-(D12))/((E12)-(C12))))</f>
        <v>0.15826728156581113</v>
      </c>
      <c r="H487" s="68">
        <f t="shared" ca="1" si="14"/>
        <v>236914940.90528241</v>
      </c>
      <c r="I487" s="69">
        <f t="shared" ca="1" si="15"/>
        <v>267.00612941508746</v>
      </c>
    </row>
    <row r="488" spans="1:9" ht="16.05" customHeight="1" x14ac:dyDescent="0.3">
      <c r="A488" s="70">
        <v>472</v>
      </c>
      <c r="B488" s="71">
        <f ca="1">(C7)+(E7-C7)*IF(RAND()&lt;((D7)-(C7))/((E7)-(C7)),SQRT(RAND()*((D7)-(C7))/((E7)-(C7))),1-SQRT(RAND()*((E7)-(D7))/((E7)-(C7))))</f>
        <v>0.28889159670635245</v>
      </c>
      <c r="C488" s="71">
        <f ca="1">(C8)+(E8-C8)*IF(RAND()&lt;((D8)-(C8))/((E8)-(C8)),SQRT(RAND()*((D8)-(C8))/((E8)-(C8))),1-SQRT(RAND()*((E8)-(D8))/((E8)-(C8))))</f>
        <v>0.60795223656015651</v>
      </c>
      <c r="D488" s="72">
        <f ca="1">(C9)+(E9-C9)*IF(RAND()&lt;((D9)-(C9))/((E9)-(C9)),SQRT(RAND()*((D9)-(C9))/((E9)-(C9))),1-SQRT(RAND()*((E9)-(D9))/((E9)-(C9))))</f>
        <v>1151787.8628661972</v>
      </c>
      <c r="E488" s="72">
        <f ca="1">(C10)+(E10-C10)*IF(RAND()&lt;((D10)-(C10))/((E10)-(C10)),SQRT(RAND()*((D10)-(C10))/((E10)-(C10))),1-SQRT(RAND()*((E10)-(D10))/((E10)-(C10))))</f>
        <v>3154176.9729533768</v>
      </c>
      <c r="F488" s="71">
        <f ca="1">(C11)+(E11-C11)*IF(RAND()&lt;((D11)-(C11))/((E11)-(C11)),SQRT(RAND()*((D11)-(C11))/((E11)-(C11))),1-SQRT(RAND()*((E11)-(D11))/((E11)-(C11))))</f>
        <v>6.8451284019523427E-3</v>
      </c>
      <c r="G488" s="71">
        <f ca="1">(C12)+(E12-C12)*IF(RAND()&lt;((D12)-(C12))/((E12)-(C12)),SQRT(RAND()*((D12)-(C12))/((E12)-(C12))),1-SQRT(RAND()*((E12)-(D12))/((E12)-(C12))))</f>
        <v>0.16944090989315602</v>
      </c>
      <c r="H488" s="72">
        <f t="shared" ca="1" si="14"/>
        <v>227377367.24743333</v>
      </c>
      <c r="I488" s="73">
        <f t="shared" ca="1" si="15"/>
        <v>261.70364070441644</v>
      </c>
    </row>
    <row r="489" spans="1:9" ht="16.05" customHeight="1" x14ac:dyDescent="0.3">
      <c r="A489" s="66">
        <v>473</v>
      </c>
      <c r="B489" s="67">
        <f ca="1">(C7)+(E7-C7)*IF(RAND()&lt;((D7)-(C7))/((E7)-(C7)),SQRT(RAND()*((D7)-(C7))/((E7)-(C7))),1-SQRT(RAND()*((E7)-(D7))/((E7)-(C7))))</f>
        <v>0.30326612083202703</v>
      </c>
      <c r="C489" s="67">
        <f ca="1">(C8)+(E8-C8)*IF(RAND()&lt;((D8)-(C8))/((E8)-(C8)),SQRT(RAND()*((D8)-(C8))/((E8)-(C8))),1-SQRT(RAND()*((E8)-(D8))/((E8)-(C8))))</f>
        <v>0.76034837811268918</v>
      </c>
      <c r="D489" s="68">
        <f ca="1">(C9)+(E9-C9)*IF(RAND()&lt;((D9)-(C9))/((E9)-(C9)),SQRT(RAND()*((D9)-(C9))/((E9)-(C9))),1-SQRT(RAND()*((E9)-(D9))/((E9)-(C9))))</f>
        <v>1113263.3356663673</v>
      </c>
      <c r="E489" s="68">
        <f ca="1">(C10)+(E10-C10)*IF(RAND()&lt;((D10)-(C10))/((E10)-(C10)),SQRT(RAND()*((D10)-(C10))/((E10)-(C10))),1-SQRT(RAND()*((E10)-(D10))/((E10)-(C10))))</f>
        <v>3197833.1927106706</v>
      </c>
      <c r="F489" s="67">
        <f ca="1">(C11)+(E11-C11)*IF(RAND()&lt;((D11)-(C11))/((E11)-(C11)),SQRT(RAND()*((D11)-(C11))/((E11)-(C11))),1-SQRT(RAND()*((E11)-(D11))/((E11)-(C11))))</f>
        <v>1.5260761061208512E-2</v>
      </c>
      <c r="G489" s="67">
        <f ca="1">(C12)+(E12-C12)*IF(RAND()&lt;((D12)-(C12))/((E12)-(C12)),SQRT(RAND()*((D12)-(C12))/((E12)-(C12))),1-SQRT(RAND()*((E12)-(D12))/((E12)-(C12))))</f>
        <v>0.14985688416871831</v>
      </c>
      <c r="H489" s="68">
        <f t="shared" ca="1" si="14"/>
        <v>347780834.45272398</v>
      </c>
      <c r="I489" s="69">
        <f t="shared" ca="1" si="15"/>
        <v>413.36753449102827</v>
      </c>
    </row>
    <row r="490" spans="1:9" ht="16.05" customHeight="1" x14ac:dyDescent="0.3">
      <c r="A490" s="70">
        <v>474</v>
      </c>
      <c r="B490" s="71">
        <f ca="1">(C7)+(E7-C7)*IF(RAND()&lt;((D7)-(C7))/((E7)-(C7)),SQRT(RAND()*((D7)-(C7))/((E7)-(C7))),1-SQRT(RAND()*((E7)-(D7))/((E7)-(C7))))</f>
        <v>0.19241300630055802</v>
      </c>
      <c r="C490" s="71">
        <f ca="1">(C8)+(E8-C8)*IF(RAND()&lt;((D8)-(C8))/((E8)-(C8)),SQRT(RAND()*((D8)-(C8))/((E8)-(C8))),1-SQRT(RAND()*((E8)-(D8))/((E8)-(C8))))</f>
        <v>0.59955826997105688</v>
      </c>
      <c r="D490" s="72">
        <f ca="1">(C9)+(E9-C9)*IF(RAND()&lt;((D9)-(C9))/((E9)-(C9)),SQRT(RAND()*((D9)-(C9))/((E9)-(C9))),1-SQRT(RAND()*((E9)-(D9))/((E9)-(C9))))</f>
        <v>1281728.4172045302</v>
      </c>
      <c r="E490" s="72">
        <f ca="1">(C10)+(E10-C10)*IF(RAND()&lt;((D10)-(C10))/((E10)-(C10)),SQRT(RAND()*((D10)-(C10))/((E10)-(C10))),1-SQRT(RAND()*((E10)-(D10))/((E10)-(C10))))</f>
        <v>4968368.7985066343</v>
      </c>
      <c r="F490" s="71">
        <f ca="1">(C11)+(E11-C11)*IF(RAND()&lt;((D11)-(C11))/((E11)-(C11)),SQRT(RAND()*((D11)-(C11))/((E11)-(C11))),1-SQRT(RAND()*((E11)-(D11))/((E11)-(C11))))</f>
        <v>1.2827565966709477E-2</v>
      </c>
      <c r="G490" s="71">
        <f ca="1">(C12)+(E12-C12)*IF(RAND()&lt;((D12)-(C12))/((E12)-(C12)),SQRT(RAND()*((D12)-(C12))/((E12)-(C12))),1-SQRT(RAND()*((E12)-(D12))/((E12)-(C12))))</f>
        <v>0.15613632477962475</v>
      </c>
      <c r="H490" s="72">
        <f t="shared" ca="1" si="14"/>
        <v>197978866.78517267</v>
      </c>
      <c r="I490" s="73">
        <f t="shared" ca="1" si="15"/>
        <v>205.052967268575</v>
      </c>
    </row>
    <row r="491" spans="1:9" ht="16.05" customHeight="1" x14ac:dyDescent="0.3">
      <c r="A491" s="66">
        <v>475</v>
      </c>
      <c r="B491" s="67">
        <f ca="1">(C7)+(E7-C7)*IF(RAND()&lt;((D7)-(C7))/((E7)-(C7)),SQRT(RAND()*((D7)-(C7))/((E7)-(C7))),1-SQRT(RAND()*((E7)-(D7))/((E7)-(C7))))</f>
        <v>0.34317618228003299</v>
      </c>
      <c r="C491" s="67">
        <f ca="1">(C8)+(E8-C8)*IF(RAND()&lt;((D8)-(C8))/((E8)-(C8)),SQRT(RAND()*((D8)-(C8))/((E8)-(C8))),1-SQRT(RAND()*((E8)-(D8))/((E8)-(C8))))</f>
        <v>0.84232775707182173</v>
      </c>
      <c r="D491" s="68">
        <f ca="1">(C9)+(E9-C9)*IF(RAND()&lt;((D9)-(C9))/((E9)-(C9)),SQRT(RAND()*((D9)-(C9))/((E9)-(C9))),1-SQRT(RAND()*((E9)-(D9))/((E9)-(C9))))</f>
        <v>1322096.9873756117</v>
      </c>
      <c r="E491" s="68">
        <f ca="1">(C10)+(E10-C10)*IF(RAND()&lt;((D10)-(C10))/((E10)-(C10)),SQRT(RAND()*((D10)-(C10))/((E10)-(C10))),1-SQRT(RAND()*((E10)-(D10))/((E10)-(C10))))</f>
        <v>2393500.4761208096</v>
      </c>
      <c r="F491" s="67">
        <f ca="1">(C11)+(E11-C11)*IF(RAND()&lt;((D11)-(C11))/((E11)-(C11)),SQRT(RAND()*((D11)-(C11))/((E11)-(C11))),1-SQRT(RAND()*((E11)-(D11))/((E11)-(C11))))</f>
        <v>7.9470844875121401E-3</v>
      </c>
      <c r="G491" s="67">
        <f ca="1">(C12)+(E12-C12)*IF(RAND()&lt;((D12)-(C12))/((E12)-(C12)),SQRT(RAND()*((D12)-(C12))/((E12)-(C12))),1-SQRT(RAND()*((E12)-(D12))/((E12)-(C12))))</f>
        <v>0.20029898136949542</v>
      </c>
      <c r="H491" s="68">
        <f t="shared" ca="1" si="14"/>
        <v>361455919.53956056</v>
      </c>
      <c r="I491" s="69">
        <f t="shared" ca="1" si="15"/>
        <v>361.92475953479948</v>
      </c>
    </row>
    <row r="492" spans="1:9" ht="16.05" customHeight="1" x14ac:dyDescent="0.3">
      <c r="A492" s="70">
        <v>476</v>
      </c>
      <c r="B492" s="71">
        <f ca="1">(C7)+(E7-C7)*IF(RAND()&lt;((D7)-(C7))/((E7)-(C7)),SQRT(RAND()*((D7)-(C7))/((E7)-(C7))),1-SQRT(RAND()*((E7)-(D7))/((E7)-(C7))))</f>
        <v>0.30171393263152591</v>
      </c>
      <c r="C492" s="71">
        <f ca="1">(C8)+(E8-C8)*IF(RAND()&lt;((D8)-(C8))/((E8)-(C8)),SQRT(RAND()*((D8)-(C8))/((E8)-(C8))),1-SQRT(RAND()*((E8)-(D8))/((E8)-(C8))))</f>
        <v>0.74372298619535193</v>
      </c>
      <c r="D492" s="72">
        <f ca="1">(C9)+(E9-C9)*IF(RAND()&lt;((D9)-(C9))/((E9)-(C9)),SQRT(RAND()*((D9)-(C9))/((E9)-(C9))),1-SQRT(RAND()*((E9)-(D9))/((E9)-(C9))))</f>
        <v>1197482.7135601016</v>
      </c>
      <c r="E492" s="72">
        <f ca="1">(C10)+(E10-C10)*IF(RAND()&lt;((D10)-(C10))/((E10)-(C10)),SQRT(RAND()*((D10)-(C10))/((E10)-(C10))),1-SQRT(RAND()*((E10)-(D10))/((E10)-(C10))))</f>
        <v>4048931.5268081385</v>
      </c>
      <c r="F492" s="71">
        <f ca="1">(C11)+(E11-C11)*IF(RAND()&lt;((D11)-(C11))/((E11)-(C11)),SQRT(RAND()*((D11)-(C11))/((E11)-(C11))),1-SQRT(RAND()*((E11)-(D11))/((E11)-(C11))))</f>
        <v>2.5555450933384873E-2</v>
      </c>
      <c r="G492" s="71">
        <f ca="1">(C12)+(E12-C12)*IF(RAND()&lt;((D12)-(C12))/((E12)-(C12)),SQRT(RAND()*((D12)-(C12))/((E12)-(C12))),1-SQRT(RAND()*((E12)-(D12))/((E12)-(C12))))</f>
        <v>0.17010227494676763</v>
      </c>
      <c r="H492" s="72">
        <f t="shared" ca="1" si="14"/>
        <v>412032515.45620102</v>
      </c>
      <c r="I492" s="73">
        <f t="shared" ca="1" si="15"/>
        <v>455.15910698166834</v>
      </c>
    </row>
    <row r="493" spans="1:9" ht="16.05" customHeight="1" x14ac:dyDescent="0.3">
      <c r="A493" s="66">
        <v>477</v>
      </c>
      <c r="B493" s="67">
        <f ca="1">(C7)+(E7-C7)*IF(RAND()&lt;((D7)-(C7))/((E7)-(C7)),SQRT(RAND()*((D7)-(C7))/((E7)-(C7))),1-SQRT(RAND()*((E7)-(D7))/((E7)-(C7))))</f>
        <v>0.20872269096158855</v>
      </c>
      <c r="C493" s="67">
        <f ca="1">(C8)+(E8-C8)*IF(RAND()&lt;((D8)-(C8))/((E8)-(C8)),SQRT(RAND()*((D8)-(C8))/((E8)-(C8))),1-SQRT(RAND()*((E8)-(D8))/((E8)-(C8))))</f>
        <v>0.70244014543278799</v>
      </c>
      <c r="D493" s="68">
        <f ca="1">(C9)+(E9-C9)*IF(RAND()&lt;((D9)-(C9))/((E9)-(C9)),SQRT(RAND()*((D9)-(C9))/((E9)-(C9))),1-SQRT(RAND()*((E9)-(D9))/((E9)-(C9))))</f>
        <v>1219345.319810597</v>
      </c>
      <c r="E493" s="68">
        <f ca="1">(C10)+(E10-C10)*IF(RAND()&lt;((D10)-(C10))/((E10)-(C10)),SQRT(RAND()*((D10)-(C10))/((E10)-(C10))),1-SQRT(RAND()*((E10)-(D10))/((E10)-(C10))))</f>
        <v>3378089.504131245</v>
      </c>
      <c r="F493" s="67">
        <f ca="1">(C11)+(E11-C11)*IF(RAND()&lt;((D11)-(C11))/((E11)-(C11)),SQRT(RAND()*((D11)-(C11))/((E11)-(C11))),1-SQRT(RAND()*((E11)-(D11))/((E11)-(C11))))</f>
        <v>1.5758898402895183E-2</v>
      </c>
      <c r="G493" s="67">
        <f ca="1">(C12)+(E12-C12)*IF(RAND()&lt;((D12)-(C12))/((E12)-(C12)),SQRT(RAND()*((D12)-(C12))/((E12)-(C12))),1-SQRT(RAND()*((E12)-(D12))/((E12)-(C12))))</f>
        <v>0.18770816300832779</v>
      </c>
      <c r="H493" s="68">
        <f t="shared" ca="1" si="14"/>
        <v>259228231.7386272</v>
      </c>
      <c r="I493" s="69">
        <f t="shared" ca="1" si="15"/>
        <v>281.73075170282073</v>
      </c>
    </row>
    <row r="494" spans="1:9" ht="16.05" customHeight="1" x14ac:dyDescent="0.3">
      <c r="A494" s="70">
        <v>478</v>
      </c>
      <c r="B494" s="71">
        <f ca="1">(C7)+(E7-C7)*IF(RAND()&lt;((D7)-(C7))/((E7)-(C7)),SQRT(RAND()*((D7)-(C7))/((E7)-(C7))),1-SQRT(RAND()*((E7)-(D7))/((E7)-(C7))))</f>
        <v>0.30551891960809408</v>
      </c>
      <c r="C494" s="71">
        <f ca="1">(C8)+(E8-C8)*IF(RAND()&lt;((D8)-(C8))/((E8)-(C8)),SQRT(RAND()*((D8)-(C8))/((E8)-(C8))),1-SQRT(RAND()*((E8)-(D8))/((E8)-(C8))))</f>
        <v>0.65106303800295373</v>
      </c>
      <c r="D494" s="72">
        <f ca="1">(C9)+(E9-C9)*IF(RAND()&lt;((D9)-(C9))/((E9)-(C9)),SQRT(RAND()*((D9)-(C9))/((E9)-(C9))),1-SQRT(RAND()*((E9)-(D9))/((E9)-(C9))))</f>
        <v>1185377.8508506569</v>
      </c>
      <c r="E494" s="72">
        <f ca="1">(C10)+(E10-C10)*IF(RAND()&lt;((D10)-(C10))/((E10)-(C10)),SQRT(RAND()*((D10)-(C10))/((E10)-(C10))),1-SQRT(RAND()*((E10)-(D10))/((E10)-(C10))))</f>
        <v>3417664.0391038074</v>
      </c>
      <c r="F494" s="71">
        <f ca="1">(C11)+(E11-C11)*IF(RAND()&lt;((D11)-(C11))/((E11)-(C11)),SQRT(RAND()*((D11)-(C11))/((E11)-(C11))),1-SQRT(RAND()*((E11)-(D11))/((E11)-(C11))))</f>
        <v>7.354911896345134E-3</v>
      </c>
      <c r="G494" s="71">
        <f ca="1">(C12)+(E12-C12)*IF(RAND()&lt;((D12)-(C12))/((E12)-(C12)),SQRT(RAND()*((D12)-(C12))/((E12)-(C12))),1-SQRT(RAND()*((E12)-(D12))/((E12)-(C12))))</f>
        <v>0.19854529387185949</v>
      </c>
      <c r="H494" s="72">
        <f t="shared" ca="1" si="14"/>
        <v>255351772.58101434</v>
      </c>
      <c r="I494" s="73">
        <f t="shared" ca="1" si="15"/>
        <v>285.45266796416064</v>
      </c>
    </row>
    <row r="495" spans="1:9" ht="16.05" customHeight="1" x14ac:dyDescent="0.3">
      <c r="A495" s="66">
        <v>479</v>
      </c>
      <c r="B495" s="67">
        <f ca="1">(C7)+(E7-C7)*IF(RAND()&lt;((D7)-(C7))/((E7)-(C7)),SQRT(RAND()*((D7)-(C7))/((E7)-(C7))),1-SQRT(RAND()*((E7)-(D7))/((E7)-(C7))))</f>
        <v>0.3311762157848761</v>
      </c>
      <c r="C495" s="67">
        <f ca="1">(C8)+(E8-C8)*IF(RAND()&lt;((D8)-(C8))/((E8)-(C8)),SQRT(RAND()*((D8)-(C8))/((E8)-(C8))),1-SQRT(RAND()*((E8)-(D8))/((E8)-(C8))))</f>
        <v>0.73690680402247977</v>
      </c>
      <c r="D495" s="68">
        <f ca="1">(C9)+(E9-C9)*IF(RAND()&lt;((D9)-(C9))/((E9)-(C9)),SQRT(RAND()*((D9)-(C9))/((E9)-(C9))),1-SQRT(RAND()*((E9)-(D9))/((E9)-(C9))))</f>
        <v>1277428.2970278128</v>
      </c>
      <c r="E495" s="68">
        <f ca="1">(C10)+(E10-C10)*IF(RAND()&lt;((D10)-(C10))/((E10)-(C10)),SQRT(RAND()*((D10)-(C10))/((E10)-(C10))),1-SQRT(RAND()*((E10)-(D10))/((E10)-(C10))))</f>
        <v>2999653.8893571557</v>
      </c>
      <c r="F495" s="67">
        <f ca="1">(C11)+(E11-C11)*IF(RAND()&lt;((D11)-(C11))/((E11)-(C11)),SQRT(RAND()*((D11)-(C11))/((E11)-(C11))),1-SQRT(RAND()*((E11)-(D11))/((E11)-(C11))))</f>
        <v>1.2271983532216278E-2</v>
      </c>
      <c r="G495" s="67">
        <f ca="1">(C12)+(E12-C12)*IF(RAND()&lt;((D12)-(C12))/((E12)-(C12)),SQRT(RAND()*((D12)-(C12))/((E12)-(C12))),1-SQRT(RAND()*((E12)-(D12))/((E12)-(C12))))</f>
        <v>0.1666800567789461</v>
      </c>
      <c r="H495" s="68">
        <f t="shared" ca="1" si="14"/>
        <v>341437772.84382164</v>
      </c>
      <c r="I495" s="69">
        <f t="shared" ca="1" si="15"/>
        <v>353.86489754990959</v>
      </c>
    </row>
    <row r="496" spans="1:9" ht="16.05" customHeight="1" x14ac:dyDescent="0.3">
      <c r="A496" s="70">
        <v>480</v>
      </c>
      <c r="B496" s="71">
        <f ca="1">(C7)+(E7-C7)*IF(RAND()&lt;((D7)-(C7))/((E7)-(C7)),SQRT(RAND()*((D7)-(C7))/((E7)-(C7))),1-SQRT(RAND()*((E7)-(D7))/((E7)-(C7))))</f>
        <v>0.26240235831443953</v>
      </c>
      <c r="C496" s="71">
        <f ca="1">(C8)+(E8-C8)*IF(RAND()&lt;((D8)-(C8))/((E8)-(C8)),SQRT(RAND()*((D8)-(C8))/((E8)-(C8))),1-SQRT(RAND()*((E8)-(D8))/((E8)-(C8))))</f>
        <v>0.69476842920343496</v>
      </c>
      <c r="D496" s="72">
        <f ca="1">(C9)+(E9-C9)*IF(RAND()&lt;((D9)-(C9))/((E9)-(C9)),SQRT(RAND()*((D9)-(C9))/((E9)-(C9))),1-SQRT(RAND()*((E9)-(D9))/((E9)-(C9))))</f>
        <v>1187437.133941293</v>
      </c>
      <c r="E496" s="72">
        <f ca="1">(C10)+(E10-C10)*IF(RAND()&lt;((D10)-(C10))/((E10)-(C10)),SQRT(RAND()*((D10)-(C10))/((E10)-(C10))),1-SQRT(RAND()*((E10)-(D10))/((E10)-(C10))))</f>
        <v>3362666.3124752403</v>
      </c>
      <c r="F496" s="71">
        <f ca="1">(C11)+(E11-C11)*IF(RAND()&lt;((D11)-(C11))/((E11)-(C11)),SQRT(RAND()*((D11)-(C11))/((E11)-(C11))),1-SQRT(RAND()*((E11)-(D11))/((E11)-(C11))))</f>
        <v>1.6166893955579738E-2</v>
      </c>
      <c r="G496" s="71">
        <f ca="1">(C12)+(E12-C12)*IF(RAND()&lt;((D12)-(C12))/((E12)-(C12)),SQRT(RAND()*((D12)-(C12))/((E12)-(C12))),1-SQRT(RAND()*((E12)-(D12))/((E12)-(C12))))</f>
        <v>0.13044369298065409</v>
      </c>
      <c r="H496" s="72">
        <f t="shared" ca="1" si="14"/>
        <v>301096521.24337029</v>
      </c>
      <c r="I496" s="73">
        <f t="shared" ca="1" si="15"/>
        <v>335.77249870872259</v>
      </c>
    </row>
    <row r="497" spans="1:9" ht="16.05" customHeight="1" x14ac:dyDescent="0.3">
      <c r="A497" s="66">
        <v>481</v>
      </c>
      <c r="B497" s="67">
        <f ca="1">(C7)+(E7-C7)*IF(RAND()&lt;((D7)-(C7))/((E7)-(C7)),SQRT(RAND()*((D7)-(C7))/((E7)-(C7))),1-SQRT(RAND()*((E7)-(D7))/((E7)-(C7))))</f>
        <v>0.19737545901093234</v>
      </c>
      <c r="C497" s="67">
        <f ca="1">(C8)+(E8-C8)*IF(RAND()&lt;((D8)-(C8))/((E8)-(C8)),SQRT(RAND()*((D8)-(C8))/((E8)-(C8))),1-SQRT(RAND()*((E8)-(D8))/((E8)-(C8))))</f>
        <v>0.72810244563588056</v>
      </c>
      <c r="D497" s="68">
        <f ca="1">(C9)+(E9-C9)*IF(RAND()&lt;((D9)-(C9))/((E9)-(C9)),SQRT(RAND()*((D9)-(C9))/((E9)-(C9))),1-SQRT(RAND()*((E9)-(D9))/((E9)-(C9))))</f>
        <v>1148575.5445473348</v>
      </c>
      <c r="E497" s="68">
        <f ca="1">(C10)+(E10-C10)*IF(RAND()&lt;((D10)-(C10))/((E10)-(C10)),SQRT(RAND()*((D10)-(C10))/((E10)-(C10))),1-SQRT(RAND()*((E10)-(D10))/((E10)-(C10))))</f>
        <v>3982189.270711191</v>
      </c>
      <c r="F497" s="67">
        <f ca="1">(C11)+(E11-C11)*IF(RAND()&lt;((D11)-(C11))/((E11)-(C11)),SQRT(RAND()*((D11)-(C11))/((E11)-(C11))),1-SQRT(RAND()*((E11)-(D11))/((E11)-(C11))))</f>
        <v>5.8798563633411117E-3</v>
      </c>
      <c r="G497" s="67">
        <f ca="1">(C12)+(E12-C12)*IF(RAND()&lt;((D12)-(C12))/((E12)-(C12)),SQRT(RAND()*((D12)-(C12))/((E12)-(C12))),1-SQRT(RAND()*((E12)-(D12))/((E12)-(C12))))</f>
        <v>0.13076952279002446</v>
      </c>
      <c r="H497" s="68">
        <f t="shared" ca="1" si="14"/>
        <v>182544230.07294327</v>
      </c>
      <c r="I497" s="69">
        <f t="shared" ca="1" si="15"/>
        <v>210.9469402864159</v>
      </c>
    </row>
    <row r="498" spans="1:9" ht="16.05" customHeight="1" x14ac:dyDescent="0.3">
      <c r="A498" s="70">
        <v>482</v>
      </c>
      <c r="B498" s="71">
        <f ca="1">(C7)+(E7-C7)*IF(RAND()&lt;((D7)-(C7))/((E7)-(C7)),SQRT(RAND()*((D7)-(C7))/((E7)-(C7))),1-SQRT(RAND()*((E7)-(D7))/((E7)-(C7))))</f>
        <v>0.28382670128460763</v>
      </c>
      <c r="C498" s="71">
        <f ca="1">(C8)+(E8-C8)*IF(RAND()&lt;((D8)-(C8))/((E8)-(C8)),SQRT(RAND()*((D8)-(C8))/((E8)-(C8))),1-SQRT(RAND()*((E8)-(D8))/((E8)-(C8))))</f>
        <v>0.75124415549286827</v>
      </c>
      <c r="D498" s="72">
        <f ca="1">(C9)+(E9-C9)*IF(RAND()&lt;((D9)-(C9))/((E9)-(C9)),SQRT(RAND()*((D9)-(C9))/((E9)-(C9))),1-SQRT(RAND()*((E9)-(D9))/((E9)-(C9))))</f>
        <v>1347801.2873924144</v>
      </c>
      <c r="E498" s="72">
        <f ca="1">(C10)+(E10-C10)*IF(RAND()&lt;((D10)-(C10))/((E10)-(C10)),SQRT(RAND()*((D10)-(C10))/((E10)-(C10))),1-SQRT(RAND()*((E10)-(D10))/((E10)-(C10))))</f>
        <v>2856511.140017001</v>
      </c>
      <c r="F498" s="71">
        <f ca="1">(C11)+(E11-C11)*IF(RAND()&lt;((D11)-(C11))/((E11)-(C11)),SQRT(RAND()*((D11)-(C11))/((E11)-(C11))),1-SQRT(RAND()*((E11)-(D11))/((E11)-(C11))))</f>
        <v>1.230898534259533E-2</v>
      </c>
      <c r="G498" s="71">
        <f ca="1">(C12)+(E12-C12)*IF(RAND()&lt;((D12)-(C12))/((E12)-(C12)),SQRT(RAND()*((D12)-(C12))/((E12)-(C12))),1-SQRT(RAND()*((E12)-(D12))/((E12)-(C12))))</f>
        <v>0.16366556351292089</v>
      </c>
      <c r="H498" s="72">
        <f t="shared" ca="1" si="14"/>
        <v>308643184.61253989</v>
      </c>
      <c r="I498" s="73">
        <f t="shared" ca="1" si="15"/>
        <v>303.36386348053941</v>
      </c>
    </row>
    <row r="499" spans="1:9" ht="16.05" customHeight="1" x14ac:dyDescent="0.3">
      <c r="A499" s="66">
        <v>483</v>
      </c>
      <c r="B499" s="67">
        <f ca="1">(C7)+(E7-C7)*IF(RAND()&lt;((D7)-(C7))/((E7)-(C7)),SQRT(RAND()*((D7)-(C7))/((E7)-(C7))),1-SQRT(RAND()*((E7)-(D7))/((E7)-(C7))))</f>
        <v>0.35458881533846831</v>
      </c>
      <c r="C499" s="67">
        <f ca="1">(C8)+(E8-C8)*IF(RAND()&lt;((D8)-(C8))/((E8)-(C8)),SQRT(RAND()*((D8)-(C8))/((E8)-(C8))),1-SQRT(RAND()*((E8)-(D8))/((E8)-(C8))))</f>
        <v>0.69416970320759241</v>
      </c>
      <c r="D499" s="68">
        <f ca="1">(C9)+(E9-C9)*IF(RAND()&lt;((D9)-(C9))/((E9)-(C9)),SQRT(RAND()*((D9)-(C9))/((E9)-(C9))),1-SQRT(RAND()*((E9)-(D9))/((E9)-(C9))))</f>
        <v>1241564.7567485445</v>
      </c>
      <c r="E499" s="68">
        <f ca="1">(C10)+(E10-C10)*IF(RAND()&lt;((D10)-(C10))/((E10)-(C10)),SQRT(RAND()*((D10)-(C10))/((E10)-(C10))),1-SQRT(RAND()*((E10)-(D10))/((E10)-(C10))))</f>
        <v>2974126.1303881472</v>
      </c>
      <c r="F499" s="67">
        <f ca="1">(C11)+(E11-C11)*IF(RAND()&lt;((D11)-(C11))/((E11)-(C11)),SQRT(RAND()*((D11)-(C11))/((E11)-(C11))),1-SQRT(RAND()*((E11)-(D11))/((E11)-(C11))))</f>
        <v>9.2456487649456489E-3</v>
      </c>
      <c r="G499" s="67">
        <f ca="1">(C12)+(E12-C12)*IF(RAND()&lt;((D12)-(C12))/((E12)-(C12)),SQRT(RAND()*((D12)-(C12))/((E12)-(C12))),1-SQRT(RAND()*((E12)-(D12))/((E12)-(C12))))</f>
        <v>0.14980019656882648</v>
      </c>
      <c r="H499" s="68">
        <f t="shared" ca="1" si="14"/>
        <v>322010765.4295783</v>
      </c>
      <c r="I499" s="69">
        <f t="shared" ca="1" si="15"/>
        <v>343.40999895768897</v>
      </c>
    </row>
    <row r="500" spans="1:9" ht="16.05" customHeight="1" x14ac:dyDescent="0.3">
      <c r="A500" s="70">
        <v>484</v>
      </c>
      <c r="B500" s="71">
        <f ca="1">(C7)+(E7-C7)*IF(RAND()&lt;((D7)-(C7))/((E7)-(C7)),SQRT(RAND()*((D7)-(C7))/((E7)-(C7))),1-SQRT(RAND()*((E7)-(D7))/((E7)-(C7))))</f>
        <v>0.25289745403271691</v>
      </c>
      <c r="C500" s="71">
        <f ca="1">(C8)+(E8-C8)*IF(RAND()&lt;((D8)-(C8))/((E8)-(C8)),SQRT(RAND()*((D8)-(C8))/((E8)-(C8))),1-SQRT(RAND()*((E8)-(D8))/((E8)-(C8))))</f>
        <v>0.61203447512511933</v>
      </c>
      <c r="D500" s="72">
        <f ca="1">(C9)+(E9-C9)*IF(RAND()&lt;((D9)-(C9))/((E9)-(C9)),SQRT(RAND()*((D9)-(C9))/((E9)-(C9))),1-SQRT(RAND()*((E9)-(D9))/((E9)-(C9))))</f>
        <v>1301504.3232206004</v>
      </c>
      <c r="E500" s="72">
        <f ca="1">(C10)+(E10-C10)*IF(RAND()&lt;((D10)-(C10))/((E10)-(C10)),SQRT(RAND()*((D10)-(C10))/((E10)-(C10))),1-SQRT(RAND()*((E10)-(D10))/((E10)-(C10))))</f>
        <v>4151370.5002908213</v>
      </c>
      <c r="F500" s="71">
        <f ca="1">(C11)+(E11-C11)*IF(RAND()&lt;((D11)-(C11))/((E11)-(C11)),SQRT(RAND()*((D11)-(C11))/((E11)-(C11))),1-SQRT(RAND()*((E11)-(D11))/((E11)-(C11))))</f>
        <v>6.9516569341323692E-3</v>
      </c>
      <c r="G500" s="71">
        <f ca="1">(C12)+(E12-C12)*IF(RAND()&lt;((D12)-(C12))/((E12)-(C12)),SQRT(RAND()*((D12)-(C12))/((E12)-(C12))),1-SQRT(RAND()*((E12)-(D12))/((E12)-(C12))))</f>
        <v>0.17002183844359289</v>
      </c>
      <c r="H500" s="72">
        <f t="shared" ca="1" si="14"/>
        <v>201532149.79622701</v>
      </c>
      <c r="I500" s="73">
        <f t="shared" ca="1" si="15"/>
        <v>205.55831441534798</v>
      </c>
    </row>
    <row r="501" spans="1:9" ht="16.05" customHeight="1" x14ac:dyDescent="0.3">
      <c r="A501" s="66">
        <v>485</v>
      </c>
      <c r="B501" s="67">
        <f ca="1">(C7)+(E7-C7)*IF(RAND()&lt;((D7)-(C7))/((E7)-(C7)),SQRT(RAND()*((D7)-(C7))/((E7)-(C7))),1-SQRT(RAND()*((E7)-(D7))/((E7)-(C7))))</f>
        <v>0.20751739473270889</v>
      </c>
      <c r="C501" s="67">
        <f ca="1">(C8)+(E8-C8)*IF(RAND()&lt;((D8)-(C8))/((E8)-(C8)),SQRT(RAND()*((D8)-(C8))/((E8)-(C8))),1-SQRT(RAND()*((E8)-(D8))/((E8)-(C8))))</f>
        <v>0.83352453039601659</v>
      </c>
      <c r="D501" s="68">
        <f ca="1">(C9)+(E9-C9)*IF(RAND()&lt;((D9)-(C9))/((E9)-(C9)),SQRT(RAND()*((D9)-(C9))/((E9)-(C9))),1-SQRT(RAND()*((E9)-(D9))/((E9)-(C9))))</f>
        <v>1399175.5980223371</v>
      </c>
      <c r="E501" s="68">
        <f ca="1">(C10)+(E10-C10)*IF(RAND()&lt;((D10)-(C10))/((E10)-(C10)),SQRT(RAND()*((D10)-(C10))/((E10)-(C10))),1-SQRT(RAND()*((E10)-(D10))/((E10)-(C10))))</f>
        <v>2940235.9529661033</v>
      </c>
      <c r="F501" s="67">
        <f ca="1">(C11)+(E11-C11)*IF(RAND()&lt;((D11)-(C11))/((E11)-(C11)),SQRT(RAND()*((D11)-(C11))/((E11)-(C11))),1-SQRT(RAND()*((E11)-(D11))/((E11)-(C11))))</f>
        <v>1.0990145016718689E-2</v>
      </c>
      <c r="G501" s="67">
        <f ca="1">(C12)+(E12-C12)*IF(RAND()&lt;((D12)-(C12))/((E12)-(C12)),SQRT(RAND()*((D12)-(C12))/((E12)-(C12))),1-SQRT(RAND()*((E12)-(D12))/((E12)-(C12))))</f>
        <v>0.18043340257579316</v>
      </c>
      <c r="H501" s="68">
        <f t="shared" ca="1" si="14"/>
        <v>254962753.05377159</v>
      </c>
      <c r="I501" s="69">
        <f t="shared" ca="1" si="15"/>
        <v>241.66956258247228</v>
      </c>
    </row>
    <row r="502" spans="1:9" ht="16.05" customHeight="1" x14ac:dyDescent="0.3">
      <c r="A502" s="70">
        <v>486</v>
      </c>
      <c r="B502" s="71">
        <f ca="1">(C7)+(E7-C7)*IF(RAND()&lt;((D7)-(C7))/((E7)-(C7)),SQRT(RAND()*((D7)-(C7))/((E7)-(C7))),1-SQRT(RAND()*((E7)-(D7))/((E7)-(C7))))</f>
        <v>0.22449505495399655</v>
      </c>
      <c r="C502" s="71">
        <f ca="1">(C8)+(E8-C8)*IF(RAND()&lt;((D8)-(C8))/((E8)-(C8)),SQRT(RAND()*((D8)-(C8))/((E8)-(C8))),1-SQRT(RAND()*((E8)-(D8))/((E8)-(C8))))</f>
        <v>0.68219764634587821</v>
      </c>
      <c r="D502" s="72">
        <f ca="1">(C9)+(E9-C9)*IF(RAND()&lt;((D9)-(C9))/((E9)-(C9)),SQRT(RAND()*((D9)-(C9))/((E9)-(C9))),1-SQRT(RAND()*((E9)-(D9))/((E9)-(C9))))</f>
        <v>1204831.4267957928</v>
      </c>
      <c r="E502" s="72">
        <f ca="1">(C10)+(E10-C10)*IF(RAND()&lt;((D10)-(C10))/((E10)-(C10)),SQRT(RAND()*((D10)-(C10))/((E10)-(C10))),1-SQRT(RAND()*((E10)-(D10))/((E10)-(C10))))</f>
        <v>3181335.1983804912</v>
      </c>
      <c r="F502" s="71">
        <f ca="1">(C11)+(E11-C11)*IF(RAND()&lt;((D11)-(C11))/((E11)-(C11)),SQRT(RAND()*((D11)-(C11))/((E11)-(C11))),1-SQRT(RAND()*((E11)-(D11))/((E11)-(C11))))</f>
        <v>1.7202233092119944E-2</v>
      </c>
      <c r="G502" s="71">
        <f ca="1">(C12)+(E12-C12)*IF(RAND()&lt;((D12)-(C12))/((E12)-(C12)),SQRT(RAND()*((D12)-(C12))/((E12)-(C12))),1-SQRT(RAND()*((E12)-(D12))/((E12)-(C12))))</f>
        <v>0.17280831150177037</v>
      </c>
      <c r="H502" s="72">
        <f t="shared" ca="1" si="14"/>
        <v>277515669.78458369</v>
      </c>
      <c r="I502" s="73">
        <f t="shared" ca="1" si="15"/>
        <v>305.12885217872281</v>
      </c>
    </row>
    <row r="503" spans="1:9" ht="16.05" customHeight="1" x14ac:dyDescent="0.3">
      <c r="A503" s="66">
        <v>487</v>
      </c>
      <c r="B503" s="67">
        <f ca="1">(C7)+(E7-C7)*IF(RAND()&lt;((D7)-(C7))/((E7)-(C7)),SQRT(RAND()*((D7)-(C7))/((E7)-(C7))),1-SQRT(RAND()*((E7)-(D7))/((E7)-(C7))))</f>
        <v>0.21527713549981015</v>
      </c>
      <c r="C503" s="67">
        <f ca="1">(C8)+(E8-C8)*IF(RAND()&lt;((D8)-(C8))/((E8)-(C8)),SQRT(RAND()*((D8)-(C8))/((E8)-(C8))),1-SQRT(RAND()*((E8)-(D8))/((E8)-(C8))))</f>
        <v>0.62993406449783873</v>
      </c>
      <c r="D503" s="68">
        <f ca="1">(C9)+(E9-C9)*IF(RAND()&lt;((D9)-(C9))/((E9)-(C9)),SQRT(RAND()*((D9)-(C9))/((E9)-(C9))),1-SQRT(RAND()*((E9)-(D9))/((E9)-(C9))))</f>
        <v>1416351.9007273694</v>
      </c>
      <c r="E503" s="68">
        <f ca="1">(C10)+(E10-C10)*IF(RAND()&lt;((D10)-(C10))/((E10)-(C10)),SQRT(RAND()*((D10)-(C10))/((E10)-(C10))),1-SQRT(RAND()*((E10)-(D10))/((E10)-(C10))))</f>
        <v>3073469.4899015706</v>
      </c>
      <c r="F503" s="67">
        <f ca="1">(C11)+(E11-C11)*IF(RAND()&lt;((D11)-(C11))/((E11)-(C11)),SQRT(RAND()*((D11)-(C11))/((E11)-(C11))),1-SQRT(RAND()*((E11)-(D11))/((E11)-(C11))))</f>
        <v>2.0136672296258613E-2</v>
      </c>
      <c r="G503" s="67">
        <f ca="1">(C12)+(E12-C12)*IF(RAND()&lt;((D12)-(C12))/((E12)-(C12)),SQRT(RAND()*((D12)-(C12))/((E12)-(C12))),1-SQRT(RAND()*((E12)-(D12))/((E12)-(C12))))</f>
        <v>0.17070365123008779</v>
      </c>
      <c r="H503" s="68">
        <f t="shared" ca="1" si="14"/>
        <v>279810517.33949554</v>
      </c>
      <c r="I503" s="69">
        <f t="shared" ca="1" si="15"/>
        <v>261.89444727424461</v>
      </c>
    </row>
    <row r="504" spans="1:9" ht="16.05" customHeight="1" x14ac:dyDescent="0.3">
      <c r="A504" s="70">
        <v>488</v>
      </c>
      <c r="B504" s="71">
        <f ca="1">(C7)+(E7-C7)*IF(RAND()&lt;((D7)-(C7))/((E7)-(C7)),SQRT(RAND()*((D7)-(C7))/((E7)-(C7))),1-SQRT(RAND()*((E7)-(D7))/((E7)-(C7))))</f>
        <v>0.22934681000554072</v>
      </c>
      <c r="C504" s="71">
        <f ca="1">(C8)+(E8-C8)*IF(RAND()&lt;((D8)-(C8))/((E8)-(C8)),SQRT(RAND()*((D8)-(C8))/((E8)-(C8))),1-SQRT(RAND()*((E8)-(D8))/((E8)-(C8))))</f>
        <v>0.64359300904425509</v>
      </c>
      <c r="D504" s="72">
        <f ca="1">(C9)+(E9-C9)*IF(RAND()&lt;((D9)-(C9))/((E9)-(C9)),SQRT(RAND()*((D9)-(C9))/((E9)-(C9))),1-SQRT(RAND()*((E9)-(D9))/((E9)-(C9))))</f>
        <v>1192936.5613333785</v>
      </c>
      <c r="E504" s="72">
        <f ca="1">(C10)+(E10-C10)*IF(RAND()&lt;((D10)-(C10))/((E10)-(C10)),SQRT(RAND()*((D10)-(C10))/((E10)-(C10))),1-SQRT(RAND()*((E10)-(D10))/((E10)-(C10))))</f>
        <v>2221124.6287168022</v>
      </c>
      <c r="F504" s="71">
        <f ca="1">(C11)+(E11-C11)*IF(RAND()&lt;((D11)-(C11))/((E11)-(C11)),SQRT(RAND()*((D11)-(C11))/((E11)-(C11))),1-SQRT(RAND()*((E11)-(D11))/((E11)-(C11))))</f>
        <v>1.380358618367304E-2</v>
      </c>
      <c r="G504" s="71">
        <f ca="1">(C12)+(E12-C12)*IF(RAND()&lt;((D12)-(C12))/((E12)-(C12)),SQRT(RAND()*((D12)-(C12))/((E12)-(C12))),1-SQRT(RAND()*((E12)-(D12))/((E12)-(C12))))</f>
        <v>0.14778417169883107</v>
      </c>
      <c r="H504" s="72">
        <f t="shared" ca="1" si="14"/>
        <v>250605626.06470424</v>
      </c>
      <c r="I504" s="73">
        <f t="shared" ca="1" si="15"/>
        <v>278.40468907350299</v>
      </c>
    </row>
    <row r="505" spans="1:9" ht="16.05" customHeight="1" x14ac:dyDescent="0.3">
      <c r="A505" s="66">
        <v>489</v>
      </c>
      <c r="B505" s="67">
        <f ca="1">(C7)+(E7-C7)*IF(RAND()&lt;((D7)-(C7))/((E7)-(C7)),SQRT(RAND()*((D7)-(C7))/((E7)-(C7))),1-SQRT(RAND()*((E7)-(D7))/((E7)-(C7))))</f>
        <v>0.25817012278375751</v>
      </c>
      <c r="C505" s="67">
        <f ca="1">(C8)+(E8-C8)*IF(RAND()&lt;((D8)-(C8))/((E8)-(C8)),SQRT(RAND()*((D8)-(C8))/((E8)-(C8))),1-SQRT(RAND()*((E8)-(D8))/((E8)-(C8))))</f>
        <v>0.61444154118519489</v>
      </c>
      <c r="D505" s="68">
        <f ca="1">(C9)+(E9-C9)*IF(RAND()&lt;((D9)-(C9))/((E9)-(C9)),SQRT(RAND()*((D9)-(C9))/((E9)-(C9))),1-SQRT(RAND()*((E9)-(D9))/((E9)-(C9))))</f>
        <v>1338181.9931593956</v>
      </c>
      <c r="E505" s="68">
        <f ca="1">(C10)+(E10-C10)*IF(RAND()&lt;((D10)-(C10))/((E10)-(C10)),SQRT(RAND()*((D10)-(C10))/((E10)-(C10))),1-SQRT(RAND()*((E10)-(D10))/((E10)-(C10))))</f>
        <v>2877195.9523200663</v>
      </c>
      <c r="F505" s="67">
        <f ca="1">(C11)+(E11-C11)*IF(RAND()&lt;((D11)-(C11))/((E11)-(C11)),SQRT(RAND()*((D11)-(C11))/((E11)-(C11))),1-SQRT(RAND()*((E11)-(D11))/((E11)-(C11))))</f>
        <v>9.2308219944907399E-3</v>
      </c>
      <c r="G505" s="67">
        <f ca="1">(C12)+(E12-C12)*IF(RAND()&lt;((D12)-(C12))/((E12)-(C12)),SQRT(RAND()*((D12)-(C12))/((E12)-(C12))),1-SQRT(RAND()*((E12)-(D12))/((E12)-(C12))))</f>
        <v>0.1464662649900923</v>
      </c>
      <c r="H505" s="68">
        <f t="shared" ca="1" si="14"/>
        <v>226962814.50388893</v>
      </c>
      <c r="I505" s="69">
        <f t="shared" ca="1" si="15"/>
        <v>225.0262970459716</v>
      </c>
    </row>
    <row r="506" spans="1:9" ht="16.05" customHeight="1" x14ac:dyDescent="0.3">
      <c r="A506" s="70">
        <v>490</v>
      </c>
      <c r="B506" s="71">
        <f ca="1">(C7)+(E7-C7)*IF(RAND()&lt;((D7)-(C7))/((E7)-(C7)),SQRT(RAND()*((D7)-(C7))/((E7)-(C7))),1-SQRT(RAND()*((E7)-(D7))/((E7)-(C7))))</f>
        <v>0.23799628879301685</v>
      </c>
      <c r="C506" s="71">
        <f ca="1">(C8)+(E8-C8)*IF(RAND()&lt;((D8)-(C8))/((E8)-(C8)),SQRT(RAND()*((D8)-(C8))/((E8)-(C8))),1-SQRT(RAND()*((E8)-(D8))/((E8)-(C8))))</f>
        <v>0.60342881475933252</v>
      </c>
      <c r="D506" s="72">
        <f ca="1">(C9)+(E9-C9)*IF(RAND()&lt;((D9)-(C9))/((E9)-(C9)),SQRT(RAND()*((D9)-(C9))/((E9)-(C9))),1-SQRT(RAND()*((E9)-(D9))/((E9)-(C9))))</f>
        <v>1197183.7711957078</v>
      </c>
      <c r="E506" s="72">
        <f ca="1">(C10)+(E10-C10)*IF(RAND()&lt;((D10)-(C10))/((E10)-(C10)),SQRT(RAND()*((D10)-(C10))/((E10)-(C10))),1-SQRT(RAND()*((E10)-(D10))/((E10)-(C10))))</f>
        <v>4135159.9617457422</v>
      </c>
      <c r="F506" s="71">
        <f ca="1">(C11)+(E11-C11)*IF(RAND()&lt;((D11)-(C11))/((E11)-(C11)),SQRT(RAND()*((D11)-(C11))/((E11)-(C11))),1-SQRT(RAND()*((E11)-(D11))/((E11)-(C11))))</f>
        <v>2.5005870832917547E-2</v>
      </c>
      <c r="G506" s="71">
        <f ca="1">(C12)+(E12-C12)*IF(RAND()&lt;((D12)-(C12))/((E12)-(C12)),SQRT(RAND()*((D12)-(C12))/((E12)-(C12))),1-SQRT(RAND()*((E12)-(D12))/((E12)-(C12))))</f>
        <v>0.17655630097067515</v>
      </c>
      <c r="H506" s="72">
        <f t="shared" ca="1" si="14"/>
        <v>319856617.60702413</v>
      </c>
      <c r="I506" s="73">
        <f t="shared" ca="1" si="15"/>
        <v>353.71839328627937</v>
      </c>
    </row>
    <row r="507" spans="1:9" ht="16.05" customHeight="1" x14ac:dyDescent="0.3">
      <c r="A507" s="66">
        <v>491</v>
      </c>
      <c r="B507" s="67">
        <f ca="1">(C7)+(E7-C7)*IF(RAND()&lt;((D7)-(C7))/((E7)-(C7)),SQRT(RAND()*((D7)-(C7))/((E7)-(C7))),1-SQRT(RAND()*((E7)-(D7))/((E7)-(C7))))</f>
        <v>0.32855025527932258</v>
      </c>
      <c r="C507" s="67">
        <f ca="1">(C8)+(E8-C8)*IF(RAND()&lt;((D8)-(C8))/((E8)-(C8)),SQRT(RAND()*((D8)-(C8))/((E8)-(C8))),1-SQRT(RAND()*((E8)-(D8))/((E8)-(C8))))</f>
        <v>0.62884629662127645</v>
      </c>
      <c r="D507" s="68">
        <f ca="1">(C9)+(E9-C9)*IF(RAND()&lt;((D9)-(C9))/((E9)-(C9)),SQRT(RAND()*((D9)-(C9))/((E9)-(C9))),1-SQRT(RAND()*((E9)-(D9))/((E9)-(C9))))</f>
        <v>1293996.1562735406</v>
      </c>
      <c r="E507" s="68">
        <f ca="1">(C10)+(E10-C10)*IF(RAND()&lt;((D10)-(C10))/((E10)-(C10)),SQRT(RAND()*((D10)-(C10))/((E10)-(C10))),1-SQRT(RAND()*((E10)-(D10))/((E10)-(C10))))</f>
        <v>2910348.2607281921</v>
      </c>
      <c r="F507" s="67">
        <f ca="1">(C11)+(E11-C11)*IF(RAND()&lt;((D11)-(C11))/((E11)-(C11)),SQRT(RAND()*((D11)-(C11))/((E11)-(C11))),1-SQRT(RAND()*((E11)-(D11))/((E11)-(C11))))</f>
        <v>1.2135714698459326E-2</v>
      </c>
      <c r="G507" s="67">
        <f ca="1">(C12)+(E12-C12)*IF(RAND()&lt;((D12)-(C12))/((E12)-(C12)),SQRT(RAND()*((D12)-(C12))/((E12)-(C12))),1-SQRT(RAND()*((E12)-(D12))/((E12)-(C12))))</f>
        <v>0.14495872633293672</v>
      </c>
      <c r="H507" s="68">
        <f t="shared" ca="1" si="14"/>
        <v>300044882.15613842</v>
      </c>
      <c r="I507" s="69">
        <f t="shared" ca="1" si="15"/>
        <v>307.1587059162967</v>
      </c>
    </row>
    <row r="508" spans="1:9" ht="16.05" customHeight="1" x14ac:dyDescent="0.3">
      <c r="A508" s="70">
        <v>492</v>
      </c>
      <c r="B508" s="71">
        <f ca="1">(C7)+(E7-C7)*IF(RAND()&lt;((D7)-(C7))/((E7)-(C7)),SQRT(RAND()*((D7)-(C7))/((E7)-(C7))),1-SQRT(RAND()*((E7)-(D7))/((E7)-(C7))))</f>
        <v>0.25356524783408446</v>
      </c>
      <c r="C508" s="71">
        <f ca="1">(C8)+(E8-C8)*IF(RAND()&lt;((D8)-(C8))/((E8)-(C8)),SQRT(RAND()*((D8)-(C8))/((E8)-(C8))),1-SQRT(RAND()*((E8)-(D8))/((E8)-(C8))))</f>
        <v>0.69488499553863958</v>
      </c>
      <c r="D508" s="72">
        <f ca="1">(C9)+(E9-C9)*IF(RAND()&lt;((D9)-(C9))/((E9)-(C9)),SQRT(RAND()*((D9)-(C9))/((E9)-(C9))),1-SQRT(RAND()*((E9)-(D9))/((E9)-(C9))))</f>
        <v>1348711.9312253473</v>
      </c>
      <c r="E508" s="72">
        <f ca="1">(C10)+(E10-C10)*IF(RAND()&lt;((D10)-(C10))/((E10)-(C10)),SQRT(RAND()*((D10)-(C10))/((E10)-(C10))),1-SQRT(RAND()*((E10)-(D10))/((E10)-(C10))))</f>
        <v>3163201.1204211921</v>
      </c>
      <c r="F508" s="71">
        <f ca="1">(C11)+(E11-C11)*IF(RAND()&lt;((D11)-(C11))/((E11)-(C11)),SQRT(RAND()*((D11)-(C11))/((E11)-(C11))),1-SQRT(RAND()*((E11)-(D11))/((E11)-(C11))))</f>
        <v>9.7280971893359026E-3</v>
      </c>
      <c r="G508" s="71">
        <f ca="1">(C12)+(E12-C12)*IF(RAND()&lt;((D12)-(C12))/((E12)-(C12)),SQRT(RAND()*((D12)-(C12))/((E12)-(C12))),1-SQRT(RAND()*((E12)-(D12))/((E12)-(C12))))</f>
        <v>0.1335768258471893</v>
      </c>
      <c r="H508" s="72">
        <f t="shared" ca="1" si="14"/>
        <v>248570728.70560476</v>
      </c>
      <c r="I508" s="73">
        <f t="shared" ca="1" si="15"/>
        <v>244.41141697964329</v>
      </c>
    </row>
    <row r="509" spans="1:9" ht="16.05" customHeight="1" x14ac:dyDescent="0.3">
      <c r="A509" s="66">
        <v>493</v>
      </c>
      <c r="B509" s="67">
        <f ca="1">(C7)+(E7-C7)*IF(RAND()&lt;((D7)-(C7))/((E7)-(C7)),SQRT(RAND()*((D7)-(C7))/((E7)-(C7))),1-SQRT(RAND()*((E7)-(D7))/((E7)-(C7))))</f>
        <v>0.25471256956714983</v>
      </c>
      <c r="C509" s="67">
        <f ca="1">(C8)+(E8-C8)*IF(RAND()&lt;((D8)-(C8))/((E8)-(C8)),SQRT(RAND()*((D8)-(C8))/((E8)-(C8))),1-SQRT(RAND()*((E8)-(D8))/((E8)-(C8))))</f>
        <v>0.72821547033503387</v>
      </c>
      <c r="D509" s="68">
        <f ca="1">(C9)+(E9-C9)*IF(RAND()&lt;((D9)-(C9))/((E9)-(C9)),SQRT(RAND()*((D9)-(C9))/((E9)-(C9))),1-SQRT(RAND()*((E9)-(D9))/((E9)-(C9))))</f>
        <v>1301072.6587921088</v>
      </c>
      <c r="E509" s="68">
        <f ca="1">(C10)+(E10-C10)*IF(RAND()&lt;((D10)-(C10))/((E10)-(C10)),SQRT(RAND()*((D10)-(C10))/((E10)-(C10))),1-SQRT(RAND()*((E10)-(D10))/((E10)-(C10))))</f>
        <v>4463792.4766146475</v>
      </c>
      <c r="F509" s="67">
        <f ca="1">(C11)+(E11-C11)*IF(RAND()&lt;((D11)-(C11))/((E11)-(C11)),SQRT(RAND()*((D11)-(C11))/((E11)-(C11))),1-SQRT(RAND()*((E11)-(D11))/((E11)-(C11))))</f>
        <v>1.422271611826075E-2</v>
      </c>
      <c r="G509" s="67">
        <f ca="1">(C12)+(E12-C12)*IF(RAND()&lt;((D12)-(C12))/((E12)-(C12)),SQRT(RAND()*((D12)-(C12))/((E12)-(C12))),1-SQRT(RAND()*((E12)-(D12))/((E12)-(C12))))</f>
        <v>0.16463572943159444</v>
      </c>
      <c r="H509" s="68">
        <f t="shared" ca="1" si="14"/>
        <v>286232514.24619031</v>
      </c>
      <c r="I509" s="69">
        <f t="shared" ca="1" si="15"/>
        <v>291.49269780148018</v>
      </c>
    </row>
    <row r="510" spans="1:9" ht="16.05" customHeight="1" x14ac:dyDescent="0.3">
      <c r="A510" s="70">
        <v>494</v>
      </c>
      <c r="B510" s="71">
        <f ca="1">(C7)+(E7-C7)*IF(RAND()&lt;((D7)-(C7))/((E7)-(C7)),SQRT(RAND()*((D7)-(C7))/((E7)-(C7))),1-SQRT(RAND()*((E7)-(D7))/((E7)-(C7))))</f>
        <v>0.30032355789972798</v>
      </c>
      <c r="C510" s="71">
        <f ca="1">(C8)+(E8-C8)*IF(RAND()&lt;((D8)-(C8))/((E8)-(C8)),SQRT(RAND()*((D8)-(C8))/((E8)-(C8))),1-SQRT(RAND()*((E8)-(D8))/((E8)-(C8))))</f>
        <v>0.58439989270114623</v>
      </c>
      <c r="D510" s="72">
        <f ca="1">(C9)+(E9-C9)*IF(RAND()&lt;((D9)-(C9))/((E9)-(C9)),SQRT(RAND()*((D9)-(C9))/((E9)-(C9))),1-SQRT(RAND()*((E9)-(D9))/((E9)-(C9))))</f>
        <v>1285992.4301558156</v>
      </c>
      <c r="E510" s="72">
        <f ca="1">(C10)+(E10-C10)*IF(RAND()&lt;((D10)-(C10))/((E10)-(C10)),SQRT(RAND()*((D10)-(C10))/((E10)-(C10))),1-SQRT(RAND()*((E10)-(D10))/((E10)-(C10))))</f>
        <v>3021071.8502070061</v>
      </c>
      <c r="F510" s="71">
        <f ca="1">(C11)+(E11-C11)*IF(RAND()&lt;((D11)-(C11))/((E11)-(C11)),SQRT(RAND()*((D11)-(C11))/((E11)-(C11))),1-SQRT(RAND()*((E11)-(D11))/((E11)-(C11))))</f>
        <v>1.1656233475947667E-2</v>
      </c>
      <c r="G510" s="71">
        <f ca="1">(C12)+(E12-C12)*IF(RAND()&lt;((D12)-(C12))/((E12)-(C12)),SQRT(RAND()*((D12)-(C12))/((E12)-(C12))),1-SQRT(RAND()*((E12)-(D12))/((E12)-(C12))))</f>
        <v>0.13043708317952901</v>
      </c>
      <c r="H510" s="72">
        <f t="shared" ca="1" si="14"/>
        <v>262338570.12060204</v>
      </c>
      <c r="I510" s="73">
        <f t="shared" ca="1" si="15"/>
        <v>270.38843248898638</v>
      </c>
    </row>
    <row r="511" spans="1:9" ht="16.05" customHeight="1" x14ac:dyDescent="0.3">
      <c r="A511" s="66">
        <v>495</v>
      </c>
      <c r="B511" s="67">
        <f ca="1">(C7)+(E7-C7)*IF(RAND()&lt;((D7)-(C7))/((E7)-(C7)),SQRT(RAND()*((D7)-(C7))/((E7)-(C7))),1-SQRT(RAND()*((E7)-(D7))/((E7)-(C7))))</f>
        <v>0.25846114891812122</v>
      </c>
      <c r="C511" s="67">
        <f ca="1">(C8)+(E8-C8)*IF(RAND()&lt;((D8)-(C8))/((E8)-(C8)),SQRT(RAND()*((D8)-(C8))/((E8)-(C8))),1-SQRT(RAND()*((E8)-(D8))/((E8)-(C8))))</f>
        <v>0.75311352226373529</v>
      </c>
      <c r="D511" s="68">
        <f ca="1">(C9)+(E9-C9)*IF(RAND()&lt;((D9)-(C9))/((E9)-(C9)),SQRT(RAND()*((D9)-(C9))/((E9)-(C9))),1-SQRT(RAND()*((E9)-(D9))/((E9)-(C9))))</f>
        <v>1229407.758729212</v>
      </c>
      <c r="E511" s="68">
        <f ca="1">(C10)+(E10-C10)*IF(RAND()&lt;((D10)-(C10))/((E10)-(C10)),SQRT(RAND()*((D10)-(C10))/((E10)-(C10))),1-SQRT(RAND()*((E10)-(D10))/((E10)-(C10))))</f>
        <v>3393834.4249045043</v>
      </c>
      <c r="F511" s="67">
        <f ca="1">(C11)+(E11-C11)*IF(RAND()&lt;((D11)-(C11))/((E11)-(C11)),SQRT(RAND()*((D11)-(C11))/((E11)-(C11))),1-SQRT(RAND()*((E11)-(D11))/((E11)-(C11))))</f>
        <v>1.2553309671682713E-2</v>
      </c>
      <c r="G511" s="67">
        <f ca="1">(C12)+(E12-C12)*IF(RAND()&lt;((D12)-(C12))/((E12)-(C12)),SQRT(RAND()*((D12)-(C12))/((E12)-(C12))),1-SQRT(RAND()*((E12)-(D12))/((E12)-(C12))))</f>
        <v>0.11903801211754886</v>
      </c>
      <c r="H511" s="68">
        <f t="shared" ca="1" si="14"/>
        <v>288282020.50782669</v>
      </c>
      <c r="I511" s="69">
        <f t="shared" ca="1" si="15"/>
        <v>310.60640741745857</v>
      </c>
    </row>
    <row r="512" spans="1:9" ht="16.05" customHeight="1" x14ac:dyDescent="0.3">
      <c r="A512" s="70">
        <v>496</v>
      </c>
      <c r="B512" s="71">
        <f ca="1">(C7)+(E7-C7)*IF(RAND()&lt;((D7)-(C7))/((E7)-(C7)),SQRT(RAND()*((D7)-(C7))/((E7)-(C7))),1-SQRT(RAND()*((E7)-(D7))/((E7)-(C7))))</f>
        <v>0.30118550498237662</v>
      </c>
      <c r="C512" s="71">
        <f ca="1">(C8)+(E8-C8)*IF(RAND()&lt;((D8)-(C8))/((E8)-(C8)),SQRT(RAND()*((D8)-(C8))/((E8)-(C8))),1-SQRT(RAND()*((E8)-(D8))/((E8)-(C8))))</f>
        <v>0.86429668705474949</v>
      </c>
      <c r="D512" s="72">
        <f ca="1">(C9)+(E9-C9)*IF(RAND()&lt;((D9)-(C9))/((E9)-(C9)),SQRT(RAND()*((D9)-(C9))/((E9)-(C9))),1-SQRT(RAND()*((E9)-(D9))/((E9)-(C9))))</f>
        <v>1337066.7334278384</v>
      </c>
      <c r="E512" s="72">
        <f ca="1">(C10)+(E10-C10)*IF(RAND()&lt;((D10)-(C10))/((E10)-(C10)),SQRT(RAND()*((D10)-(C10))/((E10)-(C10))),1-SQRT(RAND()*((E10)-(D10))/((E10)-(C10))))</f>
        <v>4950058.2185209403</v>
      </c>
      <c r="F512" s="71">
        <f ca="1">(C11)+(E11-C11)*IF(RAND()&lt;((D11)-(C11))/((E11)-(C11)),SQRT(RAND()*((D11)-(C11))/((E11)-(C11))),1-SQRT(RAND()*((E11)-(D11))/((E11)-(C11))))</f>
        <v>1.1203703479997502E-2</v>
      </c>
      <c r="G512" s="71">
        <f ca="1">(C12)+(E12-C12)*IF(RAND()&lt;((D12)-(C12))/((E12)-(C12)),SQRT(RAND()*((D12)-(C12))/((E12)-(C12))),1-SQRT(RAND()*((E12)-(D12))/((E12)-(C12))))</f>
        <v>0.13702876480097675</v>
      </c>
      <c r="H512" s="72">
        <f t="shared" ca="1" si="14"/>
        <v>343972547.03781724</v>
      </c>
      <c r="I512" s="73">
        <f t="shared" ca="1" si="15"/>
        <v>340.6404629241236</v>
      </c>
    </row>
    <row r="513" spans="1:9" ht="16.05" customHeight="1" x14ac:dyDescent="0.3">
      <c r="A513" s="66">
        <v>497</v>
      </c>
      <c r="B513" s="67">
        <f ca="1">(C7)+(E7-C7)*IF(RAND()&lt;((D7)-(C7))/((E7)-(C7)),SQRT(RAND()*((D7)-(C7))/((E7)-(C7))),1-SQRT(RAND()*((E7)-(D7))/((E7)-(C7))))</f>
        <v>0.22784889735093788</v>
      </c>
      <c r="C513" s="67">
        <f ca="1">(C8)+(E8-C8)*IF(RAND()&lt;((D8)-(C8))/((E8)-(C8)),SQRT(RAND()*((D8)-(C8))/((E8)-(C8))),1-SQRT(RAND()*((E8)-(D8))/((E8)-(C8))))</f>
        <v>0.61741715114975848</v>
      </c>
      <c r="D513" s="68">
        <f ca="1">(C9)+(E9-C9)*IF(RAND()&lt;((D9)-(C9))/((E9)-(C9)),SQRT(RAND()*((D9)-(C9))/((E9)-(C9))),1-SQRT(RAND()*((E9)-(D9))/((E9)-(C9))))</f>
        <v>1170212.6758242436</v>
      </c>
      <c r="E513" s="68">
        <f ca="1">(C10)+(E10-C10)*IF(RAND()&lt;((D10)-(C10))/((E10)-(C10)),SQRT(RAND()*((D10)-(C10))/((E10)-(C10))),1-SQRT(RAND()*((E10)-(D10))/((E10)-(C10))))</f>
        <v>4262898.2399491258</v>
      </c>
      <c r="F513" s="67">
        <f ca="1">(C11)+(E11-C11)*IF(RAND()&lt;((D11)-(C11))/((E11)-(C11)),SQRT(RAND()*((D11)-(C11))/((E11)-(C11))),1-SQRT(RAND()*((E11)-(D11))/((E11)-(C11))))</f>
        <v>4.4740833960811906E-3</v>
      </c>
      <c r="G513" s="67">
        <f ca="1">(C12)+(E12-C12)*IF(RAND()&lt;((D12)-(C12))/((E12)-(C12)),SQRT(RAND()*((D12)-(C12))/((E12)-(C12))),1-SQRT(RAND()*((E12)-(D12))/((E12)-(C12))))</f>
        <v>0.14650955346064748</v>
      </c>
      <c r="H513" s="68">
        <f t="shared" ca="1" si="14"/>
        <v>168013700.36991414</v>
      </c>
      <c r="I513" s="69">
        <f t="shared" ca="1" si="15"/>
        <v>190.69307218462455</v>
      </c>
    </row>
    <row r="514" spans="1:9" ht="16.05" customHeight="1" x14ac:dyDescent="0.3">
      <c r="A514" s="70">
        <v>498</v>
      </c>
      <c r="B514" s="71">
        <f ca="1">(C7)+(E7-C7)*IF(RAND()&lt;((D7)-(C7))/((E7)-(C7)),SQRT(RAND()*((D7)-(C7))/((E7)-(C7))),1-SQRT(RAND()*((E7)-(D7))/((E7)-(C7))))</f>
        <v>0.21893496848678676</v>
      </c>
      <c r="C514" s="71">
        <f ca="1">(C8)+(E8-C8)*IF(RAND()&lt;((D8)-(C8))/((E8)-(C8)),SQRT(RAND()*((D8)-(C8))/((E8)-(C8))),1-SQRT(RAND()*((E8)-(D8))/((E8)-(C8))))</f>
        <v>0.7528928469781625</v>
      </c>
      <c r="D514" s="72">
        <f ca="1">(C9)+(E9-C9)*IF(RAND()&lt;((D9)-(C9))/((E9)-(C9)),SQRT(RAND()*((D9)-(C9))/((E9)-(C9))),1-SQRT(RAND()*((E9)-(D9))/((E9)-(C9))))</f>
        <v>1274571.461303032</v>
      </c>
      <c r="E514" s="72">
        <f ca="1">(C10)+(E10-C10)*IF(RAND()&lt;((D10)-(C10))/((E10)-(C10)),SQRT(RAND()*((D10)-(C10))/((E10)-(C10))),1-SQRT(RAND()*((E10)-(D10))/((E10)-(C10))))</f>
        <v>3551892.888552865</v>
      </c>
      <c r="F514" s="71">
        <f ca="1">(C11)+(E11-C11)*IF(RAND()&lt;((D11)-(C11))/((E11)-(C11)),SQRT(RAND()*((D11)-(C11))/((E11)-(C11))),1-SQRT(RAND()*((E11)-(D11))/((E11)-(C11))))</f>
        <v>1.6806118724676446E-2</v>
      </c>
      <c r="G514" s="71">
        <f ca="1">(C12)+(E12-C12)*IF(RAND()&lt;((D12)-(C12))/((E12)-(C12)),SQRT(RAND()*((D12)-(C12))/((E12)-(C12))),1-SQRT(RAND()*((E12)-(D12))/((E12)-(C12))))</f>
        <v>0.14773608480917091</v>
      </c>
      <c r="H514" s="72">
        <f t="shared" ca="1" si="14"/>
        <v>285894506.19887775</v>
      </c>
      <c r="I514" s="73">
        <f t="shared" ca="1" si="15"/>
        <v>297.1762727664568</v>
      </c>
    </row>
    <row r="515" spans="1:9" ht="16.05" customHeight="1" x14ac:dyDescent="0.3">
      <c r="A515" s="66">
        <v>499</v>
      </c>
      <c r="B515" s="67">
        <f ca="1">(C7)+(E7-C7)*IF(RAND()&lt;((D7)-(C7))/((E7)-(C7)),SQRT(RAND()*((D7)-(C7))/((E7)-(C7))),1-SQRT(RAND()*((E7)-(D7))/((E7)-(C7))))</f>
        <v>0.25888887204340699</v>
      </c>
      <c r="C515" s="67">
        <f ca="1">(C8)+(E8-C8)*IF(RAND()&lt;((D8)-(C8))/((E8)-(C8)),SQRT(RAND()*((D8)-(C8))/((E8)-(C8))),1-SQRT(RAND()*((E8)-(D8))/((E8)-(C8))))</f>
        <v>0.71526306238625925</v>
      </c>
      <c r="D515" s="68">
        <f ca="1">(C9)+(E9-C9)*IF(RAND()&lt;((D9)-(C9))/((E9)-(C9)),SQRT(RAND()*((D9)-(C9))/((E9)-(C9))),1-SQRT(RAND()*((E9)-(D9))/((E9)-(C9))))</f>
        <v>1245869.1187059288</v>
      </c>
      <c r="E515" s="68">
        <f ca="1">(C10)+(E10-C10)*IF(RAND()&lt;((D10)-(C10))/((E10)-(C10)),SQRT(RAND()*((D10)-(C10))/((E10)-(C10))),1-SQRT(RAND()*((E10)-(D10))/((E10)-(C10))))</f>
        <v>3074436.3673802498</v>
      </c>
      <c r="F515" s="67">
        <f ca="1">(C11)+(E11-C11)*IF(RAND()&lt;((D11)-(C11))/((E11)-(C11)),SQRT(RAND()*((D11)-(C11))/((E11)-(C11))),1-SQRT(RAND()*((E11)-(D11))/((E11)-(C11))))</f>
        <v>1.4325502988082748E-2</v>
      </c>
      <c r="G515" s="67">
        <f ca="1">(C12)+(E12-C12)*IF(RAND()&lt;((D12)-(C12))/((E12)-(C12)),SQRT(RAND()*((D12)-(C12))/((E12)-(C12))),1-SQRT(RAND()*((E12)-(D12))/((E12)-(C12))))</f>
        <v>0.20672410110362782</v>
      </c>
      <c r="H515" s="68">
        <f t="shared" ca="1" si="14"/>
        <v>291956923.80749601</v>
      </c>
      <c r="I515" s="69">
        <f t="shared" ca="1" si="15"/>
        <v>310.41044751255276</v>
      </c>
    </row>
    <row r="516" spans="1:9" ht="16.05" customHeight="1" x14ac:dyDescent="0.3">
      <c r="A516" s="70">
        <v>500</v>
      </c>
      <c r="B516" s="71">
        <f ca="1">(C7)+(E7-C7)*IF(RAND()&lt;((D7)-(C7))/((E7)-(C7)),SQRT(RAND()*((D7)-(C7))/((E7)-(C7))),1-SQRT(RAND()*((E7)-(D7))/((E7)-(C7))))</f>
        <v>0.24102555842482026</v>
      </c>
      <c r="C516" s="71">
        <f ca="1">(C8)+(E8-C8)*IF(RAND()&lt;((D8)-(C8))/((E8)-(C8)),SQRT(RAND()*((D8)-(C8))/((E8)-(C8))),1-SQRT(RAND()*((E8)-(D8))/((E8)-(C8))))</f>
        <v>0.74918159984706245</v>
      </c>
      <c r="D516" s="72">
        <f ca="1">(C9)+(E9-C9)*IF(RAND()&lt;((D9)-(C9))/((E9)-(C9)),SQRT(RAND()*((D9)-(C9))/((E9)-(C9))),1-SQRT(RAND()*((E9)-(D9))/((E9)-(C9))))</f>
        <v>1147896.8099558395</v>
      </c>
      <c r="E516" s="72">
        <f ca="1">(C10)+(E10-C10)*IF(RAND()&lt;((D10)-(C10))/((E10)-(C10)),SQRT(RAND()*((D10)-(C10))/((E10)-(C10))),1-SQRT(RAND()*((E10)-(D10))/((E10)-(C10))))</f>
        <v>4930483.7824282926</v>
      </c>
      <c r="F516" s="71">
        <f ca="1">(C11)+(E11-C11)*IF(RAND()&lt;((D11)-(C11))/((E11)-(C11)),SQRT(RAND()*((D11)-(C11))/((E11)-(C11))),1-SQRT(RAND()*((E11)-(D11))/((E11)-(C11))))</f>
        <v>2.0677650382194802E-2</v>
      </c>
      <c r="G516" s="71">
        <f ca="1">(C12)+(E12-C12)*IF(RAND()&lt;((D12)-(C12))/((E12)-(C12)),SQRT(RAND()*((D12)-(C12))/((E12)-(C12))),1-SQRT(RAND()*((E12)-(D12))/((E12)-(C12))))</f>
        <v>0.17482593393904286</v>
      </c>
      <c r="H516" s="72">
        <f t="shared" ca="1" si="14"/>
        <v>325860160.46853846</v>
      </c>
      <c r="I516" s="73">
        <f t="shared" ca="1" si="15"/>
        <v>375.74763237197766</v>
      </c>
    </row>
    <row r="517" spans="1:9" ht="16.05" customHeight="1" x14ac:dyDescent="0.3">
      <c r="A517" s="66">
        <v>501</v>
      </c>
      <c r="B517" s="67">
        <f ca="1">(C7)+(E7-C7)*IF(RAND()&lt;((D7)-(C7))/((E7)-(C7)),SQRT(RAND()*((D7)-(C7))/((E7)-(C7))),1-SQRT(RAND()*((E7)-(D7))/((E7)-(C7))))</f>
        <v>0.32979007219242273</v>
      </c>
      <c r="C517" s="67">
        <f ca="1">(C8)+(E8-C8)*IF(RAND()&lt;((D8)-(C8))/((E8)-(C8)),SQRT(RAND()*((D8)-(C8))/((E8)-(C8))),1-SQRT(RAND()*((E8)-(D8))/((E8)-(C8))))</f>
        <v>0.56830747267131787</v>
      </c>
      <c r="D517" s="68">
        <f ca="1">(C9)+(E9-C9)*IF(RAND()&lt;((D9)-(C9))/((E9)-(C9)),SQRT(RAND()*((D9)-(C9))/((E9)-(C9))),1-SQRT(RAND()*((E9)-(D9))/((E9)-(C9))))</f>
        <v>1350190.4288015026</v>
      </c>
      <c r="E517" s="68">
        <f ca="1">(C10)+(E10-C10)*IF(RAND()&lt;((D10)-(C10))/((E10)-(C10)),SQRT(RAND()*((D10)-(C10))/((E10)-(C10))),1-SQRT(RAND()*((E10)-(D10))/((E10)-(C10))))</f>
        <v>3128114.0682175327</v>
      </c>
      <c r="F517" s="67">
        <f ca="1">(C11)+(E11-C11)*IF(RAND()&lt;((D11)-(C11))/((E11)-(C11)),SQRT(RAND()*((D11)-(C11))/((E11)-(C11))),1-SQRT(RAND()*((E11)-(D11))/((E11)-(C11))))</f>
        <v>6.307441834775801E-3</v>
      </c>
      <c r="G517" s="67">
        <f ca="1">(C12)+(E12-C12)*IF(RAND()&lt;((D12)-(C12))/((E12)-(C12)),SQRT(RAND()*((D12)-(C12))/((E12)-(C12))),1-SQRT(RAND()*((E12)-(D12))/((E12)-(C12))))</f>
        <v>0.14275269787155248</v>
      </c>
      <c r="H517" s="68">
        <f t="shared" ca="1" si="14"/>
        <v>236223783.42643774</v>
      </c>
      <c r="I517" s="69">
        <f t="shared" ca="1" si="15"/>
        <v>232.08361749771515</v>
      </c>
    </row>
    <row r="518" spans="1:9" ht="16.05" customHeight="1" x14ac:dyDescent="0.3">
      <c r="A518" s="70">
        <v>502</v>
      </c>
      <c r="B518" s="71">
        <f ca="1">(C7)+(E7-C7)*IF(RAND()&lt;((D7)-(C7))/((E7)-(C7)),SQRT(RAND()*((D7)-(C7))/((E7)-(C7))),1-SQRT(RAND()*((E7)-(D7))/((E7)-(C7))))</f>
        <v>0.26728972951519814</v>
      </c>
      <c r="C518" s="71">
        <f ca="1">(C8)+(E8-C8)*IF(RAND()&lt;((D8)-(C8))/((E8)-(C8)),SQRT(RAND()*((D8)-(C8))/((E8)-(C8))),1-SQRT(RAND()*((E8)-(D8))/((E8)-(C8))))</f>
        <v>0.6621823961909532</v>
      </c>
      <c r="D518" s="72">
        <f ca="1">(C9)+(E9-C9)*IF(RAND()&lt;((D9)-(C9))/((E9)-(C9)),SQRT(RAND()*((D9)-(C9))/((E9)-(C9))),1-SQRT(RAND()*((E9)-(D9))/((E9)-(C9))))</f>
        <v>1262012.149566689</v>
      </c>
      <c r="E518" s="72">
        <f ca="1">(C10)+(E10-C10)*IF(RAND()&lt;((D10)-(C10))/((E10)-(C10)),SQRT(RAND()*((D10)-(C10))/((E10)-(C10))),1-SQRT(RAND()*((E10)-(D10))/((E10)-(C10))))</f>
        <v>3706430.0849428251</v>
      </c>
      <c r="F518" s="71">
        <f ca="1">(C11)+(E11-C11)*IF(RAND()&lt;((D11)-(C11))/((E11)-(C11)),SQRT(RAND()*((D11)-(C11))/((E11)-(C11))),1-SQRT(RAND()*((E11)-(D11))/((E11)-(C11))))</f>
        <v>8.797387608622885E-3</v>
      </c>
      <c r="G518" s="71">
        <f ca="1">(C12)+(E12-C12)*IF(RAND()&lt;((D12)-(C12))/((E12)-(C12)),SQRT(RAND()*((D12)-(C12))/((E12)-(C12))),1-SQRT(RAND()*((E12)-(D12))/((E12)-(C12))))</f>
        <v>0.1606231897176903</v>
      </c>
      <c r="H518" s="72">
        <f t="shared" ca="1" si="14"/>
        <v>240746488.4753933</v>
      </c>
      <c r="I518" s="73">
        <f t="shared" ca="1" si="15"/>
        <v>252.93430343637263</v>
      </c>
    </row>
    <row r="519" spans="1:9" ht="16.05" customHeight="1" x14ac:dyDescent="0.3">
      <c r="A519" s="66">
        <v>503</v>
      </c>
      <c r="B519" s="67">
        <f ca="1">(C7)+(E7-C7)*IF(RAND()&lt;((D7)-(C7))/((E7)-(C7)),SQRT(RAND()*((D7)-(C7))/((E7)-(C7))),1-SQRT(RAND()*((E7)-(D7))/((E7)-(C7))))</f>
        <v>0.21035532364891707</v>
      </c>
      <c r="C519" s="67">
        <f ca="1">(C8)+(E8-C8)*IF(RAND()&lt;((D8)-(C8))/((E8)-(C8)),SQRT(RAND()*((D8)-(C8))/((E8)-(C8))),1-SQRT(RAND()*((E8)-(D8))/((E8)-(C8))))</f>
        <v>0.59858059394694951</v>
      </c>
      <c r="D519" s="68">
        <f ca="1">(C9)+(E9-C9)*IF(RAND()&lt;((D9)-(C9))/((E9)-(C9)),SQRT(RAND()*((D9)-(C9))/((E9)-(C9))),1-SQRT(RAND()*((E9)-(D9))/((E9)-(C9))))</f>
        <v>1102923.335324639</v>
      </c>
      <c r="E519" s="68">
        <f ca="1">(C10)+(E10-C10)*IF(RAND()&lt;((D10)-(C10))/((E10)-(C10)),SQRT(RAND()*((D10)-(C10))/((E10)-(C10))),1-SQRT(RAND()*((E10)-(D10))/((E10)-(C10))))</f>
        <v>4218501.5858510369</v>
      </c>
      <c r="F519" s="67">
        <f ca="1">(C11)+(E11-C11)*IF(RAND()&lt;((D11)-(C11))/((E11)-(C11)),SQRT(RAND()*((D11)-(C11))/((E11)-(C11))),1-SQRT(RAND()*((E11)-(D11))/((E11)-(C11))))</f>
        <v>1.394098271574825E-2</v>
      </c>
      <c r="G519" s="67">
        <f ca="1">(C12)+(E12-C12)*IF(RAND()&lt;((D12)-(C12))/((E12)-(C12)),SQRT(RAND()*((D12)-(C12))/((E12)-(C12))),1-SQRT(RAND()*((E12)-(D12))/((E12)-(C12))))</f>
        <v>0.16275215293613493</v>
      </c>
      <c r="H519" s="68">
        <f t="shared" ca="1" si="14"/>
        <v>220516417.79825425</v>
      </c>
      <c r="I519" s="69">
        <f t="shared" ca="1" si="15"/>
        <v>265.03484881486003</v>
      </c>
    </row>
    <row r="520" spans="1:9" ht="16.05" customHeight="1" x14ac:dyDescent="0.3">
      <c r="A520" s="70">
        <v>504</v>
      </c>
      <c r="B520" s="71">
        <f ca="1">(C7)+(E7-C7)*IF(RAND()&lt;((D7)-(C7))/((E7)-(C7)),SQRT(RAND()*((D7)-(C7))/((E7)-(C7))),1-SQRT(RAND()*((E7)-(D7))/((E7)-(C7))))</f>
        <v>0.21036068419496712</v>
      </c>
      <c r="C520" s="71">
        <f ca="1">(C8)+(E8-C8)*IF(RAND()&lt;((D8)-(C8))/((E8)-(C8)),SQRT(RAND()*((D8)-(C8))/((E8)-(C8))),1-SQRT(RAND()*((E8)-(D8))/((E8)-(C8))))</f>
        <v>0.70754779490339226</v>
      </c>
      <c r="D520" s="72">
        <f ca="1">(C9)+(E9-C9)*IF(RAND()&lt;((D9)-(C9))/((E9)-(C9)),SQRT(RAND()*((D9)-(C9))/((E9)-(C9))),1-SQRT(RAND()*((E9)-(D9))/((E9)-(C9))))</f>
        <v>1220041.1047100204</v>
      </c>
      <c r="E520" s="72">
        <f ca="1">(C10)+(E10-C10)*IF(RAND()&lt;((D10)-(C10))/((E10)-(C10)),SQRT(RAND()*((D10)-(C10))/((E10)-(C10))),1-SQRT(RAND()*((E10)-(D10))/((E10)-(C10))))</f>
        <v>3615830.1613617158</v>
      </c>
      <c r="F520" s="71">
        <f ca="1">(C11)+(E11-C11)*IF(RAND()&lt;((D11)-(C11))/((E11)-(C11)),SQRT(RAND()*((D11)-(C11))/((E11)-(C11))),1-SQRT(RAND()*((E11)-(D11))/((E11)-(C11))))</f>
        <v>1.6223481812538285E-2</v>
      </c>
      <c r="G520" s="71">
        <f ca="1">(C12)+(E12-C12)*IF(RAND()&lt;((D12)-(C12))/((E12)-(C12)),SQRT(RAND()*((D12)-(C12))/((E12)-(C12))),1-SQRT(RAND()*((E12)-(D12))/((E12)-(C12))))</f>
        <v>0.13289664681383892</v>
      </c>
      <c r="H520" s="72">
        <f t="shared" ca="1" si="14"/>
        <v>264100262.07911783</v>
      </c>
      <c r="I520" s="73">
        <f t="shared" ca="1" si="15"/>
        <v>286.8379897750545</v>
      </c>
    </row>
    <row r="521" spans="1:9" ht="16.05" customHeight="1" x14ac:dyDescent="0.3">
      <c r="A521" s="66">
        <v>505</v>
      </c>
      <c r="B521" s="67">
        <f ca="1">(C7)+(E7-C7)*IF(RAND()&lt;((D7)-(C7))/((E7)-(C7)),SQRT(RAND()*((D7)-(C7))/((E7)-(C7))),1-SQRT(RAND()*((E7)-(D7))/((E7)-(C7))))</f>
        <v>0.30155539009449239</v>
      </c>
      <c r="C521" s="67">
        <f ca="1">(C8)+(E8-C8)*IF(RAND()&lt;((D8)-(C8))/((E8)-(C8)),SQRT(RAND()*((D8)-(C8))/((E8)-(C8))),1-SQRT(RAND()*((E8)-(D8))/((E8)-(C8))))</f>
        <v>0.64091628055366046</v>
      </c>
      <c r="D521" s="68">
        <f ca="1">(C9)+(E9-C9)*IF(RAND()&lt;((D9)-(C9))/((E9)-(C9)),SQRT(RAND()*((D9)-(C9))/((E9)-(C9))),1-SQRT(RAND()*((E9)-(D9))/((E9)-(C9))))</f>
        <v>1207049.5505643678</v>
      </c>
      <c r="E521" s="68">
        <f ca="1">(C10)+(E10-C10)*IF(RAND()&lt;((D10)-(C10))/((E10)-(C10)),SQRT(RAND()*((D10)-(C10))/((E10)-(C10))),1-SQRT(RAND()*((E10)-(D10))/((E10)-(C10))))</f>
        <v>2614275.3580677714</v>
      </c>
      <c r="F521" s="67">
        <f ca="1">(C11)+(E11-C11)*IF(RAND()&lt;((D11)-(C11))/((E11)-(C11)),SQRT(RAND()*((D11)-(C11))/((E11)-(C11))),1-SQRT(RAND()*((E11)-(D11))/((E11)-(C11))))</f>
        <v>1.0095956605997573E-2</v>
      </c>
      <c r="G521" s="67">
        <f ca="1">(C12)+(E12-C12)*IF(RAND()&lt;((D12)-(C12))/((E12)-(C12)),SQRT(RAND()*((D12)-(C12))/((E12)-(C12))),1-SQRT(RAND()*((E12)-(D12))/((E12)-(C12))))</f>
        <v>0.16881119825581314</v>
      </c>
      <c r="H521" s="68">
        <f t="shared" ca="1" si="14"/>
        <v>272023083.79142517</v>
      </c>
      <c r="I521" s="69">
        <f t="shared" ca="1" si="15"/>
        <v>298.56860813679378</v>
      </c>
    </row>
    <row r="522" spans="1:9" ht="16.05" customHeight="1" x14ac:dyDescent="0.3">
      <c r="A522" s="70">
        <v>506</v>
      </c>
      <c r="B522" s="71">
        <f ca="1">(C7)+(E7-C7)*IF(RAND()&lt;((D7)-(C7))/((E7)-(C7)),SQRT(RAND()*((D7)-(C7))/((E7)-(C7))),1-SQRT(RAND()*((E7)-(D7))/((E7)-(C7))))</f>
        <v>0.36882902835452835</v>
      </c>
      <c r="C522" s="71">
        <f ca="1">(C8)+(E8-C8)*IF(RAND()&lt;((D8)-(C8))/((E8)-(C8)),SQRT(RAND()*((D8)-(C8))/((E8)-(C8))),1-SQRT(RAND()*((E8)-(D8))/((E8)-(C8))))</f>
        <v>0.61334019702141385</v>
      </c>
      <c r="D522" s="72">
        <f ca="1">(C9)+(E9-C9)*IF(RAND()&lt;((D9)-(C9))/((E9)-(C9)),SQRT(RAND()*((D9)-(C9))/((E9)-(C9))),1-SQRT(RAND()*((E9)-(D9))/((E9)-(C9))))</f>
        <v>1235591.6467162697</v>
      </c>
      <c r="E522" s="72">
        <f ca="1">(C10)+(E10-C10)*IF(RAND()&lt;((D10)-(C10))/((E10)-(C10)),SQRT(RAND()*((D10)-(C10))/((E10)-(C10))),1-SQRT(RAND()*((E10)-(D10))/((E10)-(C10))))</f>
        <v>3466109.6060752533</v>
      </c>
      <c r="F522" s="71">
        <f ca="1">(C11)+(E11-C11)*IF(RAND()&lt;((D11)-(C11))/((E11)-(C11)),SQRT(RAND()*((D11)-(C11))/((E11)-(C11))),1-SQRT(RAND()*((E11)-(D11))/((E11)-(C11))))</f>
        <v>1.1929410969413788E-2</v>
      </c>
      <c r="G522" s="71">
        <f ca="1">(C12)+(E12-C12)*IF(RAND()&lt;((D12)-(C12))/((E12)-(C12)),SQRT(RAND()*((D12)-(C12))/((E12)-(C12))),1-SQRT(RAND()*((E12)-(D12))/((E12)-(C12))))</f>
        <v>0.16901188480138857</v>
      </c>
      <c r="H522" s="72">
        <f t="shared" ca="1" si="14"/>
        <v>317842360.14274532</v>
      </c>
      <c r="I522" s="73">
        <f t="shared" ca="1" si="15"/>
        <v>340.6139887838512</v>
      </c>
    </row>
    <row r="523" spans="1:9" ht="16.05" customHeight="1" x14ac:dyDescent="0.3">
      <c r="A523" s="66">
        <v>507</v>
      </c>
      <c r="B523" s="67">
        <f ca="1">(C7)+(E7-C7)*IF(RAND()&lt;((D7)-(C7))/((E7)-(C7)),SQRT(RAND()*((D7)-(C7))/((E7)-(C7))),1-SQRT(RAND()*((E7)-(D7))/((E7)-(C7))))</f>
        <v>0.26139573988958575</v>
      </c>
      <c r="C523" s="67">
        <f ca="1">(C8)+(E8-C8)*IF(RAND()&lt;((D8)-(C8))/((E8)-(C8)),SQRT(RAND()*((D8)-(C8))/((E8)-(C8))),1-SQRT(RAND()*((E8)-(D8))/((E8)-(C8))))</f>
        <v>0.57301871818495786</v>
      </c>
      <c r="D523" s="68">
        <f ca="1">(C9)+(E9-C9)*IF(RAND()&lt;((D9)-(C9))/((E9)-(C9)),SQRT(RAND()*((D9)-(C9))/((E9)-(C9))),1-SQRT(RAND()*((E9)-(D9))/((E9)-(C9))))</f>
        <v>1166175.7258536248</v>
      </c>
      <c r="E523" s="68">
        <f ca="1">(C10)+(E10-C10)*IF(RAND()&lt;((D10)-(C10))/((E10)-(C10)),SQRT(RAND()*((D10)-(C10))/((E10)-(C10))),1-SQRT(RAND()*((E10)-(D10))/((E10)-(C10))))</f>
        <v>3519775.2659756318</v>
      </c>
      <c r="F523" s="67">
        <f ca="1">(C11)+(E11-C11)*IF(RAND()&lt;((D11)-(C11))/((E11)-(C11)),SQRT(RAND()*((D11)-(C11))/((E11)-(C11))),1-SQRT(RAND()*((E11)-(D11))/((E11)-(C11))))</f>
        <v>1.1271787167394654E-2</v>
      </c>
      <c r="G523" s="67">
        <f ca="1">(C12)+(E12-C12)*IF(RAND()&lt;((D12)-(C12))/((E12)-(C12)),SQRT(RAND()*((D12)-(C12))/((E12)-(C12))),1-SQRT(RAND()*((E12)-(D12))/((E12)-(C12))))</f>
        <v>0.20300375595595233</v>
      </c>
      <c r="H523" s="68">
        <f t="shared" ca="1" si="14"/>
        <v>229806092.79924527</v>
      </c>
      <c r="I523" s="69">
        <f t="shared" ca="1" si="15"/>
        <v>261.23808453382378</v>
      </c>
    </row>
    <row r="524" spans="1:9" ht="16.05" customHeight="1" x14ac:dyDescent="0.3">
      <c r="A524" s="70">
        <v>508</v>
      </c>
      <c r="B524" s="71">
        <f ca="1">(C7)+(E7-C7)*IF(RAND()&lt;((D7)-(C7))/((E7)-(C7)),SQRT(RAND()*((D7)-(C7))/((E7)-(C7))),1-SQRT(RAND()*((E7)-(D7))/((E7)-(C7))))</f>
        <v>0.29544128405371806</v>
      </c>
      <c r="C524" s="71">
        <f ca="1">(C8)+(E8-C8)*IF(RAND()&lt;((D8)-(C8))/((E8)-(C8)),SQRT(RAND()*((D8)-(C8))/((E8)-(C8))),1-SQRT(RAND()*((E8)-(D8))/((E8)-(C8))))</f>
        <v>0.58588501557013173</v>
      </c>
      <c r="D524" s="72">
        <f ca="1">(C9)+(E9-C9)*IF(RAND()&lt;((D9)-(C9))/((E9)-(C9)),SQRT(RAND()*((D9)-(C9))/((E9)-(C9))),1-SQRT(RAND()*((E9)-(D9))/((E9)-(C9))))</f>
        <v>1175822.9910175882</v>
      </c>
      <c r="E524" s="72">
        <f ca="1">(C10)+(E10-C10)*IF(RAND()&lt;((D10)-(C10))/((E10)-(C10)),SQRT(RAND()*((D10)-(C10))/((E10)-(C10))),1-SQRT(RAND()*((E10)-(D10))/((E10)-(C10))))</f>
        <v>3860030.9582218044</v>
      </c>
      <c r="F524" s="71">
        <f ca="1">(C11)+(E11-C11)*IF(RAND()&lt;((D11)-(C11))/((E11)-(C11)),SQRT(RAND()*((D11)-(C11))/((E11)-(C11))),1-SQRT(RAND()*((E11)-(D11))/((E11)-(C11))))</f>
        <v>1.2812642726624494E-2</v>
      </c>
      <c r="G524" s="71">
        <f ca="1">(C12)+(E12-C12)*IF(RAND()&lt;((D12)-(C12))/((E12)-(C12)),SQRT(RAND()*((D12)-(C12))/((E12)-(C12))),1-SQRT(RAND()*((E12)-(D12))/((E12)-(C12))))</f>
        <v>0.13095782816896911</v>
      </c>
      <c r="H524" s="72">
        <f t="shared" ca="1" si="14"/>
        <v>264988193.80360079</v>
      </c>
      <c r="I524" s="73">
        <f t="shared" ca="1" si="15"/>
        <v>298.57128855707293</v>
      </c>
    </row>
    <row r="525" spans="1:9" ht="16.05" customHeight="1" x14ac:dyDescent="0.3">
      <c r="A525" s="66">
        <v>509</v>
      </c>
      <c r="B525" s="67">
        <f ca="1">(C7)+(E7-C7)*IF(RAND()&lt;((D7)-(C7))/((E7)-(C7)),SQRT(RAND()*((D7)-(C7))/((E7)-(C7))),1-SQRT(RAND()*((E7)-(D7))/((E7)-(C7))))</f>
        <v>0.31325487966602961</v>
      </c>
      <c r="C525" s="67">
        <f ca="1">(C8)+(E8-C8)*IF(RAND()&lt;((D8)-(C8))/((E8)-(C8)),SQRT(RAND()*((D8)-(C8))/((E8)-(C8))),1-SQRT(RAND()*((E8)-(D8))/((E8)-(C8))))</f>
        <v>0.63117305158918313</v>
      </c>
      <c r="D525" s="68">
        <f ca="1">(C9)+(E9-C9)*IF(RAND()&lt;((D9)-(C9))/((E9)-(C9)),SQRT(RAND()*((D9)-(C9))/((E9)-(C9))),1-SQRT(RAND()*((E9)-(D9))/((E9)-(C9))))</f>
        <v>1199026.5714356427</v>
      </c>
      <c r="E525" s="68">
        <f ca="1">(C10)+(E10-C10)*IF(RAND()&lt;((D10)-(C10))/((E10)-(C10)),SQRT(RAND()*((D10)-(C10))/((E10)-(C10))),1-SQRT(RAND()*((E10)-(D10))/((E10)-(C10))))</f>
        <v>2982803.1546633886</v>
      </c>
      <c r="F525" s="67">
        <f ca="1">(C11)+(E11-C11)*IF(RAND()&lt;((D11)-(C11))/((E11)-(C11)),SQRT(RAND()*((D11)-(C11))/((E11)-(C11))),1-SQRT(RAND()*((E11)-(D11))/((E11)-(C11))))</f>
        <v>9.0917842360575211E-3</v>
      </c>
      <c r="G525" s="67">
        <f ca="1">(C12)+(E12-C12)*IF(RAND()&lt;((D12)-(C12))/((E12)-(C12)),SQRT(RAND()*((D12)-(C12))/((E12)-(C12))),1-SQRT(RAND()*((E12)-(D12))/((E12)-(C12))))</f>
        <v>0.13586867164308694</v>
      </c>
      <c r="H525" s="68">
        <f t="shared" ca="1" si="14"/>
        <v>268223679.11801469</v>
      </c>
      <c r="I525" s="69">
        <f t="shared" ca="1" si="15"/>
        <v>296.37804833917266</v>
      </c>
    </row>
    <row r="526" spans="1:9" ht="16.05" customHeight="1" x14ac:dyDescent="0.3">
      <c r="A526" s="70">
        <v>510</v>
      </c>
      <c r="B526" s="71">
        <f ca="1">(C7)+(E7-C7)*IF(RAND()&lt;((D7)-(C7))/((E7)-(C7)),SQRT(RAND()*((D7)-(C7))/((E7)-(C7))),1-SQRT(RAND()*((E7)-(D7))/((E7)-(C7))))</f>
        <v>0.26374238909375841</v>
      </c>
      <c r="C526" s="71">
        <f ca="1">(C8)+(E8-C8)*IF(RAND()&lt;((D8)-(C8))/((E8)-(C8)),SQRT(RAND()*((D8)-(C8))/((E8)-(C8))),1-SQRT(RAND()*((E8)-(D8))/((E8)-(C8))))</f>
        <v>0.71109032571084485</v>
      </c>
      <c r="D526" s="72">
        <f ca="1">(C9)+(E9-C9)*IF(RAND()&lt;((D9)-(C9))/((E9)-(C9)),SQRT(RAND()*((D9)-(C9))/((E9)-(C9))),1-SQRT(RAND()*((E9)-(D9))/((E9)-(C9))))</f>
        <v>1429990.6814940432</v>
      </c>
      <c r="E526" s="72">
        <f ca="1">(C10)+(E10-C10)*IF(RAND()&lt;((D10)-(C10))/((E10)-(C10)),SQRT(RAND()*((D10)-(C10))/((E10)-(C10))),1-SQRT(RAND()*((E10)-(D10))/((E10)-(C10))))</f>
        <v>3450700.7196922586</v>
      </c>
      <c r="F526" s="71">
        <f ca="1">(C11)+(E11-C11)*IF(RAND()&lt;((D11)-(C11))/((E11)-(C11)),SQRT(RAND()*((D11)-(C11))/((E11)-(C11))),1-SQRT(RAND()*((E11)-(D11))/((E11)-(C11))))</f>
        <v>2.9063926074632072E-3</v>
      </c>
      <c r="G526" s="71">
        <f ca="1">(C12)+(E12-C12)*IF(RAND()&lt;((D12)-(C12))/((E12)-(C12)),SQRT(RAND()*((D12)-(C12))/((E12)-(C12))),1-SQRT(RAND()*((E12)-(D12))/((E12)-(C12))))</f>
        <v>0.16872540426641047</v>
      </c>
      <c r="H526" s="72">
        <f t="shared" ca="1" si="14"/>
        <v>210506789.18492231</v>
      </c>
      <c r="I526" s="73">
        <f t="shared" ca="1" si="15"/>
        <v>195.48515014831588</v>
      </c>
    </row>
    <row r="527" spans="1:9" ht="16.05" customHeight="1" x14ac:dyDescent="0.3">
      <c r="A527" s="66">
        <v>511</v>
      </c>
      <c r="B527" s="67">
        <f ca="1">(C7)+(E7-C7)*IF(RAND()&lt;((D7)-(C7))/((E7)-(C7)),SQRT(RAND()*((D7)-(C7))/((E7)-(C7))),1-SQRT(RAND()*((E7)-(D7))/((E7)-(C7))))</f>
        <v>0.2359931677061971</v>
      </c>
      <c r="C527" s="67">
        <f ca="1">(C8)+(E8-C8)*IF(RAND()&lt;((D8)-(C8))/((E8)-(C8)),SQRT(RAND()*((D8)-(C8))/((E8)-(C8))),1-SQRT(RAND()*((E8)-(D8))/((E8)-(C8))))</f>
        <v>0.5605831151792231</v>
      </c>
      <c r="D527" s="68">
        <f ca="1">(C9)+(E9-C9)*IF(RAND()&lt;((D9)-(C9))/((E9)-(C9)),SQRT(RAND()*((D9)-(C9))/((E9)-(C9))),1-SQRT(RAND()*((E9)-(D9))/((E9)-(C9))))</f>
        <v>1351088.6028772322</v>
      </c>
      <c r="E527" s="68">
        <f ca="1">(C10)+(E10-C10)*IF(RAND()&lt;((D10)-(C10))/((E10)-(C10)),SQRT(RAND()*((D10)-(C10))/((E10)-(C10))),1-SQRT(RAND()*((E10)-(D10))/((E10)-(C10))))</f>
        <v>3366362.9637112925</v>
      </c>
      <c r="F527" s="67">
        <f ca="1">(C11)+(E11-C11)*IF(RAND()&lt;((D11)-(C11))/((E11)-(C11)),SQRT(RAND()*((D11)-(C11))/((E11)-(C11))),1-SQRT(RAND()*((E11)-(D11))/((E11)-(C11))))</f>
        <v>1.0431351032528135E-2</v>
      </c>
      <c r="G527" s="67">
        <f ca="1">(C12)+(E12-C12)*IF(RAND()&lt;((D12)-(C12))/((E12)-(C12)),SQRT(RAND()*((D12)-(C12))/((E12)-(C12))),1-SQRT(RAND()*((E12)-(D12))/((E12)-(C12))))</f>
        <v>0.15170945999268914</v>
      </c>
      <c r="H527" s="68">
        <f t="shared" ca="1" si="14"/>
        <v>205107462.72895271</v>
      </c>
      <c r="I527" s="69">
        <f t="shared" ca="1" si="15"/>
        <v>201.55319796897945</v>
      </c>
    </row>
    <row r="528" spans="1:9" ht="16.05" customHeight="1" x14ac:dyDescent="0.3">
      <c r="A528" s="70">
        <v>512</v>
      </c>
      <c r="B528" s="71">
        <f ca="1">(C7)+(E7-C7)*IF(RAND()&lt;((D7)-(C7))/((E7)-(C7)),SQRT(RAND()*((D7)-(C7))/((E7)-(C7))),1-SQRT(RAND()*((E7)-(D7))/((E7)-(C7))))</f>
        <v>0.26887547122035227</v>
      </c>
      <c r="C528" s="71">
        <f ca="1">(C8)+(E8-C8)*IF(RAND()&lt;((D8)-(C8))/((E8)-(C8)),SQRT(RAND()*((D8)-(C8))/((E8)-(C8))),1-SQRT(RAND()*((E8)-(D8))/((E8)-(C8))))</f>
        <v>0.71083874430851557</v>
      </c>
      <c r="D528" s="72">
        <f ca="1">(C9)+(E9-C9)*IF(RAND()&lt;((D9)-(C9))/((E9)-(C9)),SQRT(RAND()*((D9)-(C9))/((E9)-(C9))),1-SQRT(RAND()*((E9)-(D9))/((E9)-(C9))))</f>
        <v>1369036.92193298</v>
      </c>
      <c r="E528" s="72">
        <f ca="1">(C10)+(E10-C10)*IF(RAND()&lt;((D10)-(C10))/((E10)-(C10)),SQRT(RAND()*((D10)-(C10))/((E10)-(C10))),1-SQRT(RAND()*((E10)-(D10))/((E10)-(C10))))</f>
        <v>3136042.7065587873</v>
      </c>
      <c r="F528" s="71">
        <f ca="1">(C11)+(E11-C11)*IF(RAND()&lt;((D11)-(C11))/((E11)-(C11)),SQRT(RAND()*((D11)-(C11))/((E11)-(C11))),1-SQRT(RAND()*((E11)-(D11))/((E11)-(C11))))</f>
        <v>6.1545798283203137E-3</v>
      </c>
      <c r="G528" s="71">
        <f ca="1">(C12)+(E12-C12)*IF(RAND()&lt;((D12)-(C12))/((E12)-(C12)),SQRT(RAND()*((D12)-(C12))/((E12)-(C12))),1-SQRT(RAND()*((E12)-(D12))/((E12)-(C12))))</f>
        <v>0.19447409810725727</v>
      </c>
      <c r="H528" s="72">
        <f t="shared" ca="1" si="14"/>
        <v>239102386.33181077</v>
      </c>
      <c r="I528" s="73">
        <f t="shared" ca="1" si="15"/>
        <v>231.68022221014269</v>
      </c>
    </row>
    <row r="529" spans="1:9" ht="16.05" customHeight="1" x14ac:dyDescent="0.3">
      <c r="A529" s="66">
        <v>513</v>
      </c>
      <c r="B529" s="67">
        <f ca="1">(C7)+(E7-C7)*IF(RAND()&lt;((D7)-(C7))/((E7)-(C7)),SQRT(RAND()*((D7)-(C7))/((E7)-(C7))),1-SQRT(RAND()*((E7)-(D7))/((E7)-(C7))))</f>
        <v>0.20980718222821571</v>
      </c>
      <c r="C529" s="67">
        <f ca="1">(C8)+(E8-C8)*IF(RAND()&lt;((D8)-(C8))/((E8)-(C8)),SQRT(RAND()*((D8)-(C8))/((E8)-(C8))),1-SQRT(RAND()*((E8)-(D8))/((E8)-(C8))))</f>
        <v>0.60661442251245723</v>
      </c>
      <c r="D529" s="68">
        <f ca="1">(C9)+(E9-C9)*IF(RAND()&lt;((D9)-(C9))/((E9)-(C9)),SQRT(RAND()*((D9)-(C9))/((E9)-(C9))),1-SQRT(RAND()*((E9)-(D9))/((E9)-(C9))))</f>
        <v>1235605.3576552107</v>
      </c>
      <c r="E529" s="68">
        <f ca="1">(C10)+(E10-C10)*IF(RAND()&lt;((D10)-(C10))/((E10)-(C10)),SQRT(RAND()*((D10)-(C10))/((E10)-(C10))),1-SQRT(RAND()*((E10)-(D10))/((E10)-(C10))))</f>
        <v>3409414.6307043424</v>
      </c>
      <c r="F529" s="67">
        <f ca="1">(C11)+(E11-C11)*IF(RAND()&lt;((D11)-(C11))/((E11)-(C11)),SQRT(RAND()*((D11)-(C11))/((E11)-(C11))),1-SQRT(RAND()*((E11)-(D11))/((E11)-(C11))))</f>
        <v>1.015904547360366E-2</v>
      </c>
      <c r="G529" s="67">
        <f ca="1">(C12)+(E12-C12)*IF(RAND()&lt;((D12)-(C12))/((E12)-(C12)),SQRT(RAND()*((D12)-(C12))/((E12)-(C12))),1-SQRT(RAND()*((E12)-(D12))/((E12)-(C12))))</f>
        <v>0.15058147949550058</v>
      </c>
      <c r="H529" s="68">
        <f t="shared" ref="H529:H592" ca="1" si="16">-D529+($L$1*B529*C529+$M$1*F529-E529)*(1-(1+$N$1)^-5)/$N$1</f>
        <v>197630925.83122092</v>
      </c>
      <c r="I529" s="69">
        <f t="shared" ref="I529:I592" ca="1" si="17">($L$1*B529*C529+$M$1*F529-E529)*5/D529</f>
        <v>212.28659141446516</v>
      </c>
    </row>
    <row r="530" spans="1:9" ht="16.05" customHeight="1" x14ac:dyDescent="0.3">
      <c r="A530" s="70">
        <v>514</v>
      </c>
      <c r="B530" s="71">
        <f ca="1">(C7)+(E7-C7)*IF(RAND()&lt;((D7)-(C7))/((E7)-(C7)),SQRT(RAND()*((D7)-(C7))/((E7)-(C7))),1-SQRT(RAND()*((E7)-(D7))/((E7)-(C7))))</f>
        <v>0.20108025965024981</v>
      </c>
      <c r="C530" s="71">
        <f ca="1">(C8)+(E8-C8)*IF(RAND()&lt;((D8)-(C8))/((E8)-(C8)),SQRT(RAND()*((D8)-(C8))/((E8)-(C8))),1-SQRT(RAND()*((E8)-(D8))/((E8)-(C8))))</f>
        <v>0.64552065419165761</v>
      </c>
      <c r="D530" s="72">
        <f ca="1">(C9)+(E9-C9)*IF(RAND()&lt;((D9)-(C9))/((E9)-(C9)),SQRT(RAND()*((D9)-(C9))/((E9)-(C9))),1-SQRT(RAND()*((E9)-(D9))/((E9)-(C9))))</f>
        <v>1257759.3849467603</v>
      </c>
      <c r="E530" s="72">
        <f ca="1">(C10)+(E10-C10)*IF(RAND()&lt;((D10)-(C10))/((E10)-(C10)),SQRT(RAND()*((D10)-(C10))/((E10)-(C10))),1-SQRT(RAND()*((E10)-(D10))/((E10)-(C10))))</f>
        <v>3661180.6784001673</v>
      </c>
      <c r="F530" s="71">
        <f ca="1">(C11)+(E11-C11)*IF(RAND()&lt;((D11)-(C11))/((E11)-(C11)),SQRT(RAND()*((D11)-(C11))/((E11)-(C11))),1-SQRT(RAND()*((E11)-(D11))/((E11)-(C11))))</f>
        <v>1.1457862830164835E-2</v>
      </c>
      <c r="G530" s="71">
        <f ca="1">(C12)+(E12-C12)*IF(RAND()&lt;((D12)-(C12))/((E12)-(C12)),SQRT(RAND()*((D12)-(C12))/((E12)-(C12))),1-SQRT(RAND()*((E12)-(D12))/((E12)-(C12))))</f>
        <v>0.13149194798448977</v>
      </c>
      <c r="H530" s="72">
        <f t="shared" ca="1" si="16"/>
        <v>208780673.20294595</v>
      </c>
      <c r="I530" s="73">
        <f t="shared" ca="1" si="17"/>
        <v>220.26315227657142</v>
      </c>
    </row>
    <row r="531" spans="1:9" ht="16.05" customHeight="1" x14ac:dyDescent="0.3">
      <c r="A531" s="66">
        <v>515</v>
      </c>
      <c r="B531" s="67">
        <f ca="1">(C7)+(E7-C7)*IF(RAND()&lt;((D7)-(C7))/((E7)-(C7)),SQRT(RAND()*((D7)-(C7))/((E7)-(C7))),1-SQRT(RAND()*((E7)-(D7))/((E7)-(C7))))</f>
        <v>0.22116367688884139</v>
      </c>
      <c r="C531" s="67">
        <f ca="1">(C8)+(E8-C8)*IF(RAND()&lt;((D8)-(C8))/((E8)-(C8)),SQRT(RAND()*((D8)-(C8))/((E8)-(C8))),1-SQRT(RAND()*((E8)-(D8))/((E8)-(C8))))</f>
        <v>0.63408355594431898</v>
      </c>
      <c r="D531" s="68">
        <f ca="1">(C9)+(E9-C9)*IF(RAND()&lt;((D9)-(C9))/((E9)-(C9)),SQRT(RAND()*((D9)-(C9))/((E9)-(C9))),1-SQRT(RAND()*((E9)-(D9))/((E9)-(C9))))</f>
        <v>1430515.5317841503</v>
      </c>
      <c r="E531" s="68">
        <f ca="1">(C10)+(E10-C10)*IF(RAND()&lt;((D10)-(C10))/((E10)-(C10)),SQRT(RAND()*((D10)-(C10))/((E10)-(C10))),1-SQRT(RAND()*((E10)-(D10))/((E10)-(C10))))</f>
        <v>2660944.1730568693</v>
      </c>
      <c r="F531" s="67">
        <f ca="1">(C11)+(E11-C11)*IF(RAND()&lt;((D11)-(C11))/((E11)-(C11)),SQRT(RAND()*((D11)-(C11))/((E11)-(C11))),1-SQRT(RAND()*((E11)-(D11))/((E11)-(C11))))</f>
        <v>1.1047889587165027E-2</v>
      </c>
      <c r="G531" s="67">
        <f ca="1">(C12)+(E12-C12)*IF(RAND()&lt;((D12)-(C12))/((E12)-(C12)),SQRT(RAND()*((D12)-(C12))/((E12)-(C12))),1-SQRT(RAND()*((E12)-(D12))/((E12)-(C12))))</f>
        <v>0.1794692524990498</v>
      </c>
      <c r="H531" s="68">
        <f t="shared" ca="1" si="16"/>
        <v>220793143.96480042</v>
      </c>
      <c r="I531" s="69">
        <f t="shared" ca="1" si="17"/>
        <v>204.89830500153465</v>
      </c>
    </row>
    <row r="532" spans="1:9" ht="16.05" customHeight="1" x14ac:dyDescent="0.3">
      <c r="A532" s="70">
        <v>516</v>
      </c>
      <c r="B532" s="71">
        <f ca="1">(C7)+(E7-C7)*IF(RAND()&lt;((D7)-(C7))/((E7)-(C7)),SQRT(RAND()*((D7)-(C7))/((E7)-(C7))),1-SQRT(RAND()*((E7)-(D7))/((E7)-(C7))))</f>
        <v>0.23667860398060298</v>
      </c>
      <c r="C532" s="71">
        <f ca="1">(C8)+(E8-C8)*IF(RAND()&lt;((D8)-(C8))/((E8)-(C8)),SQRT(RAND()*((D8)-(C8))/((E8)-(C8))),1-SQRT(RAND()*((E8)-(D8))/((E8)-(C8))))</f>
        <v>0.71270369399207756</v>
      </c>
      <c r="D532" s="72">
        <f ca="1">(C9)+(E9-C9)*IF(RAND()&lt;((D9)-(C9))/((E9)-(C9)),SQRT(RAND()*((D9)-(C9))/((E9)-(C9))),1-SQRT(RAND()*((E9)-(D9))/((E9)-(C9))))</f>
        <v>1249151.3192025353</v>
      </c>
      <c r="E532" s="72">
        <f ca="1">(C10)+(E10-C10)*IF(RAND()&lt;((D10)-(C10))/((E10)-(C10)),SQRT(RAND()*((D10)-(C10))/((E10)-(C10))),1-SQRT(RAND()*((E10)-(D10))/((E10)-(C10))))</f>
        <v>3540295.4816370946</v>
      </c>
      <c r="F532" s="71">
        <f ca="1">(C11)+(E11-C11)*IF(RAND()&lt;((D11)-(C11))/((E11)-(C11)),SQRT(RAND()*((D11)-(C11))/((E11)-(C11))),1-SQRT(RAND()*((E11)-(D11))/((E11)-(C11))))</f>
        <v>1.2339843634332376E-2</v>
      </c>
      <c r="G532" s="71">
        <f ca="1">(C12)+(E12-C12)*IF(RAND()&lt;((D12)-(C12))/((E12)-(C12)),SQRT(RAND()*((D12)-(C12))/((E12)-(C12))),1-SQRT(RAND()*((E12)-(D12))/((E12)-(C12))))</f>
        <v>0.16896418674669744</v>
      </c>
      <c r="H532" s="72">
        <f t="shared" ca="1" si="16"/>
        <v>257913365.68598825</v>
      </c>
      <c r="I532" s="73">
        <f t="shared" ca="1" si="17"/>
        <v>273.65147060822113</v>
      </c>
    </row>
    <row r="533" spans="1:9" ht="16.05" customHeight="1" x14ac:dyDescent="0.3">
      <c r="A533" s="66">
        <v>517</v>
      </c>
      <c r="B533" s="67">
        <f ca="1">(C7)+(E7-C7)*IF(RAND()&lt;((D7)-(C7))/((E7)-(C7)),SQRT(RAND()*((D7)-(C7))/((E7)-(C7))),1-SQRT(RAND()*((E7)-(D7))/((E7)-(C7))))</f>
        <v>0.16682663042921669</v>
      </c>
      <c r="C533" s="67">
        <f ca="1">(C8)+(E8-C8)*IF(RAND()&lt;((D8)-(C8))/((E8)-(C8)),SQRT(RAND()*((D8)-(C8))/((E8)-(C8))),1-SQRT(RAND()*((E8)-(D8))/((E8)-(C8))))</f>
        <v>0.62457661615870297</v>
      </c>
      <c r="D533" s="68">
        <f ca="1">(C9)+(E9-C9)*IF(RAND()&lt;((D9)-(C9))/((E9)-(C9)),SQRT(RAND()*((D9)-(C9))/((E9)-(C9))),1-SQRT(RAND()*((E9)-(D9))/((E9)-(C9))))</f>
        <v>1238595.617835704</v>
      </c>
      <c r="E533" s="68">
        <f ca="1">(C10)+(E10-C10)*IF(RAND()&lt;((D10)-(C10))/((E10)-(C10)),SQRT(RAND()*((D10)-(C10))/((E10)-(C10))),1-SQRT(RAND()*((E10)-(D10))/((E10)-(C10))))</f>
        <v>3983493.7671937328</v>
      </c>
      <c r="F533" s="67">
        <f ca="1">(C11)+(E11-C11)*IF(RAND()&lt;((D11)-(C11))/((E11)-(C11)),SQRT(RAND()*((D11)-(C11))/((E11)-(C11))),1-SQRT(RAND()*((E11)-(D11))/((E11)-(C11))))</f>
        <v>7.7873895195037166E-3</v>
      </c>
      <c r="G533" s="67">
        <f ca="1">(C12)+(E12-C12)*IF(RAND()&lt;((D12)-(C12))/((E12)-(C12)),SQRT(RAND()*((D12)-(C12))/((E12)-(C12))),1-SQRT(RAND()*((E12)-(D12))/((E12)-(C12))))</f>
        <v>0.13149520734516384</v>
      </c>
      <c r="H533" s="68">
        <f t="shared" ca="1" si="16"/>
        <v>153228199.48054391</v>
      </c>
      <c r="I533" s="69">
        <f t="shared" ca="1" si="17"/>
        <v>164.49255441656072</v>
      </c>
    </row>
    <row r="534" spans="1:9" ht="16.05" customHeight="1" x14ac:dyDescent="0.3">
      <c r="A534" s="70">
        <v>518</v>
      </c>
      <c r="B534" s="71">
        <f ca="1">(C7)+(E7-C7)*IF(RAND()&lt;((D7)-(C7))/((E7)-(C7)),SQRT(RAND()*((D7)-(C7))/((E7)-(C7))),1-SQRT(RAND()*((E7)-(D7))/((E7)-(C7))))</f>
        <v>0.29764370591665235</v>
      </c>
      <c r="C534" s="71">
        <f ca="1">(C8)+(E8-C8)*IF(RAND()&lt;((D8)-(C8))/((E8)-(C8)),SQRT(RAND()*((D8)-(C8))/((E8)-(C8))),1-SQRT(RAND()*((E8)-(D8))/((E8)-(C8))))</f>
        <v>0.72263401219959478</v>
      </c>
      <c r="D534" s="72">
        <f ca="1">(C9)+(E9-C9)*IF(RAND()&lt;((D9)-(C9))/((E9)-(C9)),SQRT(RAND()*((D9)-(C9))/((E9)-(C9))),1-SQRT(RAND()*((E9)-(D9))/((E9)-(C9))))</f>
        <v>1208340.7264084956</v>
      </c>
      <c r="E534" s="72">
        <f ca="1">(C10)+(E10-C10)*IF(RAND()&lt;((D10)-(C10))/((E10)-(C10)),SQRT(RAND()*((D10)-(C10))/((E10)-(C10))),1-SQRT(RAND()*((E10)-(D10))/((E10)-(C10))))</f>
        <v>2881763.0520461709</v>
      </c>
      <c r="F534" s="71">
        <f ca="1">(C11)+(E11-C11)*IF(RAND()&lt;((D11)-(C11))/((E11)-(C11)),SQRT(RAND()*((D11)-(C11))/((E11)-(C11))),1-SQRT(RAND()*((E11)-(D11))/((E11)-(C11))))</f>
        <v>1.089244570887939E-2</v>
      </c>
      <c r="G534" s="71">
        <f ca="1">(C12)+(E12-C12)*IF(RAND()&lt;((D12)-(C12))/((E12)-(C12)),SQRT(RAND()*((D12)-(C12))/((E12)-(C12))),1-SQRT(RAND()*((E12)-(D12))/((E12)-(C12))))</f>
        <v>0.14868143823297297</v>
      </c>
      <c r="H534" s="72">
        <f t="shared" ca="1" si="16"/>
        <v>300491114.14054263</v>
      </c>
      <c r="I534" s="73">
        <f t="shared" ca="1" si="17"/>
        <v>329.32580360675519</v>
      </c>
    </row>
    <row r="535" spans="1:9" ht="16.05" customHeight="1" x14ac:dyDescent="0.3">
      <c r="A535" s="66">
        <v>519</v>
      </c>
      <c r="B535" s="67">
        <f ca="1">(C7)+(E7-C7)*IF(RAND()&lt;((D7)-(C7))/((E7)-(C7)),SQRT(RAND()*((D7)-(C7))/((E7)-(C7))),1-SQRT(RAND()*((E7)-(D7))/((E7)-(C7))))</f>
        <v>0.27380263732278093</v>
      </c>
      <c r="C535" s="67">
        <f ca="1">(C8)+(E8-C8)*IF(RAND()&lt;((D8)-(C8))/((E8)-(C8)),SQRT(RAND()*((D8)-(C8))/((E8)-(C8))),1-SQRT(RAND()*((E8)-(D8))/((E8)-(C8))))</f>
        <v>0.69706153025874906</v>
      </c>
      <c r="D535" s="68">
        <f ca="1">(C9)+(E9-C9)*IF(RAND()&lt;((D9)-(C9))/((E9)-(C9)),SQRT(RAND()*((D9)-(C9))/((E9)-(C9))),1-SQRT(RAND()*((E9)-(D9))/((E9)-(C9))))</f>
        <v>1228032.9683541968</v>
      </c>
      <c r="E535" s="68">
        <f ca="1">(C10)+(E10-C10)*IF(RAND()&lt;((D10)-(C10))/((E10)-(C10)),SQRT(RAND()*((D10)-(C10))/((E10)-(C10))),1-SQRT(RAND()*((E10)-(D10))/((E10)-(C10))))</f>
        <v>3144266.6988404496</v>
      </c>
      <c r="F535" s="67">
        <f ca="1">(C11)+(E11-C11)*IF(RAND()&lt;((D11)-(C11))/((E11)-(C11)),SQRT(RAND()*((D11)-(C11))/((E11)-(C11))),1-SQRT(RAND()*((E11)-(D11))/((E11)-(C11))))</f>
        <v>8.3702694229205402E-3</v>
      </c>
      <c r="G535" s="67">
        <f ca="1">(C12)+(E12-C12)*IF(RAND()&lt;((D12)-(C12))/((E12)-(C12)),SQRT(RAND()*((D12)-(C12))/((E12)-(C12))),1-SQRT(RAND()*((E12)-(D12))/((E12)-(C12))))</f>
        <v>0.15878228316759371</v>
      </c>
      <c r="H535" s="68">
        <f t="shared" ca="1" si="16"/>
        <v>254910755.68675569</v>
      </c>
      <c r="I535" s="69">
        <f t="shared" ca="1" si="17"/>
        <v>275.10974429127481</v>
      </c>
    </row>
    <row r="536" spans="1:9" ht="16.05" customHeight="1" x14ac:dyDescent="0.3">
      <c r="A536" s="70">
        <v>520</v>
      </c>
      <c r="B536" s="71">
        <f ca="1">(C7)+(E7-C7)*IF(RAND()&lt;((D7)-(C7))/((E7)-(C7)),SQRT(RAND()*((D7)-(C7))/((E7)-(C7))),1-SQRT(RAND()*((E7)-(D7))/((E7)-(C7))))</f>
        <v>0.26793954971177347</v>
      </c>
      <c r="C536" s="71">
        <f ca="1">(C8)+(E8-C8)*IF(RAND()&lt;((D8)-(C8))/((E8)-(C8)),SQRT(RAND()*((D8)-(C8))/((E8)-(C8))),1-SQRT(RAND()*((E8)-(D8))/((E8)-(C8))))</f>
        <v>0.75665473377247328</v>
      </c>
      <c r="D536" s="72">
        <f ca="1">(C9)+(E9-C9)*IF(RAND()&lt;((D9)-(C9))/((E9)-(C9)),SQRT(RAND()*((D9)-(C9))/((E9)-(C9))),1-SQRT(RAND()*((E9)-(D9))/((E9)-(C9))))</f>
        <v>1338940.0215872137</v>
      </c>
      <c r="E536" s="72">
        <f ca="1">(C10)+(E10-C10)*IF(RAND()&lt;((D10)-(C10))/((E10)-(C10)),SQRT(RAND()*((D10)-(C10))/((E10)-(C10))),1-SQRT(RAND()*((E10)-(D10))/((E10)-(C10))))</f>
        <v>3771093.0671215649</v>
      </c>
      <c r="F536" s="71">
        <f ca="1">(C11)+(E11-C11)*IF(RAND()&lt;((D11)-(C11))/((E11)-(C11)),SQRT(RAND()*((D11)-(C11))/((E11)-(C11))),1-SQRT(RAND()*((E11)-(D11))/((E11)-(C11))))</f>
        <v>1.1105863666959885E-2</v>
      </c>
      <c r="G536" s="71">
        <f ca="1">(C12)+(E12-C12)*IF(RAND()&lt;((D12)-(C12))/((E12)-(C12)),SQRT(RAND()*((D12)-(C12))/((E12)-(C12))),1-SQRT(RAND()*((E12)-(D12))/((E12)-(C12))))</f>
        <v>0.15776206482175145</v>
      </c>
      <c r="H536" s="72">
        <f t="shared" ca="1" si="16"/>
        <v>285093664.45555562</v>
      </c>
      <c r="I536" s="73">
        <f t="shared" ca="1" si="17"/>
        <v>282.16424283507837</v>
      </c>
    </row>
    <row r="537" spans="1:9" ht="16.05" customHeight="1" x14ac:dyDescent="0.3">
      <c r="A537" s="66">
        <v>521</v>
      </c>
      <c r="B537" s="67">
        <f ca="1">(C7)+(E7-C7)*IF(RAND()&lt;((D7)-(C7))/((E7)-(C7)),SQRT(RAND()*((D7)-(C7))/((E7)-(C7))),1-SQRT(RAND()*((E7)-(D7))/((E7)-(C7))))</f>
        <v>0.2097903317742997</v>
      </c>
      <c r="C537" s="67">
        <f ca="1">(C8)+(E8-C8)*IF(RAND()&lt;((D8)-(C8))/((E8)-(C8)),SQRT(RAND()*((D8)-(C8))/((E8)-(C8))),1-SQRT(RAND()*((E8)-(D8))/((E8)-(C8))))</f>
        <v>0.61888941261956276</v>
      </c>
      <c r="D537" s="68">
        <f ca="1">(C9)+(E9-C9)*IF(RAND()&lt;((D9)-(C9))/((E9)-(C9)),SQRT(RAND()*((D9)-(C9))/((E9)-(C9))),1-SQRT(RAND()*((E9)-(D9))/((E9)-(C9))))</f>
        <v>1210165.3777472794</v>
      </c>
      <c r="E537" s="68">
        <f ca="1">(C10)+(E10-C10)*IF(RAND()&lt;((D10)-(C10))/((E10)-(C10)),SQRT(RAND()*((D10)-(C10))/((E10)-(C10))),1-SQRT(RAND()*((E10)-(D10))/((E10)-(C10))))</f>
        <v>4003741.6719386596</v>
      </c>
      <c r="F537" s="67">
        <f ca="1">(C11)+(E11-C11)*IF(RAND()&lt;((D11)-(C11))/((E11)-(C11)),SQRT(RAND()*((D11)-(C11))/((E11)-(C11))),1-SQRT(RAND()*((E11)-(D11))/((E11)-(C11))))</f>
        <v>2.3027066379830895E-2</v>
      </c>
      <c r="G537" s="67">
        <f ca="1">(C12)+(E12-C12)*IF(RAND()&lt;((D12)-(C12))/((E12)-(C12)),SQRT(RAND()*((D12)-(C12))/((E12)-(C12))),1-SQRT(RAND()*((E12)-(D12))/((E12)-(C12))))</f>
        <v>0.12479122705775818</v>
      </c>
      <c r="H537" s="68">
        <f t="shared" ca="1" si="16"/>
        <v>291070927.85643542</v>
      </c>
      <c r="I537" s="69">
        <f t="shared" ca="1" si="17"/>
        <v>318.56396446673506</v>
      </c>
    </row>
    <row r="538" spans="1:9" ht="16.05" customHeight="1" x14ac:dyDescent="0.3">
      <c r="A538" s="70">
        <v>522</v>
      </c>
      <c r="B538" s="71">
        <f ca="1">(C7)+(E7-C7)*IF(RAND()&lt;((D7)-(C7))/((E7)-(C7)),SQRT(RAND()*((D7)-(C7))/((E7)-(C7))),1-SQRT(RAND()*((E7)-(D7))/((E7)-(C7))))</f>
        <v>0.27659376125766483</v>
      </c>
      <c r="C538" s="71">
        <f ca="1">(C8)+(E8-C8)*IF(RAND()&lt;((D8)-(C8))/((E8)-(C8)),SQRT(RAND()*((D8)-(C8))/((E8)-(C8))),1-SQRT(RAND()*((E8)-(D8))/((E8)-(C8))))</f>
        <v>0.59841291739616342</v>
      </c>
      <c r="D538" s="72">
        <f ca="1">(C9)+(E9-C9)*IF(RAND()&lt;((D9)-(C9))/((E9)-(C9)),SQRT(RAND()*((D9)-(C9))/((E9)-(C9))),1-SQRT(RAND()*((E9)-(D9))/((E9)-(C9))))</f>
        <v>1328615.2893652946</v>
      </c>
      <c r="E538" s="72">
        <f ca="1">(C10)+(E10-C10)*IF(RAND()&lt;((D10)-(C10))/((E10)-(C10)),SQRT(RAND()*((D10)-(C10))/((E10)-(C10))),1-SQRT(RAND()*((E10)-(D10))/((E10)-(C10))))</f>
        <v>4221081.8114299905</v>
      </c>
      <c r="F538" s="71">
        <f ca="1">(C11)+(E11-C11)*IF(RAND()&lt;((D11)-(C11))/((E11)-(C11)),SQRT(RAND()*((D11)-(C11))/((E11)-(C11))),1-SQRT(RAND()*((E11)-(D11))/((E11)-(C11))))</f>
        <v>1.5352912583123317E-2</v>
      </c>
      <c r="G538" s="71">
        <f ca="1">(C12)+(E12-C12)*IF(RAND()&lt;((D12)-(C12))/((E12)-(C12)),SQRT(RAND()*((D12)-(C12))/((E12)-(C12))),1-SQRT(RAND()*((E12)-(D12))/((E12)-(C12))))</f>
        <v>0.14619019746934847</v>
      </c>
      <c r="H538" s="72">
        <f t="shared" ca="1" si="16"/>
        <v>273557720.90992004</v>
      </c>
      <c r="I538" s="73">
        <f t="shared" ca="1" si="17"/>
        <v>272.89435690940434</v>
      </c>
    </row>
    <row r="539" spans="1:9" ht="16.05" customHeight="1" x14ac:dyDescent="0.3">
      <c r="A539" s="66">
        <v>523</v>
      </c>
      <c r="B539" s="67">
        <f ca="1">(C7)+(E7-C7)*IF(RAND()&lt;((D7)-(C7))/((E7)-(C7)),SQRT(RAND()*((D7)-(C7))/((E7)-(C7))),1-SQRT(RAND()*((E7)-(D7))/((E7)-(C7))))</f>
        <v>0.2569654851231209</v>
      </c>
      <c r="C539" s="67">
        <f ca="1">(C8)+(E8-C8)*IF(RAND()&lt;((D8)-(C8))/((E8)-(C8)),SQRT(RAND()*((D8)-(C8))/((E8)-(C8))),1-SQRT(RAND()*((E8)-(D8))/((E8)-(C8))))</f>
        <v>0.61356338918540376</v>
      </c>
      <c r="D539" s="68">
        <f ca="1">(C9)+(E9-C9)*IF(RAND()&lt;((D9)-(C9))/((E9)-(C9)),SQRT(RAND()*((D9)-(C9))/((E9)-(C9))),1-SQRT(RAND()*((E9)-(D9))/((E9)-(C9))))</f>
        <v>1208632.3350975078</v>
      </c>
      <c r="E539" s="68">
        <f ca="1">(C10)+(E10-C10)*IF(RAND()&lt;((D10)-(C10))/((E10)-(C10)),SQRT(RAND()*((D10)-(C10))/((E10)-(C10))),1-SQRT(RAND()*((E10)-(D10))/((E10)-(C10))))</f>
        <v>3219300.4768870389</v>
      </c>
      <c r="F539" s="67">
        <f ca="1">(C11)+(E11-C11)*IF(RAND()&lt;((D11)-(C11))/((E11)-(C11)),SQRT(RAND()*((D11)-(C11))/((E11)-(C11))),1-SQRT(RAND()*((E11)-(D11))/((E11)-(C11))))</f>
        <v>8.9938299411377702E-3</v>
      </c>
      <c r="G539" s="67">
        <f ca="1">(C12)+(E12-C12)*IF(RAND()&lt;((D12)-(C12))/((E12)-(C12)),SQRT(RAND()*((D12)-(C12))/((E12)-(C12))),1-SQRT(RAND()*((E12)-(D12))/((E12)-(C12))))</f>
        <v>0.17327207544383227</v>
      </c>
      <c r="H539" s="68">
        <f t="shared" ca="1" si="16"/>
        <v>223034206.36882725</v>
      </c>
      <c r="I539" s="69">
        <f t="shared" ca="1" si="17"/>
        <v>244.71749687048285</v>
      </c>
    </row>
    <row r="540" spans="1:9" ht="16.05" customHeight="1" x14ac:dyDescent="0.3">
      <c r="A540" s="70">
        <v>524</v>
      </c>
      <c r="B540" s="71">
        <f ca="1">(C7)+(E7-C7)*IF(RAND()&lt;((D7)-(C7))/((E7)-(C7)),SQRT(RAND()*((D7)-(C7))/((E7)-(C7))),1-SQRT(RAND()*((E7)-(D7))/((E7)-(C7))))</f>
        <v>0.27290620224020201</v>
      </c>
      <c r="C540" s="71">
        <f ca="1">(C8)+(E8-C8)*IF(RAND()&lt;((D8)-(C8))/((E8)-(C8)),SQRT(RAND()*((D8)-(C8))/((E8)-(C8))),1-SQRT(RAND()*((E8)-(D8))/((E8)-(C8))))</f>
        <v>0.81046993401950596</v>
      </c>
      <c r="D540" s="72">
        <f ca="1">(C9)+(E9-C9)*IF(RAND()&lt;((D9)-(C9))/((E9)-(C9)),SQRT(RAND()*((D9)-(C9))/((E9)-(C9))),1-SQRT(RAND()*((E9)-(D9))/((E9)-(C9))))</f>
        <v>1276836.6783586685</v>
      </c>
      <c r="E540" s="72">
        <f ca="1">(C10)+(E10-C10)*IF(RAND()&lt;((D10)-(C10))/((E10)-(C10)),SQRT(RAND()*((D10)-(C10))/((E10)-(C10))),1-SQRT(RAND()*((E10)-(D10))/((E10)-(C10))))</f>
        <v>4148620.7716110307</v>
      </c>
      <c r="F540" s="71">
        <f ca="1">(C11)+(E11-C11)*IF(RAND()&lt;((D11)-(C11))/((E11)-(C11)),SQRT(RAND()*((D11)-(C11))/((E11)-(C11))),1-SQRT(RAND()*((E11)-(D11))/((E11)-(C11))))</f>
        <v>1.0697009451075067E-2</v>
      </c>
      <c r="G540" s="71">
        <f ca="1">(C12)+(E12-C12)*IF(RAND()&lt;((D12)-(C12))/((E12)-(C12)),SQRT(RAND()*((D12)-(C12))/((E12)-(C12))),1-SQRT(RAND()*((E12)-(D12))/((E12)-(C12))))</f>
        <v>0.18439840329230522</v>
      </c>
      <c r="H540" s="72">
        <f t="shared" ca="1" si="16"/>
        <v>300840518.52787006</v>
      </c>
      <c r="I540" s="73">
        <f t="shared" ca="1" si="17"/>
        <v>312.09080440195078</v>
      </c>
    </row>
    <row r="541" spans="1:9" ht="16.05" customHeight="1" x14ac:dyDescent="0.3">
      <c r="A541" s="66">
        <v>525</v>
      </c>
      <c r="B541" s="67">
        <f ca="1">(C7)+(E7-C7)*IF(RAND()&lt;((D7)-(C7))/((E7)-(C7)),SQRT(RAND()*((D7)-(C7))/((E7)-(C7))),1-SQRT(RAND()*((E7)-(D7))/((E7)-(C7))))</f>
        <v>0.25484499793754511</v>
      </c>
      <c r="C541" s="67">
        <f ca="1">(C8)+(E8-C8)*IF(RAND()&lt;((D8)-(C8))/((E8)-(C8)),SQRT(RAND()*((D8)-(C8))/((E8)-(C8))),1-SQRT(RAND()*((E8)-(D8))/((E8)-(C8))))</f>
        <v>0.85853967463721204</v>
      </c>
      <c r="D541" s="68">
        <f ca="1">(C9)+(E9-C9)*IF(RAND()&lt;((D9)-(C9))/((E9)-(C9)),SQRT(RAND()*((D9)-(C9))/((E9)-(C9))),1-SQRT(RAND()*((E9)-(D9))/((E9)-(C9))))</f>
        <v>1328998.5611174162</v>
      </c>
      <c r="E541" s="68">
        <f ca="1">(C10)+(E10-C10)*IF(RAND()&lt;((D10)-(C10))/((E10)-(C10)),SQRT(RAND()*((D10)-(C10))/((E10)-(C10))),1-SQRT(RAND()*((E10)-(D10))/((E10)-(C10))))</f>
        <v>3785500.5078367926</v>
      </c>
      <c r="F541" s="67">
        <f ca="1">(C11)+(E11-C11)*IF(RAND()&lt;((D11)-(C11))/((E11)-(C11)),SQRT(RAND()*((D11)-(C11))/((E11)-(C11))),1-SQRT(RAND()*((E11)-(D11))/((E11)-(C11))))</f>
        <v>1.9255491921361743E-2</v>
      </c>
      <c r="G541" s="67">
        <f ca="1">(C12)+(E12-C12)*IF(RAND()&lt;((D12)-(C12))/((E12)-(C12)),SQRT(RAND()*((D12)-(C12))/((E12)-(C12))),1-SQRT(RAND()*((E12)-(D12))/((E12)-(C12))))</f>
        <v>0.16819490153196948</v>
      </c>
      <c r="H541" s="68">
        <f t="shared" ca="1" si="16"/>
        <v>361339322.85315257</v>
      </c>
      <c r="I541" s="69">
        <f t="shared" ca="1" si="17"/>
        <v>359.93639252966392</v>
      </c>
    </row>
    <row r="542" spans="1:9" ht="16.05" customHeight="1" x14ac:dyDescent="0.3">
      <c r="A542" s="70">
        <v>526</v>
      </c>
      <c r="B542" s="71">
        <f ca="1">(C7)+(E7-C7)*IF(RAND()&lt;((D7)-(C7))/((E7)-(C7)),SQRT(RAND()*((D7)-(C7))/((E7)-(C7))),1-SQRT(RAND()*((E7)-(D7))/((E7)-(C7))))</f>
        <v>0.2148059353907629</v>
      </c>
      <c r="C542" s="71">
        <f ca="1">(C8)+(E8-C8)*IF(RAND()&lt;((D8)-(C8))/((E8)-(C8)),SQRT(RAND()*((D8)-(C8))/((E8)-(C8))),1-SQRT(RAND()*((E8)-(D8))/((E8)-(C8))))</f>
        <v>0.71841281612644625</v>
      </c>
      <c r="D542" s="72">
        <f ca="1">(C9)+(E9-C9)*IF(RAND()&lt;((D9)-(C9))/((E9)-(C9)),SQRT(RAND()*((D9)-(C9))/((E9)-(C9))),1-SQRT(RAND()*((E9)-(D9))/((E9)-(C9))))</f>
        <v>1317053.9257831734</v>
      </c>
      <c r="E542" s="72">
        <f ca="1">(C10)+(E10-C10)*IF(RAND()&lt;((D10)-(C10))/((E10)-(C10)),SQRT(RAND()*((D10)-(C10))/((E10)-(C10))),1-SQRT(RAND()*((E10)-(D10))/((E10)-(C10))))</f>
        <v>2405682.236349198</v>
      </c>
      <c r="F542" s="71">
        <f ca="1">(C11)+(E11-C11)*IF(RAND()&lt;((D11)-(C11))/((E11)-(C11)),SQRT(RAND()*((D11)-(C11))/((E11)-(C11))),1-SQRT(RAND()*((E11)-(D11))/((E11)-(C11))))</f>
        <v>7.1495913816311905E-3</v>
      </c>
      <c r="G542" s="71">
        <f ca="1">(C12)+(E12-C12)*IF(RAND()&lt;((D12)-(C12))/((E12)-(C12)),SQRT(RAND()*((D12)-(C12))/((E12)-(C12))),1-SQRT(RAND()*((E12)-(D12))/((E12)-(C12))))</f>
        <v>0.17126009647594814</v>
      </c>
      <c r="H542" s="72">
        <f t="shared" ca="1" si="16"/>
        <v>209059441.31581321</v>
      </c>
      <c r="I542" s="73">
        <f t="shared" ca="1" si="17"/>
        <v>210.68533480950748</v>
      </c>
    </row>
    <row r="543" spans="1:9" ht="16.05" customHeight="1" x14ac:dyDescent="0.3">
      <c r="A543" s="66">
        <v>527</v>
      </c>
      <c r="B543" s="67">
        <f ca="1">(C7)+(E7-C7)*IF(RAND()&lt;((D7)-(C7))/((E7)-(C7)),SQRT(RAND()*((D7)-(C7))/((E7)-(C7))),1-SQRT(RAND()*((E7)-(D7))/((E7)-(C7))))</f>
        <v>0.2152972142734734</v>
      </c>
      <c r="C543" s="67">
        <f ca="1">(C8)+(E8-C8)*IF(RAND()&lt;((D8)-(C8))/((E8)-(C8)),SQRT(RAND()*((D8)-(C8))/((E8)-(C8))),1-SQRT(RAND()*((E8)-(D8))/((E8)-(C8))))</f>
        <v>0.72189245115441125</v>
      </c>
      <c r="D543" s="68">
        <f ca="1">(C9)+(E9-C9)*IF(RAND()&lt;((D9)-(C9))/((E9)-(C9)),SQRT(RAND()*((D9)-(C9))/((E9)-(C9))),1-SQRT(RAND()*((E9)-(D9))/((E9)-(C9))))</f>
        <v>1237200.4512310647</v>
      </c>
      <c r="E543" s="68">
        <f ca="1">(C10)+(E10-C10)*IF(RAND()&lt;((D10)-(C10))/((E10)-(C10)),SQRT(RAND()*((D10)-(C10))/((E10)-(C10))),1-SQRT(RAND()*((E10)-(D10))/((E10)-(C10))))</f>
        <v>3400600.2853990337</v>
      </c>
      <c r="F543" s="67">
        <f ca="1">(C11)+(E11-C11)*IF(RAND()&lt;((D11)-(C11))/((E11)-(C11)),SQRT(RAND()*((D11)-(C11))/((E11)-(C11))),1-SQRT(RAND()*((E11)-(D11))/((E11)-(C11))))</f>
        <v>1.4747097385270773E-2</v>
      </c>
      <c r="G543" s="67">
        <f ca="1">(C12)+(E12-C12)*IF(RAND()&lt;((D12)-(C12))/((E12)-(C12)),SQRT(RAND()*((D12)-(C12))/((E12)-(C12))),1-SQRT(RAND()*((E12)-(D12))/((E12)-(C12))))</f>
        <v>0.17308409514677087</v>
      </c>
      <c r="H543" s="68">
        <f t="shared" ca="1" si="16"/>
        <v>261403005.24899402</v>
      </c>
      <c r="I543" s="69">
        <f t="shared" ca="1" si="17"/>
        <v>280.00242220326072</v>
      </c>
    </row>
    <row r="544" spans="1:9" ht="16.05" customHeight="1" x14ac:dyDescent="0.3">
      <c r="A544" s="70">
        <v>528</v>
      </c>
      <c r="B544" s="71">
        <f ca="1">(C7)+(E7-C7)*IF(RAND()&lt;((D7)-(C7))/((E7)-(C7)),SQRT(RAND()*((D7)-(C7))/((E7)-(C7))),1-SQRT(RAND()*((E7)-(D7))/((E7)-(C7))))</f>
        <v>0.21672772164074633</v>
      </c>
      <c r="C544" s="71">
        <f ca="1">(C8)+(E8-C8)*IF(RAND()&lt;((D8)-(C8))/((E8)-(C8)),SQRT(RAND()*((D8)-(C8))/((E8)-(C8))),1-SQRT(RAND()*((E8)-(D8))/((E8)-(C8))))</f>
        <v>0.63614384985076788</v>
      </c>
      <c r="D544" s="72">
        <f ca="1">(C9)+(E9-C9)*IF(RAND()&lt;((D9)-(C9))/((E9)-(C9)),SQRT(RAND()*((D9)-(C9))/((E9)-(C9))),1-SQRT(RAND()*((E9)-(D9))/((E9)-(C9))))</f>
        <v>1177320.9516471028</v>
      </c>
      <c r="E544" s="72">
        <f ca="1">(C10)+(E10-C10)*IF(RAND()&lt;((D10)-(C10))/((E10)-(C10)),SQRT(RAND()*((D10)-(C10))/((E10)-(C10))),1-SQRT(RAND()*((E10)-(D10))/((E10)-(C10))))</f>
        <v>4066237.7792228428</v>
      </c>
      <c r="F544" s="71">
        <f ca="1">(C11)+(E11-C11)*IF(RAND()&lt;((D11)-(C11))/((E11)-(C11)),SQRT(RAND()*((D11)-(C11))/((E11)-(C11))),1-SQRT(RAND()*((E11)-(D11))/((E11)-(C11))))</f>
        <v>2.4854053708761717E-2</v>
      </c>
      <c r="G544" s="71">
        <f ca="1">(C12)+(E12-C12)*IF(RAND()&lt;((D12)-(C12))/((E12)-(C12)),SQRT(RAND()*((D12)-(C12))/((E12)-(C12))),1-SQRT(RAND()*((E12)-(D12))/((E12)-(C12))))</f>
        <v>0.17091516592904227</v>
      </c>
      <c r="H544" s="72">
        <f t="shared" ca="1" si="16"/>
        <v>312792972.86287671</v>
      </c>
      <c r="I544" s="73">
        <f t="shared" ca="1" si="17"/>
        <v>351.75018518435274</v>
      </c>
    </row>
    <row r="545" spans="1:9" ht="16.05" customHeight="1" x14ac:dyDescent="0.3">
      <c r="A545" s="66">
        <v>529</v>
      </c>
      <c r="B545" s="67">
        <f ca="1">(C7)+(E7-C7)*IF(RAND()&lt;((D7)-(C7))/((E7)-(C7)),SQRT(RAND()*((D7)-(C7))/((E7)-(C7))),1-SQRT(RAND()*((E7)-(D7))/((E7)-(C7))))</f>
        <v>0.27216003586686355</v>
      </c>
      <c r="C545" s="67">
        <f ca="1">(C8)+(E8-C8)*IF(RAND()&lt;((D8)-(C8))/((E8)-(C8)),SQRT(RAND()*((D8)-(C8))/((E8)-(C8))),1-SQRT(RAND()*((E8)-(D8))/((E8)-(C8))))</f>
        <v>0.74051365947969428</v>
      </c>
      <c r="D545" s="68">
        <f ca="1">(C9)+(E9-C9)*IF(RAND()&lt;((D9)-(C9))/((E9)-(C9)),SQRT(RAND()*((D9)-(C9))/((E9)-(C9))),1-SQRT(RAND()*((E9)-(D9))/((E9)-(C9))))</f>
        <v>1436882.1649753533</v>
      </c>
      <c r="E545" s="68">
        <f ca="1">(C10)+(E10-C10)*IF(RAND()&lt;((D10)-(C10))/((E10)-(C10)),SQRT(RAND()*((D10)-(C10))/((E10)-(C10))),1-SQRT(RAND()*((E10)-(D10))/((E10)-(C10))))</f>
        <v>4181535.6264598342</v>
      </c>
      <c r="F545" s="67">
        <f ca="1">(C11)+(E11-C11)*IF(RAND()&lt;((D11)-(C11))/((E11)-(C11)),SQRT(RAND()*((D11)-(C11))/((E11)-(C11))),1-SQRT(RAND()*((E11)-(D11))/((E11)-(C11))))</f>
        <v>6.3996374137543595E-3</v>
      </c>
      <c r="G545" s="67">
        <f ca="1">(C12)+(E12-C12)*IF(RAND()&lt;((D12)-(C12))/((E12)-(C12)),SQRT(RAND()*((D12)-(C12))/((E12)-(C12))),1-SQRT(RAND()*((E12)-(D12))/((E12)-(C12))))</f>
        <v>0.16446855198909305</v>
      </c>
      <c r="H545" s="68">
        <f t="shared" ca="1" si="16"/>
        <v>248166882.56589019</v>
      </c>
      <c r="I545" s="69">
        <f t="shared" ca="1" si="17"/>
        <v>229.12402261606479</v>
      </c>
    </row>
    <row r="546" spans="1:9" ht="16.05" customHeight="1" x14ac:dyDescent="0.3">
      <c r="A546" s="70">
        <v>530</v>
      </c>
      <c r="B546" s="71">
        <f ca="1">(C7)+(E7-C7)*IF(RAND()&lt;((D7)-(C7))/((E7)-(C7)),SQRT(RAND()*((D7)-(C7))/((E7)-(C7))),1-SQRT(RAND()*((E7)-(D7))/((E7)-(C7))))</f>
        <v>0.22641188598396558</v>
      </c>
      <c r="C546" s="71">
        <f ca="1">(C8)+(E8-C8)*IF(RAND()&lt;((D8)-(C8))/((E8)-(C8)),SQRT(RAND()*((D8)-(C8))/((E8)-(C8))),1-SQRT(RAND()*((E8)-(D8))/((E8)-(C8))))</f>
        <v>0.66222678286530745</v>
      </c>
      <c r="D546" s="72">
        <f ca="1">(C9)+(E9-C9)*IF(RAND()&lt;((D9)-(C9))/((E9)-(C9)),SQRT(RAND()*((D9)-(C9))/((E9)-(C9))),1-SQRT(RAND()*((E9)-(D9))/((E9)-(C9))))</f>
        <v>1340069.4951894833</v>
      </c>
      <c r="E546" s="72">
        <f ca="1">(C10)+(E10-C10)*IF(RAND()&lt;((D10)-(C10))/((E10)-(C10)),SQRT(RAND()*((D10)-(C10))/((E10)-(C10))),1-SQRT(RAND()*((E10)-(D10))/((E10)-(C10))))</f>
        <v>3146149.4825399015</v>
      </c>
      <c r="F546" s="71">
        <f ca="1">(C11)+(E11-C11)*IF(RAND()&lt;((D11)-(C11))/((E11)-(C11)),SQRT(RAND()*((D11)-(C11))/((E11)-(C11))),1-SQRT(RAND()*((E11)-(D11))/((E11)-(C11))))</f>
        <v>6.8990583470474893E-3</v>
      </c>
      <c r="G546" s="71">
        <f ca="1">(C12)+(E12-C12)*IF(RAND()&lt;((D12)-(C12))/((E12)-(C12)),SQRT(RAND()*((D12)-(C12))/((E12)-(C12))),1-SQRT(RAND()*((E12)-(D12))/((E12)-(C12))))</f>
        <v>0.13760876559768503</v>
      </c>
      <c r="H546" s="72">
        <f t="shared" ca="1" si="16"/>
        <v>199652349.82071939</v>
      </c>
      <c r="I546" s="73">
        <f t="shared" ca="1" si="17"/>
        <v>197.8303888891999</v>
      </c>
    </row>
    <row r="547" spans="1:9" ht="16.05" customHeight="1" x14ac:dyDescent="0.3">
      <c r="A547" s="66">
        <v>531</v>
      </c>
      <c r="B547" s="67">
        <f ca="1">(C7)+(E7-C7)*IF(RAND()&lt;((D7)-(C7))/((E7)-(C7)),SQRT(RAND()*((D7)-(C7))/((E7)-(C7))),1-SQRT(RAND()*((E7)-(D7))/((E7)-(C7))))</f>
        <v>0.20781699634940007</v>
      </c>
      <c r="C547" s="67">
        <f ca="1">(C8)+(E8-C8)*IF(RAND()&lt;((D8)-(C8))/((E8)-(C8)),SQRT(RAND()*((D8)-(C8))/((E8)-(C8))),1-SQRT(RAND()*((E8)-(D8))/((E8)-(C8))))</f>
        <v>0.71638606050234488</v>
      </c>
      <c r="D547" s="68">
        <f ca="1">(C9)+(E9-C9)*IF(RAND()&lt;((D9)-(C9))/((E9)-(C9)),SQRT(RAND()*((D9)-(C9))/((E9)-(C9))),1-SQRT(RAND()*((E9)-(D9))/((E9)-(C9))))</f>
        <v>1175262.887668662</v>
      </c>
      <c r="E547" s="68">
        <f ca="1">(C10)+(E10-C10)*IF(RAND()&lt;((D10)-(C10))/((E10)-(C10)),SQRT(RAND()*((D10)-(C10))/((E10)-(C10))),1-SQRT(RAND()*((E10)-(D10))/((E10)-(C10))))</f>
        <v>4130056.0158688612</v>
      </c>
      <c r="F547" s="67">
        <f ca="1">(C11)+(E11-C11)*IF(RAND()&lt;((D11)-(C11))/((E11)-(C11)),SQRT(RAND()*((D11)-(C11))/((E11)-(C11))),1-SQRT(RAND()*((E11)-(D11))/((E11)-(C11))))</f>
        <v>1.2249950614425072E-2</v>
      </c>
      <c r="G547" s="67">
        <f ca="1">(C12)+(E12-C12)*IF(RAND()&lt;((D12)-(C12))/((E12)-(C12)),SQRT(RAND()*((D12)-(C12))/((E12)-(C12))),1-SQRT(RAND()*((E12)-(D12))/((E12)-(C12))))</f>
        <v>0.17240008007160901</v>
      </c>
      <c r="H547" s="68">
        <f t="shared" ca="1" si="16"/>
        <v>233556342.4799619</v>
      </c>
      <c r="I547" s="69">
        <f t="shared" ca="1" si="17"/>
        <v>263.4372565006264</v>
      </c>
    </row>
    <row r="548" spans="1:9" ht="16.05" customHeight="1" x14ac:dyDescent="0.3">
      <c r="A548" s="70">
        <v>532</v>
      </c>
      <c r="B548" s="71">
        <f ca="1">(C7)+(E7-C7)*IF(RAND()&lt;((D7)-(C7))/((E7)-(C7)),SQRT(RAND()*((D7)-(C7))/((E7)-(C7))),1-SQRT(RAND()*((E7)-(D7))/((E7)-(C7))))</f>
        <v>0.22025243305928854</v>
      </c>
      <c r="C548" s="71">
        <f ca="1">(C8)+(E8-C8)*IF(RAND()&lt;((D8)-(C8))/((E8)-(C8)),SQRT(RAND()*((D8)-(C8))/((E8)-(C8))),1-SQRT(RAND()*((E8)-(D8))/((E8)-(C8))))</f>
        <v>0.83228944522883908</v>
      </c>
      <c r="D548" s="72">
        <f ca="1">(C9)+(E9-C9)*IF(RAND()&lt;((D9)-(C9))/((E9)-(C9)),SQRT(RAND()*((D9)-(C9))/((E9)-(C9))),1-SQRT(RAND()*((E9)-(D9))/((E9)-(C9))))</f>
        <v>1272024.860858887</v>
      </c>
      <c r="E548" s="72">
        <f ca="1">(C10)+(E10-C10)*IF(RAND()&lt;((D10)-(C10))/((E10)-(C10)),SQRT(RAND()*((D10)-(C10))/((E10)-(C10))),1-SQRT(RAND()*((E10)-(D10))/((E10)-(C10))))</f>
        <v>3188269.7582577532</v>
      </c>
      <c r="F548" s="71">
        <f ca="1">(C11)+(E11-C11)*IF(RAND()&lt;((D11)-(C11))/((E11)-(C11)),SQRT(RAND()*((D11)-(C11))/((E11)-(C11))),1-SQRT(RAND()*((E11)-(D11))/((E11)-(C11))))</f>
        <v>9.1050578144597719E-3</v>
      </c>
      <c r="G548" s="71">
        <f ca="1">(C12)+(E12-C12)*IF(RAND()&lt;((D12)-(C12))/((E12)-(C12)),SQRT(RAND()*((D12)-(C12))/((E12)-(C12))),1-SQRT(RAND()*((E12)-(D12))/((E12)-(C12))))</f>
        <v>0.14159981209259592</v>
      </c>
      <c r="H548" s="72">
        <f t="shared" ca="1" si="16"/>
        <v>251796403.37635586</v>
      </c>
      <c r="I548" s="73">
        <f t="shared" ca="1" si="17"/>
        <v>262.41159230404759</v>
      </c>
    </row>
    <row r="549" spans="1:9" ht="16.05" customHeight="1" x14ac:dyDescent="0.3">
      <c r="A549" s="66">
        <v>533</v>
      </c>
      <c r="B549" s="67">
        <f ca="1">(C7)+(E7-C7)*IF(RAND()&lt;((D7)-(C7))/((E7)-(C7)),SQRT(RAND()*((D7)-(C7))/((E7)-(C7))),1-SQRT(RAND()*((E7)-(D7))/((E7)-(C7))))</f>
        <v>0.20968846740425223</v>
      </c>
      <c r="C549" s="67">
        <f ca="1">(C8)+(E8-C8)*IF(RAND()&lt;((D8)-(C8))/((E8)-(C8)),SQRT(RAND()*((D8)-(C8))/((E8)-(C8))),1-SQRT(RAND()*((E8)-(D8))/((E8)-(C8))))</f>
        <v>0.61891357939756197</v>
      </c>
      <c r="D549" s="68">
        <f ca="1">(C9)+(E9-C9)*IF(RAND()&lt;((D9)-(C9))/((E9)-(C9)),SQRT(RAND()*((D9)-(C9))/((E9)-(C9))),1-SQRT(RAND()*((E9)-(D9))/((E9)-(C9))))</f>
        <v>1266500.7611398478</v>
      </c>
      <c r="E549" s="68">
        <f ca="1">(C10)+(E10-C10)*IF(RAND()&lt;((D10)-(C10))/((E10)-(C10)),SQRT(RAND()*((D10)-(C10))/((E10)-(C10))),1-SQRT(RAND()*((E10)-(D10))/((E10)-(C10))))</f>
        <v>3315470.6903083073</v>
      </c>
      <c r="F549" s="67">
        <f ca="1">(C11)+(E11-C11)*IF(RAND()&lt;((D11)-(C11))/((E11)-(C11)),SQRT(RAND()*((D11)-(C11))/((E11)-(C11))),1-SQRT(RAND()*((E11)-(D11))/((E11)-(C11))))</f>
        <v>1.4277603833505603E-2</v>
      </c>
      <c r="G549" s="67">
        <f ca="1">(C12)+(E12-C12)*IF(RAND()&lt;((D12)-(C12))/((E12)-(C12)),SQRT(RAND()*((D12)-(C12))/((E12)-(C12))),1-SQRT(RAND()*((E12)-(D12))/((E12)-(C12))))</f>
        <v>0.15636420920964594</v>
      </c>
      <c r="H549" s="68">
        <f t="shared" ca="1" si="16"/>
        <v>230409978.03416479</v>
      </c>
      <c r="I549" s="69">
        <f t="shared" ca="1" si="17"/>
        <v>241.27767365332889</v>
      </c>
    </row>
    <row r="550" spans="1:9" ht="16.05" customHeight="1" x14ac:dyDescent="0.3">
      <c r="A550" s="70">
        <v>534</v>
      </c>
      <c r="B550" s="71">
        <f ca="1">(C7)+(E7-C7)*IF(RAND()&lt;((D7)-(C7))/((E7)-(C7)),SQRT(RAND()*((D7)-(C7))/((E7)-(C7))),1-SQRT(RAND()*((E7)-(D7))/((E7)-(C7))))</f>
        <v>0.29668438036269884</v>
      </c>
      <c r="C550" s="71">
        <f ca="1">(C8)+(E8-C8)*IF(RAND()&lt;((D8)-(C8))/((E8)-(C8)),SQRT(RAND()*((D8)-(C8))/((E8)-(C8))),1-SQRT(RAND()*((E8)-(D8))/((E8)-(C8))))</f>
        <v>0.67239473984499787</v>
      </c>
      <c r="D550" s="72">
        <f ca="1">(C9)+(E9-C9)*IF(RAND()&lt;((D9)-(C9))/((E9)-(C9)),SQRT(RAND()*((D9)-(C9))/((E9)-(C9))),1-SQRT(RAND()*((E9)-(D9))/((E9)-(C9))))</f>
        <v>1256594.129236043</v>
      </c>
      <c r="E550" s="72">
        <f ca="1">(C10)+(E10-C10)*IF(RAND()&lt;((D10)-(C10))/((E10)-(C10)),SQRT(RAND()*((D10)-(C10))/((E10)-(C10))),1-SQRT(RAND()*((E10)-(D10))/((E10)-(C10))))</f>
        <v>3124731.7694270923</v>
      </c>
      <c r="F550" s="71">
        <f ca="1">(C11)+(E11-C11)*IF(RAND()&lt;((D11)-(C11))/((E11)-(C11)),SQRT(RAND()*((D11)-(C11))/((E11)-(C11))),1-SQRT(RAND()*((E11)-(D11))/((E11)-(C11))))</f>
        <v>1.5862490017776482E-2</v>
      </c>
      <c r="G550" s="71">
        <f ca="1">(C12)+(E12-C12)*IF(RAND()&lt;((D12)-(C12))/((E12)-(C12)),SQRT(RAND()*((D12)-(C12))/((E12)-(C12))),1-SQRT(RAND()*((E12)-(D12))/((E12)-(C12))))</f>
        <v>0.13253956397304112</v>
      </c>
      <c r="H550" s="72">
        <f t="shared" ca="1" si="16"/>
        <v>318423475.51214123</v>
      </c>
      <c r="I550" s="73">
        <f t="shared" ca="1" si="17"/>
        <v>335.55304401650221</v>
      </c>
    </row>
    <row r="551" spans="1:9" ht="16.05" customHeight="1" x14ac:dyDescent="0.3">
      <c r="A551" s="66">
        <v>535</v>
      </c>
      <c r="B551" s="67">
        <f ca="1">(C7)+(E7-C7)*IF(RAND()&lt;((D7)-(C7))/((E7)-(C7)),SQRT(RAND()*((D7)-(C7))/((E7)-(C7))),1-SQRT(RAND()*((E7)-(D7))/((E7)-(C7))))</f>
        <v>0.17047332167631488</v>
      </c>
      <c r="C551" s="67">
        <f ca="1">(C8)+(E8-C8)*IF(RAND()&lt;((D8)-(C8))/((E8)-(C8)),SQRT(RAND()*((D8)-(C8))/((E8)-(C8))),1-SQRT(RAND()*((E8)-(D8))/((E8)-(C8))))</f>
        <v>0.89201596773174918</v>
      </c>
      <c r="D551" s="68">
        <f ca="1">(C9)+(E9-C9)*IF(RAND()&lt;((D9)-(C9))/((E9)-(C9)),SQRT(RAND()*((D9)-(C9))/((E9)-(C9))),1-SQRT(RAND()*((E9)-(D9))/((E9)-(C9))))</f>
        <v>1376289.8965901439</v>
      </c>
      <c r="E551" s="68">
        <f ca="1">(C10)+(E10-C10)*IF(RAND()&lt;((D10)-(C10))/((E10)-(C10)),SQRT(RAND()*((D10)-(C10))/((E10)-(C10))),1-SQRT(RAND()*((E10)-(D10))/((E10)-(C10))))</f>
        <v>3000532.7786358409</v>
      </c>
      <c r="F551" s="67">
        <f ca="1">(C11)+(E11-C11)*IF(RAND()&lt;((D11)-(C11))/((E11)-(C11)),SQRT(RAND()*((D11)-(C11))/((E11)-(C11))),1-SQRT(RAND()*((E11)-(D11))/((E11)-(C11))))</f>
        <v>1.371272078600849E-2</v>
      </c>
      <c r="G551" s="67">
        <f ca="1">(C12)+(E12-C12)*IF(RAND()&lt;((D12)-(C12))/((E12)-(C12)),SQRT(RAND()*((D12)-(C12))/((E12)-(C12))),1-SQRT(RAND()*((E12)-(D12))/((E12)-(C12))))</f>
        <v>0.13527931000898313</v>
      </c>
      <c r="H551" s="68">
        <f t="shared" ca="1" si="16"/>
        <v>251662976.71804026</v>
      </c>
      <c r="I551" s="69">
        <f t="shared" ca="1" si="17"/>
        <v>242.50385489448854</v>
      </c>
    </row>
    <row r="552" spans="1:9" ht="16.05" customHeight="1" x14ac:dyDescent="0.3">
      <c r="A552" s="70">
        <v>536</v>
      </c>
      <c r="B552" s="71">
        <f ca="1">(C7)+(E7-C7)*IF(RAND()&lt;((D7)-(C7))/((E7)-(C7)),SQRT(RAND()*((D7)-(C7))/((E7)-(C7))),1-SQRT(RAND()*((E7)-(D7))/((E7)-(C7))))</f>
        <v>0.24049015580447322</v>
      </c>
      <c r="C552" s="71">
        <f ca="1">(C8)+(E8-C8)*IF(RAND()&lt;((D8)-(C8))/((E8)-(C8)),SQRT(RAND()*((D8)-(C8))/((E8)-(C8))),1-SQRT(RAND()*((E8)-(D8))/((E8)-(C8))))</f>
        <v>0.70615276266490079</v>
      </c>
      <c r="D552" s="72">
        <f ca="1">(C9)+(E9-C9)*IF(RAND()&lt;((D9)-(C9))/((E9)-(C9)),SQRT(RAND()*((D9)-(C9))/((E9)-(C9))),1-SQRT(RAND()*((E9)-(D9))/((E9)-(C9))))</f>
        <v>1138972.6623046536</v>
      </c>
      <c r="E552" s="72">
        <f ca="1">(C10)+(E10-C10)*IF(RAND()&lt;((D10)-(C10))/((E10)-(C10)),SQRT(RAND()*((D10)-(C10))/((E10)-(C10))),1-SQRT(RAND()*((E10)-(D10))/((E10)-(C10))))</f>
        <v>4554609.4122292716</v>
      </c>
      <c r="F552" s="71">
        <f ca="1">(C11)+(E11-C11)*IF(RAND()&lt;((D11)-(C11))/((E11)-(C11)),SQRT(RAND()*((D11)-(C11))/((E11)-(C11))),1-SQRT(RAND()*((E11)-(D11))/((E11)-(C11))))</f>
        <v>1.5706395823121569E-2</v>
      </c>
      <c r="G552" s="71">
        <f ca="1">(C12)+(E12-C12)*IF(RAND()&lt;((D12)-(C12))/((E12)-(C12)),SQRT(RAND()*((D12)-(C12))/((E12)-(C12))),1-SQRT(RAND()*((E12)-(D12))/((E12)-(C12))))</f>
        <v>0.14041370895547556</v>
      </c>
      <c r="H552" s="72">
        <f t="shared" ca="1" si="16"/>
        <v>279718555.40582108</v>
      </c>
      <c r="I552" s="73">
        <f t="shared" ca="1" si="17"/>
        <v>325.24708809382065</v>
      </c>
    </row>
    <row r="553" spans="1:9" ht="16.05" customHeight="1" x14ac:dyDescent="0.3">
      <c r="A553" s="66">
        <v>537</v>
      </c>
      <c r="B553" s="67">
        <f ca="1">(C7)+(E7-C7)*IF(RAND()&lt;((D7)-(C7))/((E7)-(C7)),SQRT(RAND()*((D7)-(C7))/((E7)-(C7))),1-SQRT(RAND()*((E7)-(D7))/((E7)-(C7))))</f>
        <v>0.27167093490447847</v>
      </c>
      <c r="C553" s="67">
        <f ca="1">(C8)+(E8-C8)*IF(RAND()&lt;((D8)-(C8))/((E8)-(C8)),SQRT(RAND()*((D8)-(C8))/((E8)-(C8))),1-SQRT(RAND()*((E8)-(D8))/((E8)-(C8))))</f>
        <v>0.7482624543556029</v>
      </c>
      <c r="D553" s="68">
        <f ca="1">(C9)+(E9-C9)*IF(RAND()&lt;((D9)-(C9))/((E9)-(C9)),SQRT(RAND()*((D9)-(C9))/((E9)-(C9))),1-SQRT(RAND()*((E9)-(D9))/((E9)-(C9))))</f>
        <v>1314536.7025983257</v>
      </c>
      <c r="E553" s="68">
        <f ca="1">(C10)+(E10-C10)*IF(RAND()&lt;((D10)-(C10))/((E10)-(C10)),SQRT(RAND()*((D10)-(C10))/((E10)-(C10))),1-SQRT(RAND()*((E10)-(D10))/((E10)-(C10))))</f>
        <v>3214581.8842854286</v>
      </c>
      <c r="F553" s="67">
        <f ca="1">(C11)+(E11-C11)*IF(RAND()&lt;((D11)-(C11))/((E11)-(C11)),SQRT(RAND()*((D11)-(C11))/((E11)-(C11))),1-SQRT(RAND()*((E11)-(D11))/((E11)-(C11))))</f>
        <v>6.6182879584140075E-3</v>
      </c>
      <c r="G553" s="67">
        <f ca="1">(C12)+(E12-C12)*IF(RAND()&lt;((D12)-(C12))/((E12)-(C12)),SQRT(RAND()*((D12)-(C12))/((E12)-(C12))),1-SQRT(RAND()*((E12)-(D12))/((E12)-(C12))))</f>
        <v>0.16118329960507372</v>
      </c>
      <c r="H553" s="68">
        <f t="shared" ca="1" si="16"/>
        <v>255429126.11111671</v>
      </c>
      <c r="I553" s="69">
        <f t="shared" ca="1" si="17"/>
        <v>257.61293437604695</v>
      </c>
    </row>
    <row r="554" spans="1:9" ht="16.05" customHeight="1" x14ac:dyDescent="0.3">
      <c r="A554" s="70">
        <v>538</v>
      </c>
      <c r="B554" s="71">
        <f ca="1">(C7)+(E7-C7)*IF(RAND()&lt;((D7)-(C7))/((E7)-(C7)),SQRT(RAND()*((D7)-(C7))/((E7)-(C7))),1-SQRT(RAND()*((E7)-(D7))/((E7)-(C7))))</f>
        <v>0.24609319632632615</v>
      </c>
      <c r="C554" s="71">
        <f ca="1">(C8)+(E8-C8)*IF(RAND()&lt;((D8)-(C8))/((E8)-(C8)),SQRT(RAND()*((D8)-(C8))/((E8)-(C8))),1-SQRT(RAND()*((E8)-(D8))/((E8)-(C8))))</f>
        <v>0.62236919285554104</v>
      </c>
      <c r="D554" s="72">
        <f ca="1">(C9)+(E9-C9)*IF(RAND()&lt;((D9)-(C9))/((E9)-(C9)),SQRT(RAND()*((D9)-(C9))/((E9)-(C9))),1-SQRT(RAND()*((E9)-(D9))/((E9)-(C9))))</f>
        <v>1339298.737786233</v>
      </c>
      <c r="E554" s="72">
        <f ca="1">(C10)+(E10-C10)*IF(RAND()&lt;((D10)-(C10))/((E10)-(C10)),SQRT(RAND()*((D10)-(C10))/((E10)-(C10))),1-SQRT(RAND()*((E10)-(D10))/((E10)-(C10))))</f>
        <v>3356014.9670241498</v>
      </c>
      <c r="F554" s="71">
        <f ca="1">(C11)+(E11-C11)*IF(RAND()&lt;((D11)-(C11))/((E11)-(C11)),SQRT(RAND()*((D11)-(C11))/((E11)-(C11))),1-SQRT(RAND()*((E11)-(D11))/((E11)-(C11))))</f>
        <v>4.772860942617781E-3</v>
      </c>
      <c r="G554" s="71">
        <f ca="1">(C12)+(E12-C12)*IF(RAND()&lt;((D12)-(C12))/((E12)-(C12)),SQRT(RAND()*((D12)-(C12))/((E12)-(C12))),1-SQRT(RAND()*((E12)-(D12))/((E12)-(C12))))</f>
        <v>0.12810830191810302</v>
      </c>
      <c r="H554" s="72">
        <f t="shared" ca="1" si="16"/>
        <v>187019849.33268127</v>
      </c>
      <c r="I554" s="73">
        <f t="shared" ca="1" si="17"/>
        <v>185.50255945049875</v>
      </c>
    </row>
    <row r="555" spans="1:9" ht="16.05" customHeight="1" x14ac:dyDescent="0.3">
      <c r="A555" s="66">
        <v>539</v>
      </c>
      <c r="B555" s="67">
        <f ca="1">(C7)+(E7-C7)*IF(RAND()&lt;((D7)-(C7))/((E7)-(C7)),SQRT(RAND()*((D7)-(C7))/((E7)-(C7))),1-SQRT(RAND()*((E7)-(D7))/((E7)-(C7))))</f>
        <v>0.21392430404856733</v>
      </c>
      <c r="C555" s="67">
        <f ca="1">(C8)+(E8-C8)*IF(RAND()&lt;((D8)-(C8))/((E8)-(C8)),SQRT(RAND()*((D8)-(C8))/((E8)-(C8))),1-SQRT(RAND()*((E8)-(D8))/((E8)-(C8))))</f>
        <v>0.75439741746464661</v>
      </c>
      <c r="D555" s="68">
        <f ca="1">(C9)+(E9-C9)*IF(RAND()&lt;((D9)-(C9))/((E9)-(C9)),SQRT(RAND()*((D9)-(C9))/((E9)-(C9))),1-SQRT(RAND()*((E9)-(D9))/((E9)-(C9))))</f>
        <v>1352711.7776993418</v>
      </c>
      <c r="E555" s="68">
        <f ca="1">(C10)+(E10-C10)*IF(RAND()&lt;((D10)-(C10))/((E10)-(C10)),SQRT(RAND()*((D10)-(C10))/((E10)-(C10))),1-SQRT(RAND()*((E10)-(D10))/((E10)-(C10))))</f>
        <v>5231321.4427327029</v>
      </c>
      <c r="F555" s="67">
        <f ca="1">(C11)+(E11-C11)*IF(RAND()&lt;((D11)-(C11))/((E11)-(C11)),SQRT(RAND()*((D11)-(C11))/((E11)-(C11))),1-SQRT(RAND()*((E11)-(D11))/((E11)-(C11))))</f>
        <v>1.3487228672907312E-2</v>
      </c>
      <c r="G555" s="67">
        <f ca="1">(C12)+(E12-C12)*IF(RAND()&lt;((D12)-(C12))/((E12)-(C12)),SQRT(RAND()*((D12)-(C12))/((E12)-(C12))),1-SQRT(RAND()*((E12)-(D12))/((E12)-(C12))))</f>
        <v>0.16733002293199117</v>
      </c>
      <c r="H555" s="68">
        <f t="shared" ca="1" si="16"/>
        <v>251741264.89293754</v>
      </c>
      <c r="I555" s="69">
        <f t="shared" ca="1" si="17"/>
        <v>246.78410638070739</v>
      </c>
    </row>
    <row r="556" spans="1:9" ht="16.05" customHeight="1" x14ac:dyDescent="0.3">
      <c r="A556" s="70">
        <v>540</v>
      </c>
      <c r="B556" s="71">
        <f ca="1">(C7)+(E7-C7)*IF(RAND()&lt;((D7)-(C7))/((E7)-(C7)),SQRT(RAND()*((D7)-(C7))/((E7)-(C7))),1-SQRT(RAND()*((E7)-(D7))/((E7)-(C7))))</f>
        <v>0.38717001622292735</v>
      </c>
      <c r="C556" s="71">
        <f ca="1">(C8)+(E8-C8)*IF(RAND()&lt;((D8)-(C8))/((E8)-(C8)),SQRT(RAND()*((D8)-(C8))/((E8)-(C8))),1-SQRT(RAND()*((E8)-(D8))/((E8)-(C8))))</f>
        <v>0.72910591916750744</v>
      </c>
      <c r="D556" s="72">
        <f ca="1">(C9)+(E9-C9)*IF(RAND()&lt;((D9)-(C9))/((E9)-(C9)),SQRT(RAND()*((D9)-(C9))/((E9)-(C9))),1-SQRT(RAND()*((E9)-(D9))/((E9)-(C9))))</f>
        <v>1322734.362823426</v>
      </c>
      <c r="E556" s="72">
        <f ca="1">(C10)+(E10-C10)*IF(RAND()&lt;((D10)-(C10))/((E10)-(C10)),SQRT(RAND()*((D10)-(C10))/((E10)-(C10))),1-SQRT(RAND()*((E10)-(D10))/((E10)-(C10))))</f>
        <v>4285435.4424812347</v>
      </c>
      <c r="F556" s="71">
        <f ca="1">(C11)+(E11-C11)*IF(RAND()&lt;((D11)-(C11))/((E11)-(C11)),SQRT(RAND()*((D11)-(C11))/((E11)-(C11))),1-SQRT(RAND()*((E11)-(D11))/((E11)-(C11))))</f>
        <v>9.2643436514711353E-3</v>
      </c>
      <c r="G556" s="71">
        <f ca="1">(C12)+(E12-C12)*IF(RAND()&lt;((D12)-(C12))/((E12)-(C12)),SQRT(RAND()*((D12)-(C12))/((E12)-(C12))),1-SQRT(RAND()*((E12)-(D12))/((E12)-(C12))))</f>
        <v>0.16936105454291717</v>
      </c>
      <c r="H556" s="72">
        <f t="shared" ca="1" si="16"/>
        <v>356415771.68402582</v>
      </c>
      <c r="I556" s="73">
        <f t="shared" ca="1" si="17"/>
        <v>356.72512686900023</v>
      </c>
    </row>
    <row r="557" spans="1:9" ht="16.05" customHeight="1" x14ac:dyDescent="0.3">
      <c r="A557" s="66">
        <v>541</v>
      </c>
      <c r="B557" s="67">
        <f ca="1">(C7)+(E7-C7)*IF(RAND()&lt;((D7)-(C7))/((E7)-(C7)),SQRT(RAND()*((D7)-(C7))/((E7)-(C7))),1-SQRT(RAND()*((E7)-(D7))/((E7)-(C7))))</f>
        <v>0.2631832016834213</v>
      </c>
      <c r="C557" s="67">
        <f ca="1">(C8)+(E8-C8)*IF(RAND()&lt;((D8)-(C8))/((E8)-(C8)),SQRT(RAND()*((D8)-(C8))/((E8)-(C8))),1-SQRT(RAND()*((E8)-(D8))/((E8)-(C8))))</f>
        <v>0.70281661328163714</v>
      </c>
      <c r="D557" s="68">
        <f ca="1">(C9)+(E9-C9)*IF(RAND()&lt;((D9)-(C9))/((E9)-(C9)),SQRT(RAND()*((D9)-(C9))/((E9)-(C9))),1-SQRT(RAND()*((E9)-(D9))/((E9)-(C9))))</f>
        <v>1257324.4818144364</v>
      </c>
      <c r="E557" s="68">
        <f ca="1">(C10)+(E10-C10)*IF(RAND()&lt;((D10)-(C10))/((E10)-(C10)),SQRT(RAND()*((D10)-(C10))/((E10)-(C10))),1-SQRT(RAND()*((E10)-(D10))/((E10)-(C10))))</f>
        <v>3022318.449014293</v>
      </c>
      <c r="F557" s="67">
        <f ca="1">(C11)+(E11-C11)*IF(RAND()&lt;((D11)-(C11))/((E11)-(C11)),SQRT(RAND()*((D11)-(C11))/((E11)-(C11))),1-SQRT(RAND()*((E11)-(D11))/((E11)-(C11))))</f>
        <v>9.6104542014829736E-3</v>
      </c>
      <c r="G557" s="67">
        <f ca="1">(C12)+(E12-C12)*IF(RAND()&lt;((D12)-(C12))/((E12)-(C12)),SQRT(RAND()*((D12)-(C12))/((E12)-(C12))),1-SQRT(RAND()*((E12)-(D12))/((E12)-(C12))))</f>
        <v>0.13026118739057518</v>
      </c>
      <c r="H557" s="68">
        <f t="shared" ca="1" si="16"/>
        <v>257889352.14430377</v>
      </c>
      <c r="I557" s="69">
        <f t="shared" ca="1" si="17"/>
        <v>271.85599834836341</v>
      </c>
    </row>
    <row r="558" spans="1:9" ht="16.05" customHeight="1" x14ac:dyDescent="0.3">
      <c r="A558" s="70">
        <v>542</v>
      </c>
      <c r="B558" s="71">
        <f ca="1">(C7)+(E7-C7)*IF(RAND()&lt;((D7)-(C7))/((E7)-(C7)),SQRT(RAND()*((D7)-(C7))/((E7)-(C7))),1-SQRT(RAND()*((E7)-(D7))/((E7)-(C7))))</f>
        <v>0.25316661047210187</v>
      </c>
      <c r="C558" s="71">
        <f ca="1">(C8)+(E8-C8)*IF(RAND()&lt;((D8)-(C8))/((E8)-(C8)),SQRT(RAND()*((D8)-(C8))/((E8)-(C8))),1-SQRT(RAND()*((E8)-(D8))/((E8)-(C8))))</f>
        <v>0.7254118226252152</v>
      </c>
      <c r="D558" s="72">
        <f ca="1">(C9)+(E9-C9)*IF(RAND()&lt;((D9)-(C9))/((E9)-(C9)),SQRT(RAND()*((D9)-(C9))/((E9)-(C9))),1-SQRT(RAND()*((E9)-(D9))/((E9)-(C9))))</f>
        <v>1345142.179123268</v>
      </c>
      <c r="E558" s="72">
        <f ca="1">(C10)+(E10-C10)*IF(RAND()&lt;((D10)-(C10))/((E10)-(C10)),SQRT(RAND()*((D10)-(C10))/((E10)-(C10))),1-SQRT(RAND()*((E10)-(D10))/((E10)-(C10))))</f>
        <v>3171009.3157838657</v>
      </c>
      <c r="F558" s="71">
        <f ca="1">(C11)+(E11-C11)*IF(RAND()&lt;((D11)-(C11))/((E11)-(C11)),SQRT(RAND()*((D11)-(C11))/((E11)-(C11))),1-SQRT(RAND()*((E11)-(D11))/((E11)-(C11))))</f>
        <v>1.2295693139412228E-2</v>
      </c>
      <c r="G558" s="71">
        <f ca="1">(C12)+(E12-C12)*IF(RAND()&lt;((D12)-(C12))/((E12)-(C12)),SQRT(RAND()*((D12)-(C12))/((E12)-(C12))),1-SQRT(RAND()*((E12)-(D12))/((E12)-(C12))))</f>
        <v>0.173809808107591</v>
      </c>
      <c r="H558" s="72">
        <f t="shared" ca="1" si="16"/>
        <v>275183485.84536135</v>
      </c>
      <c r="I558" s="73">
        <f t="shared" ca="1" si="17"/>
        <v>271.15184020187263</v>
      </c>
    </row>
    <row r="559" spans="1:9" ht="16.05" customHeight="1" x14ac:dyDescent="0.3">
      <c r="A559" s="66">
        <v>543</v>
      </c>
      <c r="B559" s="67">
        <f ca="1">(C7)+(E7-C7)*IF(RAND()&lt;((D7)-(C7))/((E7)-(C7)),SQRT(RAND()*((D7)-(C7))/((E7)-(C7))),1-SQRT(RAND()*((E7)-(D7))/((E7)-(C7))))</f>
        <v>0.2389297946061382</v>
      </c>
      <c r="C559" s="67">
        <f ca="1">(C8)+(E8-C8)*IF(RAND()&lt;((D8)-(C8))/((E8)-(C8)),SQRT(RAND()*((D8)-(C8))/((E8)-(C8))),1-SQRT(RAND()*((E8)-(D8))/((E8)-(C8))))</f>
        <v>0.75756210324096873</v>
      </c>
      <c r="D559" s="68">
        <f ca="1">(C9)+(E9-C9)*IF(RAND()&lt;((D9)-(C9))/((E9)-(C9)),SQRT(RAND()*((D9)-(C9))/((E9)-(C9))),1-SQRT(RAND()*((E9)-(D9))/((E9)-(C9))))</f>
        <v>1304428.8583884323</v>
      </c>
      <c r="E559" s="68">
        <f ca="1">(C10)+(E10-C10)*IF(RAND()&lt;((D10)-(C10))/((E10)-(C10)),SQRT(RAND()*((D10)-(C10))/((E10)-(C10))),1-SQRT(RAND()*((E10)-(D10))/((E10)-(C10))))</f>
        <v>3091087.0128413294</v>
      </c>
      <c r="F559" s="67">
        <f ca="1">(C11)+(E11-C11)*IF(RAND()&lt;((D11)-(C11))/((E11)-(C11)),SQRT(RAND()*((D11)-(C11))/((E11)-(C11))),1-SQRT(RAND()*((E11)-(D11))/((E11)-(C11))))</f>
        <v>1.3346804786626401E-2</v>
      </c>
      <c r="G559" s="67">
        <f ca="1">(C12)+(E12-C12)*IF(RAND()&lt;((D12)-(C12))/((E12)-(C12)),SQRT(RAND()*((D12)-(C12))/((E12)-(C12))),1-SQRT(RAND()*((E12)-(D12))/((E12)-(C12))))</f>
        <v>0.15891126414687978</v>
      </c>
      <c r="H559" s="68">
        <f t="shared" ca="1" si="16"/>
        <v>280235115.58796823</v>
      </c>
      <c r="I559" s="69">
        <f t="shared" ca="1" si="17"/>
        <v>284.68176739360814</v>
      </c>
    </row>
    <row r="560" spans="1:9" ht="16.05" customHeight="1" x14ac:dyDescent="0.3">
      <c r="A560" s="70">
        <v>544</v>
      </c>
      <c r="B560" s="71">
        <f ca="1">(C7)+(E7-C7)*IF(RAND()&lt;((D7)-(C7))/((E7)-(C7)),SQRT(RAND()*((D7)-(C7))/((E7)-(C7))),1-SQRT(RAND()*((E7)-(D7))/((E7)-(C7))))</f>
        <v>0.17226131052074783</v>
      </c>
      <c r="C560" s="71">
        <f ca="1">(C8)+(E8-C8)*IF(RAND()&lt;((D8)-(C8))/((E8)-(C8)),SQRT(RAND()*((D8)-(C8))/((E8)-(C8))),1-SQRT(RAND()*((E8)-(D8))/((E8)-(C8))))</f>
        <v>0.68566834778375996</v>
      </c>
      <c r="D560" s="72">
        <f ca="1">(C9)+(E9-C9)*IF(RAND()&lt;((D9)-(C9))/((E9)-(C9)),SQRT(RAND()*((D9)-(C9))/((E9)-(C9))),1-SQRT(RAND()*((E9)-(D9))/((E9)-(C9))))</f>
        <v>1176296.2947634601</v>
      </c>
      <c r="E560" s="72">
        <f ca="1">(C10)+(E10-C10)*IF(RAND()&lt;((D10)-(C10))/((E10)-(C10)),SQRT(RAND()*((D10)-(C10))/((E10)-(C10))),1-SQRT(RAND()*((E10)-(D10))/((E10)-(C10))))</f>
        <v>4261619.7241426706</v>
      </c>
      <c r="F560" s="71">
        <f ca="1">(C11)+(E11-C11)*IF(RAND()&lt;((D11)-(C11))/((E11)-(C11)),SQRT(RAND()*((D11)-(C11))/((E11)-(C11))),1-SQRT(RAND()*((E11)-(D11))/((E11)-(C11))))</f>
        <v>2.4154148233291862E-2</v>
      </c>
      <c r="G560" s="71">
        <f ca="1">(C12)+(E12-C12)*IF(RAND()&lt;((D12)-(C12))/((E12)-(C12)),SQRT(RAND()*((D12)-(C12))/((E12)-(C12))),1-SQRT(RAND()*((E12)-(D12))/((E12)-(C12))))</f>
        <v>0.18173895499419798</v>
      </c>
      <c r="H560" s="72">
        <f t="shared" ca="1" si="16"/>
        <v>285508144.62377036</v>
      </c>
      <c r="I560" s="73">
        <f t="shared" ca="1" si="17"/>
        <v>321.46081575716801</v>
      </c>
    </row>
    <row r="561" spans="1:9" ht="16.05" customHeight="1" x14ac:dyDescent="0.3">
      <c r="A561" s="66">
        <v>545</v>
      </c>
      <c r="B561" s="67">
        <f ca="1">(C7)+(E7-C7)*IF(RAND()&lt;((D7)-(C7))/((E7)-(C7)),SQRT(RAND()*((D7)-(C7))/((E7)-(C7))),1-SQRT(RAND()*((E7)-(D7))/((E7)-(C7))))</f>
        <v>0.2572302011479155</v>
      </c>
      <c r="C561" s="67">
        <f ca="1">(C8)+(E8-C8)*IF(RAND()&lt;((D8)-(C8))/((E8)-(C8)),SQRT(RAND()*((D8)-(C8))/((E8)-(C8))),1-SQRT(RAND()*((E8)-(D8))/((E8)-(C8))))</f>
        <v>0.7007386750010024</v>
      </c>
      <c r="D561" s="68">
        <f ca="1">(C9)+(E9-C9)*IF(RAND()&lt;((D9)-(C9))/((E9)-(C9)),SQRT(RAND()*((D9)-(C9))/((E9)-(C9))),1-SQRT(RAND()*((E9)-(D9))/((E9)-(C9))))</f>
        <v>1051811.7768044278</v>
      </c>
      <c r="E561" s="68">
        <f ca="1">(C10)+(E10-C10)*IF(RAND()&lt;((D10)-(C10))/((E10)-(C10)),SQRT(RAND()*((D10)-(C10))/((E10)-(C10))),1-SQRT(RAND()*((E10)-(D10))/((E10)-(C10))))</f>
        <v>3050209.8272741204</v>
      </c>
      <c r="F561" s="67">
        <f ca="1">(C11)+(E11-C11)*IF(RAND()&lt;((D11)-(C11))/((E11)-(C11)),SQRT(RAND()*((D11)-(C11))/((E11)-(C11))),1-SQRT(RAND()*((E11)-(D11))/((E11)-(C11))))</f>
        <v>9.9937077247667008E-3</v>
      </c>
      <c r="G561" s="67">
        <f ca="1">(C12)+(E12-C12)*IF(RAND()&lt;((D12)-(C12))/((E12)-(C12)),SQRT(RAND()*((D12)-(C12))/((E12)-(C12))),1-SQRT(RAND()*((E12)-(D12))/((E12)-(C12))))</f>
        <v>0.17802108974366854</v>
      </c>
      <c r="H561" s="68">
        <f t="shared" ca="1" si="16"/>
        <v>255621942.72337779</v>
      </c>
      <c r="I561" s="69">
        <f t="shared" ca="1" si="17"/>
        <v>321.87265495823993</v>
      </c>
    </row>
    <row r="562" spans="1:9" ht="16.05" customHeight="1" x14ac:dyDescent="0.3">
      <c r="A562" s="70">
        <v>546</v>
      </c>
      <c r="B562" s="71">
        <f ca="1">(C7)+(E7-C7)*IF(RAND()&lt;((D7)-(C7))/((E7)-(C7)),SQRT(RAND()*((D7)-(C7))/((E7)-(C7))),1-SQRT(RAND()*((E7)-(D7))/((E7)-(C7))))</f>
        <v>0.25778349989700694</v>
      </c>
      <c r="C562" s="71">
        <f ca="1">(C8)+(E8-C8)*IF(RAND()&lt;((D8)-(C8))/((E8)-(C8)),SQRT(RAND()*((D8)-(C8))/((E8)-(C8))),1-SQRT(RAND()*((E8)-(D8))/((E8)-(C8))))</f>
        <v>0.64228938822861181</v>
      </c>
      <c r="D562" s="72">
        <f ca="1">(C9)+(E9-C9)*IF(RAND()&lt;((D9)-(C9))/((E9)-(C9)),SQRT(RAND()*((D9)-(C9))/((E9)-(C9))),1-SQRT(RAND()*((E9)-(D9))/((E9)-(C9))))</f>
        <v>1249035.5231911244</v>
      </c>
      <c r="E562" s="72">
        <f ca="1">(C10)+(E10-C10)*IF(RAND()&lt;((D10)-(C10))/((E10)-(C10)),SQRT(RAND()*((D10)-(C10))/((E10)-(C10))),1-SQRT(RAND()*((E10)-(D10))/((E10)-(C10))))</f>
        <v>3478802.1949279108</v>
      </c>
      <c r="F562" s="71">
        <f ca="1">(C11)+(E11-C11)*IF(RAND()&lt;((D11)-(C11))/((E11)-(C11)),SQRT(RAND()*((D11)-(C11))/((E11)-(C11))),1-SQRT(RAND()*((E11)-(D11))/((E11)-(C11))))</f>
        <v>1.3678809605972969E-3</v>
      </c>
      <c r="G562" s="71">
        <f ca="1">(C12)+(E12-C12)*IF(RAND()&lt;((D12)-(C12))/((E12)-(C12)),SQRT(RAND()*((D12)-(C12))/((E12)-(C12))),1-SQRT(RAND()*((E12)-(D12))/((E12)-(C12))))</f>
        <v>0.19760007792554757</v>
      </c>
      <c r="H562" s="72">
        <f t="shared" ca="1" si="16"/>
        <v>175571054.12675741</v>
      </c>
      <c r="I562" s="73">
        <f t="shared" ca="1" si="17"/>
        <v>186.72284870003639</v>
      </c>
    </row>
    <row r="563" spans="1:9" ht="16.05" customHeight="1" x14ac:dyDescent="0.3">
      <c r="A563" s="66">
        <v>547</v>
      </c>
      <c r="B563" s="67">
        <f ca="1">(C7)+(E7-C7)*IF(RAND()&lt;((D7)-(C7))/((E7)-(C7)),SQRT(RAND()*((D7)-(C7))/((E7)-(C7))),1-SQRT(RAND()*((E7)-(D7))/((E7)-(C7))))</f>
        <v>0.26280905316945224</v>
      </c>
      <c r="C563" s="67">
        <f ca="1">(C8)+(E8-C8)*IF(RAND()&lt;((D8)-(C8))/((E8)-(C8)),SQRT(RAND()*((D8)-(C8))/((E8)-(C8))),1-SQRT(RAND()*((E8)-(D8))/((E8)-(C8))))</f>
        <v>0.63676695939731964</v>
      </c>
      <c r="D563" s="68">
        <f ca="1">(C9)+(E9-C9)*IF(RAND()&lt;((D9)-(C9))/((E9)-(C9)),SQRT(RAND()*((D9)-(C9))/((E9)-(C9))),1-SQRT(RAND()*((E9)-(D9))/((E9)-(C9))))</f>
        <v>1252388.8619364919</v>
      </c>
      <c r="E563" s="68">
        <f ca="1">(C10)+(E10-C10)*IF(RAND()&lt;((D10)-(C10))/((E10)-(C10)),SQRT(RAND()*((D10)-(C10))/((E10)-(C10))),1-SQRT(RAND()*((E10)-(D10))/((E10)-(C10))))</f>
        <v>3860855.5312405229</v>
      </c>
      <c r="F563" s="67">
        <f ca="1">(C11)+(E11-C11)*IF(RAND()&lt;((D11)-(C11))/((E11)-(C11)),SQRT(RAND()*((D11)-(C11))/((E11)-(C11))),1-SQRT(RAND()*((E11)-(D11))/((E11)-(C11))))</f>
        <v>1.0534165507872593E-2</v>
      </c>
      <c r="G563" s="67">
        <f ca="1">(C12)+(E12-C12)*IF(RAND()&lt;((D12)-(C12))/((E12)-(C12)),SQRT(RAND()*((D12)-(C12))/((E12)-(C12))),1-SQRT(RAND()*((E12)-(D12))/((E12)-(C12))))</f>
        <v>0.12711550008814659</v>
      </c>
      <c r="H563" s="68">
        <f t="shared" ca="1" si="16"/>
        <v>242211295.19957572</v>
      </c>
      <c r="I563" s="69">
        <f t="shared" ca="1" si="17"/>
        <v>256.41040284056561</v>
      </c>
    </row>
    <row r="564" spans="1:9" ht="16.05" customHeight="1" x14ac:dyDescent="0.3">
      <c r="A564" s="70">
        <v>548</v>
      </c>
      <c r="B564" s="71">
        <f ca="1">(C7)+(E7-C7)*IF(RAND()&lt;((D7)-(C7))/((E7)-(C7)),SQRT(RAND()*((D7)-(C7))/((E7)-(C7))),1-SQRT(RAND()*((E7)-(D7))/((E7)-(C7))))</f>
        <v>0.33060824699470526</v>
      </c>
      <c r="C564" s="71">
        <f ca="1">(C8)+(E8-C8)*IF(RAND()&lt;((D8)-(C8))/((E8)-(C8)),SQRT(RAND()*((D8)-(C8))/((E8)-(C8))),1-SQRT(RAND()*((E8)-(D8))/((E8)-(C8))))</f>
        <v>0.62090240707287414</v>
      </c>
      <c r="D564" s="72">
        <f ca="1">(C9)+(E9-C9)*IF(RAND()&lt;((D9)-(C9))/((E9)-(C9)),SQRT(RAND()*((D9)-(C9))/((E9)-(C9))),1-SQRT(RAND()*((E9)-(D9))/((E9)-(C9))))</f>
        <v>1356711.5342824701</v>
      </c>
      <c r="E564" s="72">
        <f ca="1">(C10)+(E10-C10)*IF(RAND()&lt;((D10)-(C10))/((E10)-(C10)),SQRT(RAND()*((D10)-(C10))/((E10)-(C10))),1-SQRT(RAND()*((E10)-(D10))/((E10)-(C10))))</f>
        <v>2359639.8107470316</v>
      </c>
      <c r="F564" s="71">
        <f ca="1">(C11)+(E11-C11)*IF(RAND()&lt;((D11)-(C11))/((E11)-(C11)),SQRT(RAND()*((D11)-(C11))/((E11)-(C11))),1-SQRT(RAND()*((E11)-(D11))/((E11)-(C11))))</f>
        <v>1.4515629816560375E-2</v>
      </c>
      <c r="G564" s="71">
        <f ca="1">(C12)+(E12-C12)*IF(RAND()&lt;((D12)-(C12))/((E12)-(C12)),SQRT(RAND()*((D12)-(C12))/((E12)-(C12))),1-SQRT(RAND()*((E12)-(D12))/((E12)-(C12))))</f>
        <v>0.1870049972770573</v>
      </c>
      <c r="H564" s="72">
        <f t="shared" ca="1" si="16"/>
        <v>317797872.81140983</v>
      </c>
      <c r="I564" s="73">
        <f t="shared" ca="1" si="17"/>
        <v>310.28031091006659</v>
      </c>
    </row>
    <row r="565" spans="1:9" ht="16.05" customHeight="1" x14ac:dyDescent="0.3">
      <c r="A565" s="66">
        <v>549</v>
      </c>
      <c r="B565" s="67">
        <f ca="1">(C7)+(E7-C7)*IF(RAND()&lt;((D7)-(C7))/((E7)-(C7)),SQRT(RAND()*((D7)-(C7))/((E7)-(C7))),1-SQRT(RAND()*((E7)-(D7))/((E7)-(C7))))</f>
        <v>0.23482429476788641</v>
      </c>
      <c r="C565" s="67">
        <f ca="1">(C8)+(E8-C8)*IF(RAND()&lt;((D8)-(C8))/((E8)-(C8)),SQRT(RAND()*((D8)-(C8))/((E8)-(C8))),1-SQRT(RAND()*((E8)-(D8))/((E8)-(C8))))</f>
        <v>0.65676305171617999</v>
      </c>
      <c r="D565" s="68">
        <f ca="1">(C9)+(E9-C9)*IF(RAND()&lt;((D9)-(C9))/((E9)-(C9)),SQRT(RAND()*((D9)-(C9))/((E9)-(C9))),1-SQRT(RAND()*((E9)-(D9))/((E9)-(C9))))</f>
        <v>1324900.0733518908</v>
      </c>
      <c r="E565" s="68">
        <f ca="1">(C10)+(E10-C10)*IF(RAND()&lt;((D10)-(C10))/((E10)-(C10)),SQRT(RAND()*((D10)-(C10))/((E10)-(C10))),1-SQRT(RAND()*((E10)-(D10))/((E10)-(C10))))</f>
        <v>3324004.9944453984</v>
      </c>
      <c r="F565" s="67">
        <f ca="1">(C11)+(E11-C11)*IF(RAND()&lt;((D11)-(C11))/((E11)-(C11)),SQRT(RAND()*((D11)-(C11))/((E11)-(C11))),1-SQRT(RAND()*((E11)-(D11))/((E11)-(C11))))</f>
        <v>1.4972756752902128E-2</v>
      </c>
      <c r="G565" s="67">
        <f ca="1">(C12)+(E12-C12)*IF(RAND()&lt;((D12)-(C12))/((E12)-(C12)),SQRT(RAND()*((D12)-(C12))/((E12)-(C12))),1-SQRT(RAND()*((E12)-(D12))/((E12)-(C12))))</f>
        <v>0.13784724327288461</v>
      </c>
      <c r="H565" s="68">
        <f t="shared" ca="1" si="16"/>
        <v>261931552.65197504</v>
      </c>
      <c r="I565" s="69">
        <f t="shared" ca="1" si="17"/>
        <v>262.08161063878725</v>
      </c>
    </row>
    <row r="566" spans="1:9" ht="16.05" customHeight="1" x14ac:dyDescent="0.3">
      <c r="A566" s="70">
        <v>550</v>
      </c>
      <c r="B566" s="71">
        <f ca="1">(C7)+(E7-C7)*IF(RAND()&lt;((D7)-(C7))/((E7)-(C7)),SQRT(RAND()*((D7)-(C7))/((E7)-(C7))),1-SQRT(RAND()*((E7)-(D7))/((E7)-(C7))))</f>
        <v>0.22022586453413873</v>
      </c>
      <c r="C566" s="71">
        <f ca="1">(C8)+(E8-C8)*IF(RAND()&lt;((D8)-(C8))/((E8)-(C8)),SQRT(RAND()*((D8)-(C8))/((E8)-(C8))),1-SQRT(RAND()*((E8)-(D8))/((E8)-(C8))))</f>
        <v>0.73046993423292617</v>
      </c>
      <c r="D566" s="72">
        <f ca="1">(C9)+(E9-C9)*IF(RAND()&lt;((D9)-(C9))/((E9)-(C9)),SQRT(RAND()*((D9)-(C9))/((E9)-(C9))),1-SQRT(RAND()*((E9)-(D9))/((E9)-(C9))))</f>
        <v>1340994.830105467</v>
      </c>
      <c r="E566" s="72">
        <f ca="1">(C10)+(E10-C10)*IF(RAND()&lt;((D10)-(C10))/((E10)-(C10)),SQRT(RAND()*((D10)-(C10))/((E10)-(C10))),1-SQRT(RAND()*((E10)-(D10))/((E10)-(C10))))</f>
        <v>2255569.0500969309</v>
      </c>
      <c r="F566" s="71">
        <f ca="1">(C11)+(E11-C11)*IF(RAND()&lt;((D11)-(C11))/((E11)-(C11)),SQRT(RAND()*((D11)-(C11))/((E11)-(C11))),1-SQRT(RAND()*((E11)-(D11))/((E11)-(C11))))</f>
        <v>1.2521133656766378E-2</v>
      </c>
      <c r="G566" s="71">
        <f ca="1">(C12)+(E12-C12)*IF(RAND()&lt;((D12)-(C12))/((E12)-(C12)),SQRT(RAND()*((D12)-(C12))/((E12)-(C12))),1-SQRT(RAND()*((E12)-(D12))/((E12)-(C12))))</f>
        <v>0.14378886888965334</v>
      </c>
      <c r="H566" s="72">
        <f t="shared" ca="1" si="16"/>
        <v>255499564.13536152</v>
      </c>
      <c r="I566" s="73">
        <f t="shared" ca="1" si="17"/>
        <v>252.62547960634447</v>
      </c>
    </row>
    <row r="567" spans="1:9" ht="16.05" customHeight="1" x14ac:dyDescent="0.3">
      <c r="A567" s="66">
        <v>551</v>
      </c>
      <c r="B567" s="67">
        <f ca="1">(C7)+(E7-C7)*IF(RAND()&lt;((D7)-(C7))/((E7)-(C7)),SQRT(RAND()*((D7)-(C7))/((E7)-(C7))),1-SQRT(RAND()*((E7)-(D7))/((E7)-(C7))))</f>
        <v>0.21093976893670888</v>
      </c>
      <c r="C567" s="67">
        <f ca="1">(C8)+(E8-C8)*IF(RAND()&lt;((D8)-(C8))/((E8)-(C8)),SQRT(RAND()*((D8)-(C8))/((E8)-(C8))),1-SQRT(RAND()*((E8)-(D8))/((E8)-(C8))))</f>
        <v>0.68118978232401961</v>
      </c>
      <c r="D567" s="68">
        <f ca="1">(C9)+(E9-C9)*IF(RAND()&lt;((D9)-(C9))/((E9)-(C9)),SQRT(RAND()*((D9)-(C9))/((E9)-(C9))),1-SQRT(RAND()*((E9)-(D9))/((E9)-(C9))))</f>
        <v>1214641.4700744119</v>
      </c>
      <c r="E567" s="68">
        <f ca="1">(C10)+(E10-C10)*IF(RAND()&lt;((D10)-(C10))/((E10)-(C10)),SQRT(RAND()*((D10)-(C10))/((E10)-(C10))),1-SQRT(RAND()*((E10)-(D10))/((E10)-(C10))))</f>
        <v>2998245.4945249343</v>
      </c>
      <c r="F567" s="67">
        <f ca="1">(C11)+(E11-C11)*IF(RAND()&lt;((D11)-(C11))/((E11)-(C11)),SQRT(RAND()*((D11)-(C11))/((E11)-(C11))),1-SQRT(RAND()*((E11)-(D11))/((E11)-(C11))))</f>
        <v>1.6877793433313266E-2</v>
      </c>
      <c r="G567" s="67">
        <f ca="1">(C12)+(E12-C12)*IF(RAND()&lt;((D12)-(C12))/((E12)-(C12)),SQRT(RAND()*((D12)-(C12))/((E12)-(C12))),1-SQRT(RAND()*((E12)-(D12))/((E12)-(C12))))</f>
        <v>0.12105686201149422</v>
      </c>
      <c r="H567" s="68">
        <f t="shared" ca="1" si="16"/>
        <v>265566176.06242165</v>
      </c>
      <c r="I567" s="69">
        <f t="shared" ca="1" si="17"/>
        <v>289.6990977309693</v>
      </c>
    </row>
    <row r="568" spans="1:9" ht="16.05" customHeight="1" x14ac:dyDescent="0.3">
      <c r="A568" s="70">
        <v>552</v>
      </c>
      <c r="B568" s="71">
        <f ca="1">(C7)+(E7-C7)*IF(RAND()&lt;((D7)-(C7))/((E7)-(C7)),SQRT(RAND()*((D7)-(C7))/((E7)-(C7))),1-SQRT(RAND()*((E7)-(D7))/((E7)-(C7))))</f>
        <v>0.28393812697369103</v>
      </c>
      <c r="C568" s="71">
        <f ca="1">(C8)+(E8-C8)*IF(RAND()&lt;((D8)-(C8))/((E8)-(C8)),SQRT(RAND()*((D8)-(C8))/((E8)-(C8))),1-SQRT(RAND()*((E8)-(D8))/((E8)-(C8))))</f>
        <v>0.71386562329384762</v>
      </c>
      <c r="D568" s="72">
        <f ca="1">(C9)+(E9-C9)*IF(RAND()&lt;((D9)-(C9))/((E9)-(C9)),SQRT(RAND()*((D9)-(C9))/((E9)-(C9))),1-SQRT(RAND()*((E9)-(D9))/((E9)-(C9))))</f>
        <v>1174882.6679540013</v>
      </c>
      <c r="E568" s="72">
        <f ca="1">(C10)+(E10-C10)*IF(RAND()&lt;((D10)-(C10))/((E10)-(C10)),SQRT(RAND()*((D10)-(C10))/((E10)-(C10))),1-SQRT(RAND()*((E10)-(D10))/((E10)-(C10))))</f>
        <v>4076075.5325065553</v>
      </c>
      <c r="F568" s="71">
        <f ca="1">(C11)+(E11-C11)*IF(RAND()&lt;((D11)-(C11))/((E11)-(C11)),SQRT(RAND()*((D11)-(C11))/((E11)-(C11))),1-SQRT(RAND()*((E11)-(D11))/((E11)-(C11))))</f>
        <v>1.23258388601796E-2</v>
      </c>
      <c r="G568" s="71">
        <f ca="1">(C12)+(E12-C12)*IF(RAND()&lt;((D12)-(C12))/((E12)-(C12)),SQRT(RAND()*((D12)-(C12))/((E12)-(C12))),1-SQRT(RAND()*((E12)-(D12))/((E12)-(C12))))</f>
        <v>0.167242694770522</v>
      </c>
      <c r="H568" s="72">
        <f t="shared" ca="1" si="16"/>
        <v>292859025.98206544</v>
      </c>
      <c r="I568" s="73">
        <f t="shared" ca="1" si="17"/>
        <v>330.09851317827173</v>
      </c>
    </row>
    <row r="569" spans="1:9" ht="16.05" customHeight="1" x14ac:dyDescent="0.3">
      <c r="A569" s="66">
        <v>553</v>
      </c>
      <c r="B569" s="67">
        <f ca="1">(C7)+(E7-C7)*IF(RAND()&lt;((D7)-(C7))/((E7)-(C7)),SQRT(RAND()*((D7)-(C7))/((E7)-(C7))),1-SQRT(RAND()*((E7)-(D7))/((E7)-(C7))))</f>
        <v>0.25988710955808136</v>
      </c>
      <c r="C569" s="67">
        <f ca="1">(C8)+(E8-C8)*IF(RAND()&lt;((D8)-(C8))/((E8)-(C8)),SQRT(RAND()*((D8)-(C8))/((E8)-(C8))),1-SQRT(RAND()*((E8)-(D8))/((E8)-(C8))))</f>
        <v>0.72666366770159785</v>
      </c>
      <c r="D569" s="68">
        <f ca="1">(C9)+(E9-C9)*IF(RAND()&lt;((D9)-(C9))/((E9)-(C9)),SQRT(RAND()*((D9)-(C9))/((E9)-(C9))),1-SQRT(RAND()*((E9)-(D9))/((E9)-(C9))))</f>
        <v>1042294.8783075114</v>
      </c>
      <c r="E569" s="68">
        <f ca="1">(C10)+(E10-C10)*IF(RAND()&lt;((D10)-(C10))/((E10)-(C10)),SQRT(RAND()*((D10)-(C10))/((E10)-(C10))),1-SQRT(RAND()*((E10)-(D10))/((E10)-(C10))))</f>
        <v>2922505.4722448206</v>
      </c>
      <c r="F569" s="67">
        <f ca="1">(C11)+(E11-C11)*IF(RAND()&lt;((D11)-(C11))/((E11)-(C11)),SQRT(RAND()*((D11)-(C11))/((E11)-(C11))),1-SQRT(RAND()*((E11)-(D11))/((E11)-(C11))))</f>
        <v>9.2520687207619835E-3</v>
      </c>
      <c r="G569" s="67">
        <f ca="1">(C12)+(E12-C12)*IF(RAND()&lt;((D12)-(C12))/((E12)-(C12)),SQRT(RAND()*((D12)-(C12))/((E12)-(C12))),1-SQRT(RAND()*((E12)-(D12))/((E12)-(C12))))</f>
        <v>0.13221962393522174</v>
      </c>
      <c r="H569" s="68">
        <f t="shared" ca="1" si="16"/>
        <v>260118397.28457654</v>
      </c>
      <c r="I569" s="69">
        <f t="shared" ca="1" si="17"/>
        <v>330.48964409693144</v>
      </c>
    </row>
    <row r="570" spans="1:9" ht="16.05" customHeight="1" x14ac:dyDescent="0.3">
      <c r="A570" s="70">
        <v>554</v>
      </c>
      <c r="B570" s="71">
        <f ca="1">(C7)+(E7-C7)*IF(RAND()&lt;((D7)-(C7))/((E7)-(C7)),SQRT(RAND()*((D7)-(C7))/((E7)-(C7))),1-SQRT(RAND()*((E7)-(D7))/((E7)-(C7))))</f>
        <v>0.2817148824513408</v>
      </c>
      <c r="C570" s="71">
        <f ca="1">(C8)+(E8-C8)*IF(RAND()&lt;((D8)-(C8))/((E8)-(C8)),SQRT(RAND()*((D8)-(C8))/((E8)-(C8))),1-SQRT(RAND()*((E8)-(D8))/((E8)-(C8))))</f>
        <v>0.73094670395067163</v>
      </c>
      <c r="D570" s="72">
        <f ca="1">(C9)+(E9-C9)*IF(RAND()&lt;((D9)-(C9))/((E9)-(C9)),SQRT(RAND()*((D9)-(C9))/((E9)-(C9))),1-SQRT(RAND()*((E9)-(D9))/((E9)-(C9))))</f>
        <v>1169583.0436717537</v>
      </c>
      <c r="E570" s="72">
        <f ca="1">(C10)+(E10-C10)*IF(RAND()&lt;((D10)-(C10))/((E10)-(C10)),SQRT(RAND()*((D10)-(C10))/((E10)-(C10))),1-SQRT(RAND()*((E10)-(D10))/((E10)-(C10))))</f>
        <v>2862983.4344080565</v>
      </c>
      <c r="F570" s="71">
        <f ca="1">(C11)+(E11-C11)*IF(RAND()&lt;((D11)-(C11))/((E11)-(C11)),SQRT(RAND()*((D11)-(C11))/((E11)-(C11))),1-SQRT(RAND()*((E11)-(D11))/((E11)-(C11))))</f>
        <v>1.861584268930196E-2</v>
      </c>
      <c r="G570" s="71">
        <f ca="1">(C12)+(E12-C12)*IF(RAND()&lt;((D12)-(C12))/((E12)-(C12)),SQRT(RAND()*((D12)-(C12))/((E12)-(C12))),1-SQRT(RAND()*((E12)-(D12))/((E12)-(C12))))</f>
        <v>0.12521045465575265</v>
      </c>
      <c r="H570" s="72">
        <f t="shared" ca="1" si="16"/>
        <v>346370540.7746188</v>
      </c>
      <c r="I570" s="73">
        <f t="shared" ca="1" si="17"/>
        <v>391.93544072997491</v>
      </c>
    </row>
    <row r="571" spans="1:9" ht="16.05" customHeight="1" x14ac:dyDescent="0.3">
      <c r="A571" s="66">
        <v>555</v>
      </c>
      <c r="B571" s="67">
        <f ca="1">(C7)+(E7-C7)*IF(RAND()&lt;((D7)-(C7))/((E7)-(C7)),SQRT(RAND()*((D7)-(C7))/((E7)-(C7))),1-SQRT(RAND()*((E7)-(D7))/((E7)-(C7))))</f>
        <v>0.27969740639024748</v>
      </c>
      <c r="C571" s="67">
        <f ca="1">(C8)+(E8-C8)*IF(RAND()&lt;((D8)-(C8))/((E8)-(C8)),SQRT(RAND()*((D8)-(C8))/((E8)-(C8))),1-SQRT(RAND()*((E8)-(D8))/((E8)-(C8))))</f>
        <v>0.75849644882823064</v>
      </c>
      <c r="D571" s="68">
        <f ca="1">(C9)+(E9-C9)*IF(RAND()&lt;((D9)-(C9))/((E9)-(C9)),SQRT(RAND()*((D9)-(C9))/((E9)-(C9))),1-SQRT(RAND()*((E9)-(D9))/((E9)-(C9))))</f>
        <v>1162103.9617102949</v>
      </c>
      <c r="E571" s="68">
        <f ca="1">(C10)+(E10-C10)*IF(RAND()&lt;((D10)-(C10))/((E10)-(C10)),SQRT(RAND()*((D10)-(C10))/((E10)-(C10))),1-SQRT(RAND()*((E10)-(D10))/((E10)-(C10))))</f>
        <v>2905346.4126606332</v>
      </c>
      <c r="F571" s="67">
        <f ca="1">(C11)+(E11-C11)*IF(RAND()&lt;((D11)-(C11))/((E11)-(C11)),SQRT(RAND()*((D11)-(C11))/((E11)-(C11))),1-SQRT(RAND()*((E11)-(D11))/((E11)-(C11))))</f>
        <v>7.2454572921414485E-3</v>
      </c>
      <c r="G571" s="67">
        <f ca="1">(C12)+(E12-C12)*IF(RAND()&lt;((D12)-(C12))/((E12)-(C12)),SQRT(RAND()*((D12)-(C12))/((E12)-(C12))),1-SQRT(RAND()*((E12)-(D12))/((E12)-(C12))))</f>
        <v>0.16800426987401385</v>
      </c>
      <c r="H571" s="68">
        <f t="shared" ca="1" si="16"/>
        <v>270928848.30955243</v>
      </c>
      <c r="I571" s="69">
        <f t="shared" ca="1" si="17"/>
        <v>308.82309208621336</v>
      </c>
    </row>
    <row r="572" spans="1:9" ht="16.05" customHeight="1" x14ac:dyDescent="0.3">
      <c r="A572" s="70">
        <v>556</v>
      </c>
      <c r="B572" s="71">
        <f ca="1">(C7)+(E7-C7)*IF(RAND()&lt;((D7)-(C7))/((E7)-(C7)),SQRT(RAND()*((D7)-(C7))/((E7)-(C7))),1-SQRT(RAND()*((E7)-(D7))/((E7)-(C7))))</f>
        <v>0.28701933080899578</v>
      </c>
      <c r="C572" s="71">
        <f ca="1">(C8)+(E8-C8)*IF(RAND()&lt;((D8)-(C8))/((E8)-(C8)),SQRT(RAND()*((D8)-(C8))/((E8)-(C8))),1-SQRT(RAND()*((E8)-(D8))/((E8)-(C8))))</f>
        <v>0.7547257203076061</v>
      </c>
      <c r="D572" s="72">
        <f ca="1">(C9)+(E9-C9)*IF(RAND()&lt;((D9)-(C9))/((E9)-(C9)),SQRT(RAND()*((D9)-(C9))/((E9)-(C9))),1-SQRT(RAND()*((E9)-(D9))/((E9)-(C9))))</f>
        <v>1255598.499753905</v>
      </c>
      <c r="E572" s="72">
        <f ca="1">(C10)+(E10-C10)*IF(RAND()&lt;((D10)-(C10))/((E10)-(C10)),SQRT(RAND()*((D10)-(C10))/((E10)-(C10))),1-SQRT(RAND()*((E10)-(D10))/((E10)-(C10))))</f>
        <v>3695396.2767831073</v>
      </c>
      <c r="F572" s="71">
        <f ca="1">(C11)+(E11-C11)*IF(RAND()&lt;((D11)-(C11))/((E11)-(C11)),SQRT(RAND()*((D11)-(C11))/((E11)-(C11))),1-SQRT(RAND()*((E11)-(D11))/((E11)-(C11))))</f>
        <v>1.5987667349967111E-2</v>
      </c>
      <c r="G572" s="71">
        <f ca="1">(C12)+(E12-C12)*IF(RAND()&lt;((D12)-(C12))/((E12)-(C12)),SQRT(RAND()*((D12)-(C12))/((E12)-(C12))),1-SQRT(RAND()*((E12)-(D12))/((E12)-(C12))))</f>
        <v>0.13701512558668882</v>
      </c>
      <c r="H572" s="72">
        <f t="shared" ca="1" si="16"/>
        <v>335803391.29937088</v>
      </c>
      <c r="I572" s="73">
        <f t="shared" ca="1" si="17"/>
        <v>354.07541664655577</v>
      </c>
    </row>
    <row r="573" spans="1:9" ht="16.05" customHeight="1" x14ac:dyDescent="0.3">
      <c r="A573" s="66">
        <v>557</v>
      </c>
      <c r="B573" s="67">
        <f ca="1">(C7)+(E7-C7)*IF(RAND()&lt;((D7)-(C7))/((E7)-(C7)),SQRT(RAND()*((D7)-(C7))/((E7)-(C7))),1-SQRT(RAND()*((E7)-(D7))/((E7)-(C7))))</f>
        <v>0.3014258237895252</v>
      </c>
      <c r="C573" s="67">
        <f ca="1">(C8)+(E8-C8)*IF(RAND()&lt;((D8)-(C8))/((E8)-(C8)),SQRT(RAND()*((D8)-(C8))/((E8)-(C8))),1-SQRT(RAND()*((E8)-(D8))/((E8)-(C8))))</f>
        <v>0.76283803110336623</v>
      </c>
      <c r="D573" s="68">
        <f ca="1">(C9)+(E9-C9)*IF(RAND()&lt;((D9)-(C9))/((E9)-(C9)),SQRT(RAND()*((D9)-(C9))/((E9)-(C9))),1-SQRT(RAND()*((E9)-(D9))/((E9)-(C9))))</f>
        <v>1112539.4140846399</v>
      </c>
      <c r="E573" s="68">
        <f ca="1">(C10)+(E10-C10)*IF(RAND()&lt;((D10)-(C10))/((E10)-(C10)),SQRT(RAND()*((D10)-(C10))/((E10)-(C10))),1-SQRT(RAND()*((E10)-(D10))/((E10)-(C10))))</f>
        <v>5259975.5649973005</v>
      </c>
      <c r="F573" s="67">
        <f ca="1">(C11)+(E11-C11)*IF(RAND()&lt;((D11)-(C11))/((E11)-(C11)),SQRT(RAND()*((D11)-(C11))/((E11)-(C11))),1-SQRT(RAND()*((E11)-(D11))/((E11)-(C11))))</f>
        <v>1.1021291816126178E-2</v>
      </c>
      <c r="G573" s="67">
        <f ca="1">(C12)+(E12-C12)*IF(RAND()&lt;((D12)-(C12))/((E12)-(C12)),SQRT(RAND()*((D12)-(C12))/((E12)-(C12))),1-SQRT(RAND()*((E12)-(D12))/((E12)-(C12))))</f>
        <v>0.20466421152481207</v>
      </c>
      <c r="H573" s="68">
        <f t="shared" ca="1" si="16"/>
        <v>308659488.44777191</v>
      </c>
      <c r="I573" s="69">
        <f t="shared" ca="1" si="17"/>
        <v>367.25476660020826</v>
      </c>
    </row>
    <row r="574" spans="1:9" ht="16.05" customHeight="1" x14ac:dyDescent="0.3">
      <c r="A574" s="70">
        <v>558</v>
      </c>
      <c r="B574" s="71">
        <f ca="1">(C7)+(E7-C7)*IF(RAND()&lt;((D7)-(C7))/((E7)-(C7)),SQRT(RAND()*((D7)-(C7))/((E7)-(C7))),1-SQRT(RAND()*((E7)-(D7))/((E7)-(C7))))</f>
        <v>0.3078841763539244</v>
      </c>
      <c r="C574" s="71">
        <f ca="1">(C8)+(E8-C8)*IF(RAND()&lt;((D8)-(C8))/((E8)-(C8)),SQRT(RAND()*((D8)-(C8))/((E8)-(C8))),1-SQRT(RAND()*((E8)-(D8))/((E8)-(C8))))</f>
        <v>0.7026243781185586</v>
      </c>
      <c r="D574" s="72">
        <f ca="1">(C9)+(E9-C9)*IF(RAND()&lt;((D9)-(C9))/((E9)-(C9)),SQRT(RAND()*((D9)-(C9))/((E9)-(C9))),1-SQRT(RAND()*((E9)-(D9))/((E9)-(C9))))</f>
        <v>1254939.1471752657</v>
      </c>
      <c r="E574" s="72">
        <f ca="1">(C10)+(E10-C10)*IF(RAND()&lt;((D10)-(C10))/((E10)-(C10)),SQRT(RAND()*((D10)-(C10))/((E10)-(C10))),1-SQRT(RAND()*((E10)-(D10))/((E10)-(C10))))</f>
        <v>4362989.1910053473</v>
      </c>
      <c r="F574" s="71">
        <f ca="1">(C11)+(E11-C11)*IF(RAND()&lt;((D11)-(C11))/((E11)-(C11)),SQRT(RAND()*((D11)-(C11))/((E11)-(C11))),1-SQRT(RAND()*((E11)-(D11))/((E11)-(C11))))</f>
        <v>1.6796719781758989E-2</v>
      </c>
      <c r="G574" s="71">
        <f ca="1">(C12)+(E12-C12)*IF(RAND()&lt;((D12)-(C12))/((E12)-(C12)),SQRT(RAND()*((D12)-(C12))/((E12)-(C12))),1-SQRT(RAND()*((E12)-(D12))/((E12)-(C12))))</f>
        <v>0.13709993897008532</v>
      </c>
      <c r="H574" s="72">
        <f t="shared" ca="1" si="16"/>
        <v>338793014.77155304</v>
      </c>
      <c r="I574" s="73">
        <f t="shared" ca="1" si="17"/>
        <v>357.40296170966462</v>
      </c>
    </row>
    <row r="575" spans="1:9" ht="16.05" customHeight="1" x14ac:dyDescent="0.3">
      <c r="A575" s="66">
        <v>559</v>
      </c>
      <c r="B575" s="67">
        <f ca="1">(C7)+(E7-C7)*IF(RAND()&lt;((D7)-(C7))/((E7)-(C7)),SQRT(RAND()*((D7)-(C7))/((E7)-(C7))),1-SQRT(RAND()*((E7)-(D7))/((E7)-(C7))))</f>
        <v>0.25264902081711099</v>
      </c>
      <c r="C575" s="67">
        <f ca="1">(C8)+(E8-C8)*IF(RAND()&lt;((D8)-(C8))/((E8)-(C8)),SQRT(RAND()*((D8)-(C8))/((E8)-(C8))),1-SQRT(RAND()*((E8)-(D8))/((E8)-(C8))))</f>
        <v>0.75481078830989867</v>
      </c>
      <c r="D575" s="68">
        <f ca="1">(C9)+(E9-C9)*IF(RAND()&lt;((D9)-(C9))/((E9)-(C9)),SQRT(RAND()*((D9)-(C9))/((E9)-(C9))),1-SQRT(RAND()*((E9)-(D9))/((E9)-(C9))))</f>
        <v>1217314.0562813913</v>
      </c>
      <c r="E575" s="68">
        <f ca="1">(C10)+(E10-C10)*IF(RAND()&lt;((D10)-(C10))/((E10)-(C10)),SQRT(RAND()*((D10)-(C10))/((E10)-(C10))),1-SQRT(RAND()*((E10)-(D10))/((E10)-(C10))))</f>
        <v>3652307.1879271334</v>
      </c>
      <c r="F575" s="67">
        <f ca="1">(C11)+(E11-C11)*IF(RAND()&lt;((D11)-(C11))/((E11)-(C11)),SQRT(RAND()*((D11)-(C11))/((E11)-(C11))),1-SQRT(RAND()*((E11)-(D11))/((E11)-(C11))))</f>
        <v>1.6454643010822605E-2</v>
      </c>
      <c r="G575" s="67">
        <f ca="1">(C12)+(E12-C12)*IF(RAND()&lt;((D12)-(C12))/((E12)-(C12)),SQRT(RAND()*((D12)-(C12))/((E12)-(C12))),1-SQRT(RAND()*((E12)-(D12))/((E12)-(C12))))</f>
        <v>0.1312314873467397</v>
      </c>
      <c r="H575" s="68">
        <f t="shared" ca="1" si="16"/>
        <v>311177126.33647156</v>
      </c>
      <c r="I575" s="69">
        <f t="shared" ca="1" si="17"/>
        <v>338.48646520041086</v>
      </c>
    </row>
    <row r="576" spans="1:9" ht="16.05" customHeight="1" x14ac:dyDescent="0.3">
      <c r="A576" s="70">
        <v>560</v>
      </c>
      <c r="B576" s="71">
        <f ca="1">(C7)+(E7-C7)*IF(RAND()&lt;((D7)-(C7))/((E7)-(C7)),SQRT(RAND()*((D7)-(C7))/((E7)-(C7))),1-SQRT(RAND()*((E7)-(D7))/((E7)-(C7))))</f>
        <v>0.28730256902573564</v>
      </c>
      <c r="C576" s="71">
        <f ca="1">(C8)+(E8-C8)*IF(RAND()&lt;((D8)-(C8))/((E8)-(C8)),SQRT(RAND()*((D8)-(C8))/((E8)-(C8))),1-SQRT(RAND()*((E8)-(D8))/((E8)-(C8))))</f>
        <v>0.69337238028584314</v>
      </c>
      <c r="D576" s="72">
        <f ca="1">(C9)+(E9-C9)*IF(RAND()&lt;((D9)-(C9))/((E9)-(C9)),SQRT(RAND()*((D9)-(C9))/((E9)-(C9))),1-SQRT(RAND()*((E9)-(D9))/((E9)-(C9))))</f>
        <v>1262758.3863232802</v>
      </c>
      <c r="E576" s="72">
        <f ca="1">(C10)+(E10-C10)*IF(RAND()&lt;((D10)-(C10))/((E10)-(C10)),SQRT(RAND()*((D10)-(C10))/((E10)-(C10))),1-SQRT(RAND()*((E10)-(D10))/((E10)-(C10))))</f>
        <v>4289427.5774311367</v>
      </c>
      <c r="F576" s="71">
        <f ca="1">(C11)+(E11-C11)*IF(RAND()&lt;((D11)-(C11))/((E11)-(C11)),SQRT(RAND()*((D11)-(C11))/((E11)-(C11))),1-SQRT(RAND()*((E11)-(D11))/((E11)-(C11))))</f>
        <v>2.2050089104492188E-2</v>
      </c>
      <c r="G576" s="71">
        <f ca="1">(C12)+(E12-C12)*IF(RAND()&lt;((D12)-(C12))/((E12)-(C12)),SQRT(RAND()*((D12)-(C12))/((E12)-(C12))),1-SQRT(RAND()*((E12)-(D12))/((E12)-(C12))))</f>
        <v>0.12247182226084877</v>
      </c>
      <c r="H576" s="72">
        <f t="shared" ca="1" si="16"/>
        <v>358356074.87956429</v>
      </c>
      <c r="I576" s="73">
        <f t="shared" ca="1" si="17"/>
        <v>375.63220046435617</v>
      </c>
    </row>
    <row r="577" spans="1:9" ht="16.05" customHeight="1" x14ac:dyDescent="0.3">
      <c r="A577" s="66">
        <v>561</v>
      </c>
      <c r="B577" s="67">
        <f ca="1">(C7)+(E7-C7)*IF(RAND()&lt;((D7)-(C7))/((E7)-(C7)),SQRT(RAND()*((D7)-(C7))/((E7)-(C7))),1-SQRT(RAND()*((E7)-(D7))/((E7)-(C7))))</f>
        <v>0.28030957428140801</v>
      </c>
      <c r="C577" s="67">
        <f ca="1">(C8)+(E8-C8)*IF(RAND()&lt;((D8)-(C8))/((E8)-(C8)),SQRT(RAND()*((D8)-(C8))/((E8)-(C8))),1-SQRT(RAND()*((E8)-(D8))/((E8)-(C8))))</f>
        <v>0.62586813203511971</v>
      </c>
      <c r="D577" s="68">
        <f ca="1">(C9)+(E9-C9)*IF(RAND()&lt;((D9)-(C9))/((E9)-(C9)),SQRT(RAND()*((D9)-(C9))/((E9)-(C9))),1-SQRT(RAND()*((E9)-(D9))/((E9)-(C9))))</f>
        <v>1197764.8584400089</v>
      </c>
      <c r="E577" s="68">
        <f ca="1">(C10)+(E10-C10)*IF(RAND()&lt;((D10)-(C10))/((E10)-(C10)),SQRT(RAND()*((D10)-(C10))/((E10)-(C10))),1-SQRT(RAND()*((E10)-(D10))/((E10)-(C10))))</f>
        <v>4103588.2389905755</v>
      </c>
      <c r="F577" s="67">
        <f ca="1">(C11)+(E11-C11)*IF(RAND()&lt;((D11)-(C11))/((E11)-(C11)),SQRT(RAND()*((D11)-(C11))/((E11)-(C11))),1-SQRT(RAND()*((E11)-(D11))/((E11)-(C11))))</f>
        <v>1.5618885713289669E-2</v>
      </c>
      <c r="G577" s="67">
        <f ca="1">(C12)+(E12-C12)*IF(RAND()&lt;((D12)-(C12))/((E12)-(C12)),SQRT(RAND()*((D12)-(C12))/((E12)-(C12))),1-SQRT(RAND()*((E12)-(D12))/((E12)-(C12))))</f>
        <v>0.1322094644711643</v>
      </c>
      <c r="H577" s="68">
        <f t="shared" ca="1" si="16"/>
        <v>286845699.5404591</v>
      </c>
      <c r="I577" s="69">
        <f t="shared" ca="1" si="17"/>
        <v>317.19556527474396</v>
      </c>
    </row>
    <row r="578" spans="1:9" ht="16.05" customHeight="1" x14ac:dyDescent="0.3">
      <c r="A578" s="70">
        <v>562</v>
      </c>
      <c r="B578" s="71">
        <f ca="1">(C7)+(E7-C7)*IF(RAND()&lt;((D7)-(C7))/((E7)-(C7)),SQRT(RAND()*((D7)-(C7))/((E7)-(C7))),1-SQRT(RAND()*((E7)-(D7))/((E7)-(C7))))</f>
        <v>0.23326220412917606</v>
      </c>
      <c r="C578" s="71">
        <f ca="1">(C8)+(E8-C8)*IF(RAND()&lt;((D8)-(C8))/((E8)-(C8)),SQRT(RAND()*((D8)-(C8))/((E8)-(C8))),1-SQRT(RAND()*((E8)-(D8))/((E8)-(C8))))</f>
        <v>0.74597314180010055</v>
      </c>
      <c r="D578" s="72">
        <f ca="1">(C9)+(E9-C9)*IF(RAND()&lt;((D9)-(C9))/((E9)-(C9)),SQRT(RAND()*((D9)-(C9))/((E9)-(C9))),1-SQRT(RAND()*((E9)-(D9))/((E9)-(C9))))</f>
        <v>1211947.9668616087</v>
      </c>
      <c r="E578" s="72">
        <f ca="1">(C10)+(E10-C10)*IF(RAND()&lt;((D10)-(C10))/((E10)-(C10)),SQRT(RAND()*((D10)-(C10))/((E10)-(C10))),1-SQRT(RAND()*((E10)-(D10))/((E10)-(C10))))</f>
        <v>4159239.1901836051</v>
      </c>
      <c r="F578" s="71">
        <f ca="1">(C11)+(E11-C11)*IF(RAND()&lt;((D11)-(C11))/((E11)-(C11)),SQRT(RAND()*((D11)-(C11))/((E11)-(C11))),1-SQRT(RAND()*((E11)-(D11))/((E11)-(C11))))</f>
        <v>7.4267738272131723E-3</v>
      </c>
      <c r="G578" s="71">
        <f ca="1">(C12)+(E12-C12)*IF(RAND()&lt;((D12)-(C12))/((E12)-(C12)),SQRT(RAND()*((D12)-(C12))/((E12)-(C12))),1-SQRT(RAND()*((E12)-(D12))/((E12)-(C12))))</f>
        <v>0.15519951586431746</v>
      </c>
      <c r="H578" s="72">
        <f t="shared" ca="1" si="16"/>
        <v>225937471.23507604</v>
      </c>
      <c r="I578" s="73">
        <f t="shared" ca="1" si="17"/>
        <v>247.21129201870698</v>
      </c>
    </row>
    <row r="579" spans="1:9" ht="16.05" customHeight="1" x14ac:dyDescent="0.3">
      <c r="A579" s="66">
        <v>563</v>
      </c>
      <c r="B579" s="67">
        <f ca="1">(C7)+(E7-C7)*IF(RAND()&lt;((D7)-(C7))/((E7)-(C7)),SQRT(RAND()*((D7)-(C7))/((E7)-(C7))),1-SQRT(RAND()*((E7)-(D7))/((E7)-(C7))))</f>
        <v>0.22976224899732778</v>
      </c>
      <c r="C579" s="67">
        <f ca="1">(C8)+(E8-C8)*IF(RAND()&lt;((D8)-(C8))/((E8)-(C8)),SQRT(RAND()*((D8)-(C8))/((E8)-(C8))),1-SQRT(RAND()*((E8)-(D8))/((E8)-(C8))))</f>
        <v>0.69104869193047602</v>
      </c>
      <c r="D579" s="68">
        <f ca="1">(C9)+(E9-C9)*IF(RAND()&lt;((D9)-(C9))/((E9)-(C9)),SQRT(RAND()*((D9)-(C9))/((E9)-(C9))),1-SQRT(RAND()*((E9)-(D9))/((E9)-(C9))))</f>
        <v>1202934.4604713416</v>
      </c>
      <c r="E579" s="68">
        <f ca="1">(C10)+(E10-C10)*IF(RAND()&lt;((D10)-(C10))/((E10)-(C10)),SQRT(RAND()*((D10)-(C10))/((E10)-(C10))),1-SQRT(RAND()*((E10)-(D10))/((E10)-(C10))))</f>
        <v>3947588.3766623186</v>
      </c>
      <c r="F579" s="67">
        <f ca="1">(C11)+(E11-C11)*IF(RAND()&lt;((D11)-(C11))/((E11)-(C11)),SQRT(RAND()*((D11)-(C11))/((E11)-(C11))),1-SQRT(RAND()*((E11)-(D11))/((E11)-(C11))))</f>
        <v>6.4121360387328335E-3</v>
      </c>
      <c r="G579" s="67">
        <f ca="1">(C12)+(E12-C12)*IF(RAND()&lt;((D12)-(C12))/((E12)-(C12)),SQRT(RAND()*((D12)-(C12))/((E12)-(C12))),1-SQRT(RAND()*((E12)-(D12))/((E12)-(C12))))</f>
        <v>0.12777271486048081</v>
      </c>
      <c r="H579" s="68">
        <f t="shared" ca="1" si="16"/>
        <v>202855456.26097515</v>
      </c>
      <c r="I579" s="69">
        <f t="shared" ca="1" si="17"/>
        <v>223.74489706719075</v>
      </c>
    </row>
    <row r="580" spans="1:9" ht="16.05" customHeight="1" x14ac:dyDescent="0.3">
      <c r="A580" s="70">
        <v>564</v>
      </c>
      <c r="B580" s="71">
        <f ca="1">(C7)+(E7-C7)*IF(RAND()&lt;((D7)-(C7))/((E7)-(C7)),SQRT(RAND()*((D7)-(C7))/((E7)-(C7))),1-SQRT(RAND()*((E7)-(D7))/((E7)-(C7))))</f>
        <v>0.21525816491192523</v>
      </c>
      <c r="C580" s="71">
        <f ca="1">(C8)+(E8-C8)*IF(RAND()&lt;((D8)-(C8))/((E8)-(C8)),SQRT(RAND()*((D8)-(C8))/((E8)-(C8))),1-SQRT(RAND()*((E8)-(D8))/((E8)-(C8))))</f>
        <v>0.69955502419024618</v>
      </c>
      <c r="D580" s="72">
        <f ca="1">(C9)+(E9-C9)*IF(RAND()&lt;((D9)-(C9))/((E9)-(C9)),SQRT(RAND()*((D9)-(C9))/((E9)-(C9))),1-SQRT(RAND()*((E9)-(D9))/((E9)-(C9))))</f>
        <v>1169001.4921660768</v>
      </c>
      <c r="E580" s="72">
        <f ca="1">(C10)+(E10-C10)*IF(RAND()&lt;((D10)-(C10))/((E10)-(C10)),SQRT(RAND()*((D10)-(C10))/((E10)-(C10))),1-SQRT(RAND()*((E10)-(D10))/((E10)-(C10))))</f>
        <v>3910069.0301738167</v>
      </c>
      <c r="F580" s="71">
        <f ca="1">(C11)+(E11-C11)*IF(RAND()&lt;((D11)-(C11))/((E11)-(C11)),SQRT(RAND()*((D11)-(C11))/((E11)-(C11))),1-SQRT(RAND()*((E11)-(D11))/((E11)-(C11))))</f>
        <v>1.7736528166311379E-2</v>
      </c>
      <c r="G580" s="71">
        <f ca="1">(C12)+(E12-C12)*IF(RAND()&lt;((D12)-(C12))/((E12)-(C12)),SQRT(RAND()*((D12)-(C12))/((E12)-(C12))),1-SQRT(RAND()*((E12)-(D12))/((E12)-(C12))))</f>
        <v>0.16466701462454614</v>
      </c>
      <c r="H580" s="72">
        <f t="shared" ca="1" si="16"/>
        <v>275854704.37130654</v>
      </c>
      <c r="I580" s="73">
        <f t="shared" ca="1" si="17"/>
        <v>312.56656307512463</v>
      </c>
    </row>
    <row r="581" spans="1:9" ht="16.05" customHeight="1" x14ac:dyDescent="0.3">
      <c r="A581" s="66">
        <v>565</v>
      </c>
      <c r="B581" s="67">
        <f ca="1">(C7)+(E7-C7)*IF(RAND()&lt;((D7)-(C7))/((E7)-(C7)),SQRT(RAND()*((D7)-(C7))/((E7)-(C7))),1-SQRT(RAND()*((E7)-(D7))/((E7)-(C7))))</f>
        <v>0.25289405182675706</v>
      </c>
      <c r="C581" s="67">
        <f ca="1">(C8)+(E8-C8)*IF(RAND()&lt;((D8)-(C8))/((E8)-(C8)),SQRT(RAND()*((D8)-(C8))/((E8)-(C8))),1-SQRT(RAND()*((E8)-(D8))/((E8)-(C8))))</f>
        <v>0.71814794025104012</v>
      </c>
      <c r="D581" s="68">
        <f ca="1">(C9)+(E9-C9)*IF(RAND()&lt;((D9)-(C9))/((E9)-(C9)),SQRT(RAND()*((D9)-(C9))/((E9)-(C9))),1-SQRT(RAND()*((E9)-(D9))/((E9)-(C9))))</f>
        <v>1175493.4912980422</v>
      </c>
      <c r="E581" s="68">
        <f ca="1">(C10)+(E10-C10)*IF(RAND()&lt;((D10)-(C10))/((E10)-(C10)),SQRT(RAND()*((D10)-(C10))/((E10)-(C10))),1-SQRT(RAND()*((E10)-(D10))/((E10)-(C10))))</f>
        <v>3498941.5476057529</v>
      </c>
      <c r="F581" s="67">
        <f ca="1">(C11)+(E11-C11)*IF(RAND()&lt;((D11)-(C11))/((E11)-(C11)),SQRT(RAND()*((D11)-(C11))/((E11)-(C11))),1-SQRT(RAND()*((E11)-(D11))/((E11)-(C11))))</f>
        <v>1.1903232007976055E-2</v>
      </c>
      <c r="G581" s="67">
        <f ca="1">(C12)+(E12-C12)*IF(RAND()&lt;((D12)-(C12))/((E12)-(C12)),SQRT(RAND()*((D12)-(C12))/((E12)-(C12))),1-SQRT(RAND()*((E12)-(D12))/((E12)-(C12))))</f>
        <v>0.1435397345885778</v>
      </c>
      <c r="H581" s="68">
        <f t="shared" ca="1" si="16"/>
        <v>269063688.6861524</v>
      </c>
      <c r="I581" s="69">
        <f t="shared" ca="1" si="17"/>
        <v>303.22760609981424</v>
      </c>
    </row>
    <row r="582" spans="1:9" ht="16.05" customHeight="1" x14ac:dyDescent="0.3">
      <c r="A582" s="70">
        <v>566</v>
      </c>
      <c r="B582" s="71">
        <f ca="1">(C7)+(E7-C7)*IF(RAND()&lt;((D7)-(C7))/((E7)-(C7)),SQRT(RAND()*((D7)-(C7))/((E7)-(C7))),1-SQRT(RAND()*((E7)-(D7))/((E7)-(C7))))</f>
        <v>0.2046868029665011</v>
      </c>
      <c r="C582" s="71">
        <f ca="1">(C8)+(E8-C8)*IF(RAND()&lt;((D8)-(C8))/((E8)-(C8)),SQRT(RAND()*((D8)-(C8))/((E8)-(C8))),1-SQRT(RAND()*((E8)-(D8))/((E8)-(C8))))</f>
        <v>0.64932797464816794</v>
      </c>
      <c r="D582" s="72">
        <f ca="1">(C9)+(E9-C9)*IF(RAND()&lt;((D9)-(C9))/((E9)-(C9)),SQRT(RAND()*((D9)-(C9))/((E9)-(C9))),1-SQRT(RAND()*((E9)-(D9))/((E9)-(C9))))</f>
        <v>1151573.1808920919</v>
      </c>
      <c r="E582" s="72">
        <f ca="1">(C10)+(E10-C10)*IF(RAND()&lt;((D10)-(C10))/((E10)-(C10)),SQRT(RAND()*((D10)-(C10))/((E10)-(C10))),1-SQRT(RAND()*((E10)-(D10))/((E10)-(C10))))</f>
        <v>3132952.0093247555</v>
      </c>
      <c r="F582" s="71">
        <f ca="1">(C11)+(E11-C11)*IF(RAND()&lt;((D11)-(C11))/((E11)-(C11)),SQRT(RAND()*((D11)-(C11))/((E11)-(C11))),1-SQRT(RAND()*((E11)-(D11))/((E11)-(C11))))</f>
        <v>7.936442777947951E-3</v>
      </c>
      <c r="G582" s="71">
        <f ca="1">(C12)+(E12-C12)*IF(RAND()&lt;((D12)-(C12))/((E12)-(C12)),SQRT(RAND()*((D12)-(C12))/((E12)-(C12))),1-SQRT(RAND()*((E12)-(D12))/((E12)-(C12))))</f>
        <v>0.16338724049383802</v>
      </c>
      <c r="H582" s="72">
        <f t="shared" ca="1" si="16"/>
        <v>188853576.89643118</v>
      </c>
      <c r="I582" s="73">
        <f t="shared" ca="1" si="17"/>
        <v>217.62785361845854</v>
      </c>
    </row>
    <row r="583" spans="1:9" ht="16.05" customHeight="1" x14ac:dyDescent="0.3">
      <c r="A583" s="66">
        <v>567</v>
      </c>
      <c r="B583" s="67">
        <f ca="1">(C7)+(E7-C7)*IF(RAND()&lt;((D7)-(C7))/((E7)-(C7)),SQRT(RAND()*((D7)-(C7))/((E7)-(C7))),1-SQRT(RAND()*((E7)-(D7))/((E7)-(C7))))</f>
        <v>0.25290850098026774</v>
      </c>
      <c r="C583" s="67">
        <f ca="1">(C8)+(E8-C8)*IF(RAND()&lt;((D8)-(C8))/((E8)-(C8)),SQRT(RAND()*((D8)-(C8))/((E8)-(C8))),1-SQRT(RAND()*((E8)-(D8))/((E8)-(C8))))</f>
        <v>0.60014218002682607</v>
      </c>
      <c r="D583" s="68">
        <f ca="1">(C9)+(E9-C9)*IF(RAND()&lt;((D9)-(C9))/((E9)-(C9)),SQRT(RAND()*((D9)-(C9))/((E9)-(C9))),1-SQRT(RAND()*((E9)-(D9))/((E9)-(C9))))</f>
        <v>1239108.3260717634</v>
      </c>
      <c r="E583" s="68">
        <f ca="1">(C10)+(E10-C10)*IF(RAND()&lt;((D10)-(C10))/((E10)-(C10)),SQRT(RAND()*((D10)-(C10))/((E10)-(C10))),1-SQRT(RAND()*((E10)-(D10))/((E10)-(C10))))</f>
        <v>3588226.6353555117</v>
      </c>
      <c r="F583" s="67">
        <f ca="1">(C11)+(E11-C11)*IF(RAND()&lt;((D11)-(C11))/((E11)-(C11)),SQRT(RAND()*((D11)-(C11))/((E11)-(C11))),1-SQRT(RAND()*((E11)-(D11))/((E11)-(C11))))</f>
        <v>7.20185930958915E-3</v>
      </c>
      <c r="G583" s="67">
        <f ca="1">(C12)+(E12-C12)*IF(RAND()&lt;((D12)-(C12))/((E12)-(C12)),SQRT(RAND()*((D12)-(C12))/((E12)-(C12))),1-SQRT(RAND()*((E12)-(D12))/((E12)-(C12))))</f>
        <v>0.1595095963217229</v>
      </c>
      <c r="H583" s="68">
        <f t="shared" ca="1" si="16"/>
        <v>202270331.17810947</v>
      </c>
      <c r="I583" s="69">
        <f t="shared" ca="1" si="17"/>
        <v>216.62866889671926</v>
      </c>
    </row>
    <row r="584" spans="1:9" ht="16.05" customHeight="1" x14ac:dyDescent="0.3">
      <c r="A584" s="70">
        <v>568</v>
      </c>
      <c r="B584" s="71">
        <f ca="1">(C7)+(E7-C7)*IF(RAND()&lt;((D7)-(C7))/((E7)-(C7)),SQRT(RAND()*((D7)-(C7))/((E7)-(C7))),1-SQRT(RAND()*((E7)-(D7))/((E7)-(C7))))</f>
        <v>0.26555178629835097</v>
      </c>
      <c r="C584" s="71">
        <f ca="1">(C8)+(E8-C8)*IF(RAND()&lt;((D8)-(C8))/((E8)-(C8)),SQRT(RAND()*((D8)-(C8))/((E8)-(C8))),1-SQRT(RAND()*((E8)-(D8))/((E8)-(C8))))</f>
        <v>0.73032399368585121</v>
      </c>
      <c r="D584" s="72">
        <f ca="1">(C9)+(E9-C9)*IF(RAND()&lt;((D9)-(C9))/((E9)-(C9)),SQRT(RAND()*((D9)-(C9))/((E9)-(C9))),1-SQRT(RAND()*((E9)-(D9))/((E9)-(C9))))</f>
        <v>1078669.6265181859</v>
      </c>
      <c r="E584" s="72">
        <f ca="1">(C10)+(E10-C10)*IF(RAND()&lt;((D10)-(C10))/((E10)-(C10)),SQRT(RAND()*((D10)-(C10))/((E10)-(C10))),1-SQRT(RAND()*((E10)-(D10))/((E10)-(C10))))</f>
        <v>2932395.1374641769</v>
      </c>
      <c r="F584" s="71">
        <f ca="1">(C11)+(E11-C11)*IF(RAND()&lt;((D11)-(C11))/((E11)-(C11)),SQRT(RAND()*((D11)-(C11))/((E11)-(C11))),1-SQRT(RAND()*((E11)-(D11))/((E11)-(C11))))</f>
        <v>6.7950713422157728E-3</v>
      </c>
      <c r="G584" s="71">
        <f ca="1">(C12)+(E12-C12)*IF(RAND()&lt;((D12)-(C12))/((E12)-(C12)),SQRT(RAND()*((D12)-(C12))/((E12)-(C12))),1-SQRT(RAND()*((E12)-(D12))/((E12)-(C12))))</f>
        <v>0.17515507836366009</v>
      </c>
      <c r="H584" s="72">
        <f t="shared" ca="1" si="16"/>
        <v>247846634.34504274</v>
      </c>
      <c r="I584" s="73">
        <f t="shared" ca="1" si="17"/>
        <v>304.38359660559541</v>
      </c>
    </row>
    <row r="585" spans="1:9" ht="16.05" customHeight="1" x14ac:dyDescent="0.3">
      <c r="A585" s="66">
        <v>569</v>
      </c>
      <c r="B585" s="67">
        <f ca="1">(C7)+(E7-C7)*IF(RAND()&lt;((D7)-(C7))/((E7)-(C7)),SQRT(RAND()*((D7)-(C7))/((E7)-(C7))),1-SQRT(RAND()*((E7)-(D7))/((E7)-(C7))))</f>
        <v>0.28643985483361523</v>
      </c>
      <c r="C585" s="67">
        <f ca="1">(C8)+(E8-C8)*IF(RAND()&lt;((D8)-(C8))/((E8)-(C8)),SQRT(RAND()*((D8)-(C8))/((E8)-(C8))),1-SQRT(RAND()*((E8)-(D8))/((E8)-(C8))))</f>
        <v>0.73018232659693072</v>
      </c>
      <c r="D585" s="68">
        <f ca="1">(C9)+(E9-C9)*IF(RAND()&lt;((D9)-(C9))/((E9)-(C9)),SQRT(RAND()*((D9)-(C9))/((E9)-(C9))),1-SQRT(RAND()*((E9)-(D9))/((E9)-(C9))))</f>
        <v>1298844.3030783499</v>
      </c>
      <c r="E585" s="68">
        <f ca="1">(C10)+(E10-C10)*IF(RAND()&lt;((D10)-(C10))/((E10)-(C10)),SQRT(RAND()*((D10)-(C10))/((E10)-(C10))),1-SQRT(RAND()*((E10)-(D10))/((E10)-(C10))))</f>
        <v>3056695.634118339</v>
      </c>
      <c r="F585" s="67">
        <f ca="1">(C11)+(E11-C11)*IF(RAND()&lt;((D11)-(C11))/((E11)-(C11)),SQRT(RAND()*((D11)-(C11))/((E11)-(C11))),1-SQRT(RAND()*((E11)-(D11))/((E11)-(C11))))</f>
        <v>7.4725321149888245E-3</v>
      </c>
      <c r="G585" s="67">
        <f ca="1">(C12)+(E12-C12)*IF(RAND()&lt;((D12)-(C12))/((E12)-(C12)),SQRT(RAND()*((D12)-(C12))/((E12)-(C12))),1-SQRT(RAND()*((E12)-(D12))/((E12)-(C12))))</f>
        <v>0.14860560702112621</v>
      </c>
      <c r="H585" s="68">
        <f t="shared" ca="1" si="16"/>
        <v>268597623.36919773</v>
      </c>
      <c r="I585" s="69">
        <f t="shared" ca="1" si="17"/>
        <v>274.08215164282069</v>
      </c>
    </row>
    <row r="586" spans="1:9" ht="16.05" customHeight="1" x14ac:dyDescent="0.3">
      <c r="A586" s="70">
        <v>570</v>
      </c>
      <c r="B586" s="71">
        <f ca="1">(C7)+(E7-C7)*IF(RAND()&lt;((D7)-(C7))/((E7)-(C7)),SQRT(RAND()*((D7)-(C7))/((E7)-(C7))),1-SQRT(RAND()*((E7)-(D7))/((E7)-(C7))))</f>
        <v>0.22922173352581529</v>
      </c>
      <c r="C586" s="71">
        <f ca="1">(C8)+(E8-C8)*IF(RAND()&lt;((D8)-(C8))/((E8)-(C8)),SQRT(RAND()*((D8)-(C8))/((E8)-(C8))),1-SQRT(RAND()*((E8)-(D8))/((E8)-(C8))))</f>
        <v>0.74591418431459744</v>
      </c>
      <c r="D586" s="72">
        <f ca="1">(C9)+(E9-C9)*IF(RAND()&lt;((D9)-(C9))/((E9)-(C9)),SQRT(RAND()*((D9)-(C9))/((E9)-(C9))),1-SQRT(RAND()*((E9)-(D9))/((E9)-(C9))))</f>
        <v>1094394.613541032</v>
      </c>
      <c r="E586" s="72">
        <f ca="1">(C10)+(E10-C10)*IF(RAND()&lt;((D10)-(C10))/((E10)-(C10)),SQRT(RAND()*((D10)-(C10))/((E10)-(C10))),1-SQRT(RAND()*((E10)-(D10))/((E10)-(C10))))</f>
        <v>3182241.9081075252</v>
      </c>
      <c r="F586" s="71">
        <f ca="1">(C11)+(E11-C11)*IF(RAND()&lt;((D11)-(C11))/((E11)-(C11)),SQRT(RAND()*((D11)-(C11))/((E11)-(C11))),1-SQRT(RAND()*((E11)-(D11))/((E11)-(C11))))</f>
        <v>2.1897985889642601E-2</v>
      </c>
      <c r="G586" s="71">
        <f ca="1">(C12)+(E12-C12)*IF(RAND()&lt;((D12)-(C12))/((E12)-(C12)),SQRT(RAND()*((D12)-(C12))/((E12)-(C12))),1-SQRT(RAND()*((E12)-(D12))/((E12)-(C12))))</f>
        <v>0.13929108472985932</v>
      </c>
      <c r="H586" s="72">
        <f t="shared" ca="1" si="16"/>
        <v>330912980.9984836</v>
      </c>
      <c r="I586" s="73">
        <f t="shared" ca="1" si="17"/>
        <v>400.14227138940089</v>
      </c>
    </row>
    <row r="587" spans="1:9" ht="16.05" customHeight="1" x14ac:dyDescent="0.3">
      <c r="A587" s="66">
        <v>571</v>
      </c>
      <c r="B587" s="67">
        <f ca="1">(C7)+(E7-C7)*IF(RAND()&lt;((D7)-(C7))/((E7)-(C7)),SQRT(RAND()*((D7)-(C7))/((E7)-(C7))),1-SQRT(RAND()*((E7)-(D7))/((E7)-(C7))))</f>
        <v>0.27740766195368249</v>
      </c>
      <c r="C587" s="67">
        <f ca="1">(C8)+(E8-C8)*IF(RAND()&lt;((D8)-(C8))/((E8)-(C8)),SQRT(RAND()*((D8)-(C8))/((E8)-(C8))),1-SQRT(RAND()*((E8)-(D8))/((E8)-(C8))))</f>
        <v>0.75114981024021055</v>
      </c>
      <c r="D587" s="68">
        <f ca="1">(C9)+(E9-C9)*IF(RAND()&lt;((D9)-(C9))/((E9)-(C9)),SQRT(RAND()*((D9)-(C9))/((E9)-(C9))),1-SQRT(RAND()*((E9)-(D9))/((E9)-(C9))))</f>
        <v>1184110.7948319258</v>
      </c>
      <c r="E587" s="68">
        <f ca="1">(C10)+(E10-C10)*IF(RAND()&lt;((D10)-(C10))/((E10)-(C10)),SQRT(RAND()*((D10)-(C10))/((E10)-(C10))),1-SQRT(RAND()*((E10)-(D10))/((E10)-(C10))))</f>
        <v>3326783.2280355706</v>
      </c>
      <c r="F587" s="67">
        <f ca="1">(C11)+(E11-C11)*IF(RAND()&lt;((D11)-(C11))/((E11)-(C11)),SQRT(RAND()*((D11)-(C11))/((E11)-(C11))),1-SQRT(RAND()*((E11)-(D11))/((E11)-(C11))))</f>
        <v>1.5589156458337347E-2</v>
      </c>
      <c r="G587" s="67">
        <f ca="1">(C12)+(E12-C12)*IF(RAND()&lt;((D12)-(C12))/((E12)-(C12)),SQRT(RAND()*((D12)-(C12))/((E12)-(C12))),1-SQRT(RAND()*((E12)-(D12))/((E12)-(C12))))</f>
        <v>0.13405540371261754</v>
      </c>
      <c r="H587" s="68">
        <f t="shared" ca="1" si="16"/>
        <v>325424441.09698641</v>
      </c>
      <c r="I587" s="69">
        <f t="shared" ca="1" si="17"/>
        <v>363.81102837302882</v>
      </c>
    </row>
    <row r="588" spans="1:9" ht="16.05" customHeight="1" x14ac:dyDescent="0.3">
      <c r="A588" s="70">
        <v>572</v>
      </c>
      <c r="B588" s="71">
        <f ca="1">(C7)+(E7-C7)*IF(RAND()&lt;((D7)-(C7))/((E7)-(C7)),SQRT(RAND()*((D7)-(C7))/((E7)-(C7))),1-SQRT(RAND()*((E7)-(D7))/((E7)-(C7))))</f>
        <v>0.34829999301547554</v>
      </c>
      <c r="C588" s="71">
        <f ca="1">(C8)+(E8-C8)*IF(RAND()&lt;((D8)-(C8))/((E8)-(C8)),SQRT(RAND()*((D8)-(C8))/((E8)-(C8))),1-SQRT(RAND()*((E8)-(D8))/((E8)-(C8))))</f>
        <v>0.63014816945998575</v>
      </c>
      <c r="D588" s="72">
        <f ca="1">(C9)+(E9-C9)*IF(RAND()&lt;((D9)-(C9))/((E9)-(C9)),SQRT(RAND()*((D9)-(C9))/((E9)-(C9))),1-SQRT(RAND()*((E9)-(D9))/((E9)-(C9))))</f>
        <v>1155473.783386851</v>
      </c>
      <c r="E588" s="72">
        <f ca="1">(C10)+(E10-C10)*IF(RAND()&lt;((D10)-(C10))/((E10)-(C10)),SQRT(RAND()*((D10)-(C10))/((E10)-(C10))),1-SQRT(RAND()*((E10)-(D10))/((E10)-(C10))))</f>
        <v>2917985.2538272669</v>
      </c>
      <c r="F588" s="71">
        <f ca="1">(C11)+(E11-C11)*IF(RAND()&lt;((D11)-(C11))/((E11)-(C11)),SQRT(RAND()*((D11)-(C11))/((E11)-(C11))),1-SQRT(RAND()*((E11)-(D11))/((E11)-(C11))))</f>
        <v>1.2116752584034325E-3</v>
      </c>
      <c r="G588" s="71">
        <f ca="1">(C12)+(E12-C12)*IF(RAND()&lt;((D12)-(C12))/((E12)-(C12)),SQRT(RAND()*((D12)-(C12))/((E12)-(C12))),1-SQRT(RAND()*((E12)-(D12))/((E12)-(C12))))</f>
        <v>0.16030409615859209</v>
      </c>
      <c r="H588" s="72">
        <f t="shared" ca="1" si="16"/>
        <v>235313719.62000453</v>
      </c>
      <c r="I588" s="73">
        <f t="shared" ca="1" si="17"/>
        <v>269.93246580868248</v>
      </c>
    </row>
    <row r="589" spans="1:9" ht="16.05" customHeight="1" x14ac:dyDescent="0.3">
      <c r="A589" s="66">
        <v>573</v>
      </c>
      <c r="B589" s="67">
        <f ca="1">(C7)+(E7-C7)*IF(RAND()&lt;((D7)-(C7))/((E7)-(C7)),SQRT(RAND()*((D7)-(C7))/((E7)-(C7))),1-SQRT(RAND()*((E7)-(D7))/((E7)-(C7))))</f>
        <v>0.36102602683760532</v>
      </c>
      <c r="C589" s="67">
        <f ca="1">(C8)+(E8-C8)*IF(RAND()&lt;((D8)-(C8))/((E8)-(C8)),SQRT(RAND()*((D8)-(C8))/((E8)-(C8))),1-SQRT(RAND()*((E8)-(D8))/((E8)-(C8))))</f>
        <v>0.77485112983463156</v>
      </c>
      <c r="D589" s="68">
        <f ca="1">(C9)+(E9-C9)*IF(RAND()&lt;((D9)-(C9))/((E9)-(C9)),SQRT(RAND()*((D9)-(C9))/((E9)-(C9))),1-SQRT(RAND()*((E9)-(D9))/((E9)-(C9))))</f>
        <v>1410936.5307736101</v>
      </c>
      <c r="E589" s="68">
        <f ca="1">(C10)+(E10-C10)*IF(RAND()&lt;((D10)-(C10))/((E10)-(C10)),SQRT(RAND()*((D10)-(C10))/((E10)-(C10))),1-SQRT(RAND()*((E10)-(D10))/((E10)-(C10))))</f>
        <v>3120431.5442718258</v>
      </c>
      <c r="F589" s="67">
        <f ca="1">(C11)+(E11-C11)*IF(RAND()&lt;((D11)-(C11))/((E11)-(C11)),SQRT(RAND()*((D11)-(C11))/((E11)-(C11))),1-SQRT(RAND()*((E11)-(D11))/((E11)-(C11))))</f>
        <v>1.5579601809360152E-2</v>
      </c>
      <c r="G589" s="67">
        <f ca="1">(C12)+(E12-C12)*IF(RAND()&lt;((D12)-(C12))/((E12)-(C12)),SQRT(RAND()*((D12)-(C12))/((E12)-(C12))),1-SQRT(RAND()*((E12)-(D12))/((E12)-(C12))))</f>
        <v>0.16169646576532409</v>
      </c>
      <c r="H589" s="68">
        <f t="shared" ca="1" si="16"/>
        <v>403554717.02672279</v>
      </c>
      <c r="I589" s="69">
        <f t="shared" ca="1" si="17"/>
        <v>378.57450312910709</v>
      </c>
    </row>
    <row r="590" spans="1:9" ht="16.05" customHeight="1" x14ac:dyDescent="0.3">
      <c r="A590" s="70">
        <v>574</v>
      </c>
      <c r="B590" s="71">
        <f ca="1">(C7)+(E7-C7)*IF(RAND()&lt;((D7)-(C7))/((E7)-(C7)),SQRT(RAND()*((D7)-(C7))/((E7)-(C7))),1-SQRT(RAND()*((E7)-(D7))/((E7)-(C7))))</f>
        <v>0.24803341045313224</v>
      </c>
      <c r="C590" s="71">
        <f ca="1">(C8)+(E8-C8)*IF(RAND()&lt;((D8)-(C8))/((E8)-(C8)),SQRT(RAND()*((D8)-(C8))/((E8)-(C8))),1-SQRT(RAND()*((E8)-(D8))/((E8)-(C8))))</f>
        <v>0.87512651860791979</v>
      </c>
      <c r="D590" s="72">
        <f ca="1">(C9)+(E9-C9)*IF(RAND()&lt;((D9)-(C9))/((E9)-(C9)),SQRT(RAND()*((D9)-(C9))/((E9)-(C9))),1-SQRT(RAND()*((E9)-(D9))/((E9)-(C9))))</f>
        <v>1387013.7670187335</v>
      </c>
      <c r="E590" s="72">
        <f ca="1">(C10)+(E10-C10)*IF(RAND()&lt;((D10)-(C10))/((E10)-(C10)),SQRT(RAND()*((D10)-(C10))/((E10)-(C10))),1-SQRT(RAND()*((E10)-(D10))/((E10)-(C10))))</f>
        <v>4371482.2242434807</v>
      </c>
      <c r="F590" s="71">
        <f ca="1">(C11)+(E11-C11)*IF(RAND()&lt;((D11)-(C11))/((E11)-(C11)),SQRT(RAND()*((D11)-(C11))/((E11)-(C11))),1-SQRT(RAND()*((E11)-(D11))/((E11)-(C11))))</f>
        <v>7.7110588994139355E-3</v>
      </c>
      <c r="G590" s="71">
        <f ca="1">(C12)+(E12-C12)*IF(RAND()&lt;((D12)-(C12))/((E12)-(C12)),SQRT(RAND()*((D12)-(C12))/((E12)-(C12))),1-SQRT(RAND()*((E12)-(D12))/((E12)-(C12))))</f>
        <v>0.21343251437909136</v>
      </c>
      <c r="H590" s="72">
        <f t="shared" ca="1" si="16"/>
        <v>273849770.91772997</v>
      </c>
      <c r="I590" s="73">
        <f t="shared" ca="1" si="17"/>
        <v>261.73774243764143</v>
      </c>
    </row>
    <row r="591" spans="1:9" ht="16.05" customHeight="1" x14ac:dyDescent="0.3">
      <c r="A591" s="66">
        <v>575</v>
      </c>
      <c r="B591" s="67">
        <f ca="1">(C7)+(E7-C7)*IF(RAND()&lt;((D7)-(C7))/((E7)-(C7)),SQRT(RAND()*((D7)-(C7))/((E7)-(C7))),1-SQRT(RAND()*((E7)-(D7))/((E7)-(C7))))</f>
        <v>0.27736521652233503</v>
      </c>
      <c r="C591" s="67">
        <f ca="1">(C8)+(E8-C8)*IF(RAND()&lt;((D8)-(C8))/((E8)-(C8)),SQRT(RAND()*((D8)-(C8))/((E8)-(C8))),1-SQRT(RAND()*((E8)-(D8))/((E8)-(C8))))</f>
        <v>0.61290192598948812</v>
      </c>
      <c r="D591" s="68">
        <f ca="1">(C9)+(E9-C9)*IF(RAND()&lt;((D9)-(C9))/((E9)-(C9)),SQRT(RAND()*((D9)-(C9))/((E9)-(C9))),1-SQRT(RAND()*((E9)-(D9))/((E9)-(C9))))</f>
        <v>1260271.1385798391</v>
      </c>
      <c r="E591" s="68">
        <f ca="1">(C10)+(E10-C10)*IF(RAND()&lt;((D10)-(C10))/((E10)-(C10)),SQRT(RAND()*((D10)-(C10))/((E10)-(C10))),1-SQRT(RAND()*((E10)-(D10))/((E10)-(C10))))</f>
        <v>4839950.426368271</v>
      </c>
      <c r="F591" s="67">
        <f ca="1">(C11)+(E11-C11)*IF(RAND()&lt;((D11)-(C11))/((E11)-(C11)),SQRT(RAND()*((D11)-(C11))/((E11)-(C11))),1-SQRT(RAND()*((E11)-(D11))/((E11)-(C11))))</f>
        <v>8.2234856218972724E-3</v>
      </c>
      <c r="G591" s="67">
        <f ca="1">(C12)+(E12-C12)*IF(RAND()&lt;((D12)-(C12))/((E12)-(C12)),SQRT(RAND()*((D12)-(C12))/((E12)-(C12))),1-SQRT(RAND()*((E12)-(D12))/((E12)-(C12))))</f>
        <v>0.16576814125718975</v>
      </c>
      <c r="H591" s="68">
        <f t="shared" ca="1" si="16"/>
        <v>224696773.10815677</v>
      </c>
      <c r="I591" s="69">
        <f t="shared" ca="1" si="17"/>
        <v>236.48442472183041</v>
      </c>
    </row>
    <row r="592" spans="1:9" ht="16.05" customHeight="1" x14ac:dyDescent="0.3">
      <c r="A592" s="70">
        <v>576</v>
      </c>
      <c r="B592" s="71">
        <f ca="1">(C7)+(E7-C7)*IF(RAND()&lt;((D7)-(C7))/((E7)-(C7)),SQRT(RAND()*((D7)-(C7))/((E7)-(C7))),1-SQRT(RAND()*((E7)-(D7))/((E7)-(C7))))</f>
        <v>0.24412347451234651</v>
      </c>
      <c r="C592" s="71">
        <f ca="1">(C8)+(E8-C8)*IF(RAND()&lt;((D8)-(C8))/((E8)-(C8)),SQRT(RAND()*((D8)-(C8))/((E8)-(C8))),1-SQRT(RAND()*((E8)-(D8))/((E8)-(C8))))</f>
        <v>0.60696083264906531</v>
      </c>
      <c r="D592" s="72">
        <f ca="1">(C9)+(E9-C9)*IF(RAND()&lt;((D9)-(C9))/((E9)-(C9)),SQRT(RAND()*((D9)-(C9))/((E9)-(C9))),1-SQRT(RAND()*((E9)-(D9))/((E9)-(C9))))</f>
        <v>1376369.710703946</v>
      </c>
      <c r="E592" s="72">
        <f ca="1">(C10)+(E10-C10)*IF(RAND()&lt;((D10)-(C10))/((E10)-(C10)),SQRT(RAND()*((D10)-(C10))/((E10)-(C10))),1-SQRT(RAND()*((E10)-(D10))/((E10)-(C10))))</f>
        <v>3495279.265422123</v>
      </c>
      <c r="F592" s="71">
        <f ca="1">(C11)+(E11-C11)*IF(RAND()&lt;((D11)-(C11))/((E11)-(C11)),SQRT(RAND()*((D11)-(C11))/((E11)-(C11))),1-SQRT(RAND()*((E11)-(D11))/((E11)-(C11))))</f>
        <v>1.4024561347409805E-2</v>
      </c>
      <c r="G592" s="71">
        <f ca="1">(C12)+(E12-C12)*IF(RAND()&lt;((D12)-(C12))/((E12)-(C12)),SQRT(RAND()*((D12)-(C12))/((E12)-(C12))),1-SQRT(RAND()*((E12)-(D12))/((E12)-(C12))))</f>
        <v>0.1588562771291569</v>
      </c>
      <c r="H592" s="72">
        <f t="shared" ca="1" si="16"/>
        <v>247804356.02670798</v>
      </c>
      <c r="I592" s="73">
        <f t="shared" ca="1" si="17"/>
        <v>238.79211813850603</v>
      </c>
    </row>
    <row r="593" spans="1:9" ht="16.05" customHeight="1" x14ac:dyDescent="0.3">
      <c r="A593" s="66">
        <v>577</v>
      </c>
      <c r="B593" s="67">
        <f ca="1">(C7)+(E7-C7)*IF(RAND()&lt;((D7)-(C7))/((E7)-(C7)),SQRT(RAND()*((D7)-(C7))/((E7)-(C7))),1-SQRT(RAND()*((E7)-(D7))/((E7)-(C7))))</f>
        <v>0.24161269276653713</v>
      </c>
      <c r="C593" s="67">
        <f ca="1">(C8)+(E8-C8)*IF(RAND()&lt;((D8)-(C8))/((E8)-(C8)),SQRT(RAND()*((D8)-(C8))/((E8)-(C8))),1-SQRT(RAND()*((E8)-(D8))/((E8)-(C8))))</f>
        <v>0.68052356109274559</v>
      </c>
      <c r="D593" s="68">
        <f ca="1">(C9)+(E9-C9)*IF(RAND()&lt;((D9)-(C9))/((E9)-(C9)),SQRT(RAND()*((D9)-(C9))/((E9)-(C9))),1-SQRT(RAND()*((E9)-(D9))/((E9)-(C9))))</f>
        <v>1348681.5370778509</v>
      </c>
      <c r="E593" s="68">
        <f ca="1">(C10)+(E10-C10)*IF(RAND()&lt;((D10)-(C10))/((E10)-(C10)),SQRT(RAND()*((D10)-(C10))/((E10)-(C10))),1-SQRT(RAND()*((E10)-(D10))/((E10)-(C10))))</f>
        <v>3297328.6656393111</v>
      </c>
      <c r="F593" s="67">
        <f ca="1">(C11)+(E11-C11)*IF(RAND()&lt;((D11)-(C11))/((E11)-(C11)),SQRT(RAND()*((D11)-(C11))/((E11)-(C11))),1-SQRT(RAND()*((E11)-(D11))/((E11)-(C11))))</f>
        <v>1.6774189995058655E-2</v>
      </c>
      <c r="G593" s="67">
        <f ca="1">(C12)+(E12-C12)*IF(RAND()&lt;((D12)-(C12))/((E12)-(C12)),SQRT(RAND()*((D12)-(C12))/((E12)-(C12))),1-SQRT(RAND()*((E12)-(D12))/((E12)-(C12))))</f>
        <v>0.13795959869351207</v>
      </c>
      <c r="H593" s="68">
        <f t="shared" ref="H593:H656" ca="1" si="18">-D593+($L$1*B593*C593+$M$1*F593-E593)*(1-(1+$N$1)^-5)/$N$1</f>
        <v>286107313.84005195</v>
      </c>
      <c r="I593" s="69">
        <f t="shared" ref="I593:I656" ca="1" si="19">($L$1*B593*C593+$M$1*F593-E593)*5/D593</f>
        <v>281.12703160499916</v>
      </c>
    </row>
    <row r="594" spans="1:9" ht="16.05" customHeight="1" x14ac:dyDescent="0.3">
      <c r="A594" s="70">
        <v>578</v>
      </c>
      <c r="B594" s="71">
        <f ca="1">(C7)+(E7-C7)*IF(RAND()&lt;((D7)-(C7))/((E7)-(C7)),SQRT(RAND()*((D7)-(C7))/((E7)-(C7))),1-SQRT(RAND()*((E7)-(D7))/((E7)-(C7))))</f>
        <v>0.25058789799722314</v>
      </c>
      <c r="C594" s="71">
        <f ca="1">(C8)+(E8-C8)*IF(RAND()&lt;((D8)-(C8))/((E8)-(C8)),SQRT(RAND()*((D8)-(C8))/((E8)-(C8))),1-SQRT(RAND()*((E8)-(D8))/((E8)-(C8))))</f>
        <v>0.76116411464379907</v>
      </c>
      <c r="D594" s="72">
        <f ca="1">(C9)+(E9-C9)*IF(RAND()&lt;((D9)-(C9))/((E9)-(C9)),SQRT(RAND()*((D9)-(C9))/((E9)-(C9))),1-SQRT(RAND()*((E9)-(D9))/((E9)-(C9))))</f>
        <v>1294140.6714440754</v>
      </c>
      <c r="E594" s="72">
        <f ca="1">(C10)+(E10-C10)*IF(RAND()&lt;((D10)-(C10))/((E10)-(C10)),SQRT(RAND()*((D10)-(C10))/((E10)-(C10))),1-SQRT(RAND()*((E10)-(D10))/((E10)-(C10))))</f>
        <v>4843162.7745990325</v>
      </c>
      <c r="F594" s="71">
        <f ca="1">(C11)+(E11-C11)*IF(RAND()&lt;((D11)-(C11))/((E11)-(C11)),SQRT(RAND()*((D11)-(C11))/((E11)-(C11))),1-SQRT(RAND()*((E11)-(D11))/((E11)-(C11))))</f>
        <v>1.2216956564510297E-2</v>
      </c>
      <c r="G594" s="71">
        <f ca="1">(C12)+(E12-C12)*IF(RAND()&lt;((D12)-(C12))/((E12)-(C12)),SQRT(RAND()*((D12)-(C12))/((E12)-(C12))),1-SQRT(RAND()*((E12)-(D12))/((E12)-(C12))))</f>
        <v>0.12989901467770942</v>
      </c>
      <c r="H594" s="72">
        <f t="shared" ca="1" si="18"/>
        <v>276039351.13415474</v>
      </c>
      <c r="I594" s="73">
        <f t="shared" ca="1" si="19"/>
        <v>282.6581301887806</v>
      </c>
    </row>
    <row r="595" spans="1:9" ht="16.05" customHeight="1" x14ac:dyDescent="0.3">
      <c r="A595" s="66">
        <v>579</v>
      </c>
      <c r="B595" s="67">
        <f ca="1">(C7)+(E7-C7)*IF(RAND()&lt;((D7)-(C7))/((E7)-(C7)),SQRT(RAND()*((D7)-(C7))/((E7)-(C7))),1-SQRT(RAND()*((E7)-(D7))/((E7)-(C7))))</f>
        <v>0.23879217870339936</v>
      </c>
      <c r="C595" s="67">
        <f ca="1">(C8)+(E8-C8)*IF(RAND()&lt;((D8)-(C8))/((E8)-(C8)),SQRT(RAND()*((D8)-(C8))/((E8)-(C8))),1-SQRT(RAND()*((E8)-(D8))/((E8)-(C8))))</f>
        <v>0.63124394952536733</v>
      </c>
      <c r="D595" s="68">
        <f ca="1">(C9)+(E9-C9)*IF(RAND()&lt;((D9)-(C9))/((E9)-(C9)),SQRT(RAND()*((D9)-(C9))/((E9)-(C9))),1-SQRT(RAND()*((E9)-(D9))/((E9)-(C9))))</f>
        <v>1102975.4647616623</v>
      </c>
      <c r="E595" s="68">
        <f ca="1">(C10)+(E10-C10)*IF(RAND()&lt;((D10)-(C10))/((E10)-(C10)),SQRT(RAND()*((D10)-(C10))/((E10)-(C10))),1-SQRT(RAND()*((E10)-(D10))/((E10)-(C10))))</f>
        <v>4188574.5815263661</v>
      </c>
      <c r="F595" s="67">
        <f ca="1">(C11)+(E11-C11)*IF(RAND()&lt;((D11)-(C11))/((E11)-(C11)),SQRT(RAND()*((D11)-(C11))/((E11)-(C11))),1-SQRT(RAND()*((E11)-(D11))/((E11)-(C11))))</f>
        <v>1.6828736409608965E-2</v>
      </c>
      <c r="G595" s="67">
        <f ca="1">(C12)+(E12-C12)*IF(RAND()&lt;((D12)-(C12))/((E12)-(C12)),SQRT(RAND()*((D12)-(C12))/((E12)-(C12))),1-SQRT(RAND()*((E12)-(D12))/((E12)-(C12))))</f>
        <v>0.15511223447878364</v>
      </c>
      <c r="H595" s="68">
        <f t="shared" ca="1" si="18"/>
        <v>268477329.82953173</v>
      </c>
      <c r="I595" s="69">
        <f t="shared" ca="1" si="19"/>
        <v>322.3761891379869</v>
      </c>
    </row>
    <row r="596" spans="1:9" ht="16.05" customHeight="1" x14ac:dyDescent="0.3">
      <c r="A596" s="70">
        <v>580</v>
      </c>
      <c r="B596" s="71">
        <f ca="1">(C7)+(E7-C7)*IF(RAND()&lt;((D7)-(C7))/((E7)-(C7)),SQRT(RAND()*((D7)-(C7))/((E7)-(C7))),1-SQRT(RAND()*((E7)-(D7))/((E7)-(C7))))</f>
        <v>0.25735792165937371</v>
      </c>
      <c r="C596" s="71">
        <f ca="1">(C8)+(E8-C8)*IF(RAND()&lt;((D8)-(C8))/((E8)-(C8)),SQRT(RAND()*((D8)-(C8))/((E8)-(C8))),1-SQRT(RAND()*((E8)-(D8))/((E8)-(C8))))</f>
        <v>0.56916475808899092</v>
      </c>
      <c r="D596" s="72">
        <f ca="1">(C9)+(E9-C9)*IF(RAND()&lt;((D9)-(C9))/((E9)-(C9)),SQRT(RAND()*((D9)-(C9))/((E9)-(C9))),1-SQRT(RAND()*((E9)-(D9))/((E9)-(C9))))</f>
        <v>1234407.1203173781</v>
      </c>
      <c r="E596" s="72">
        <f ca="1">(C10)+(E10-C10)*IF(RAND()&lt;((D10)-(C10))/((E10)-(C10)),SQRT(RAND()*((D10)-(C10))/((E10)-(C10))),1-SQRT(RAND()*((E10)-(D10))/((E10)-(C10))))</f>
        <v>3121745.9065964757</v>
      </c>
      <c r="F596" s="71">
        <f ca="1">(C11)+(E11-C11)*IF(RAND()&lt;((D11)-(C11))/((E11)-(C11)),SQRT(RAND()*((D11)-(C11))/((E11)-(C11))),1-SQRT(RAND()*((E11)-(D11))/((E11)-(C11))))</f>
        <v>2.0461277666330348E-2</v>
      </c>
      <c r="G596" s="71">
        <f ca="1">(C12)+(E12-C12)*IF(RAND()&lt;((D12)-(C12))/((E12)-(C12)),SQRT(RAND()*((D12)-(C12))/((E12)-(C12))),1-SQRT(RAND()*((E12)-(D12))/((E12)-(C12))))</f>
        <v>0.11948292754814024</v>
      </c>
      <c r="H596" s="72">
        <f t="shared" ca="1" si="18"/>
        <v>293976966.89521712</v>
      </c>
      <c r="I596" s="73">
        <f t="shared" ca="1" si="19"/>
        <v>315.43894832375327</v>
      </c>
    </row>
    <row r="597" spans="1:9" ht="16.05" customHeight="1" x14ac:dyDescent="0.3">
      <c r="A597" s="66">
        <v>581</v>
      </c>
      <c r="B597" s="67">
        <f ca="1">(C7)+(E7-C7)*IF(RAND()&lt;((D7)-(C7))/((E7)-(C7)),SQRT(RAND()*((D7)-(C7))/((E7)-(C7))),1-SQRT(RAND()*((E7)-(D7))/((E7)-(C7))))</f>
        <v>0.23504132926709012</v>
      </c>
      <c r="C597" s="67">
        <f ca="1">(C8)+(E8-C8)*IF(RAND()&lt;((D8)-(C8))/((E8)-(C8)),SQRT(RAND()*((D8)-(C8))/((E8)-(C8))),1-SQRT(RAND()*((E8)-(D8))/((E8)-(C8))))</f>
        <v>0.63223564797637222</v>
      </c>
      <c r="D597" s="68">
        <f ca="1">(C9)+(E9-C9)*IF(RAND()&lt;((D9)-(C9))/((E9)-(C9)),SQRT(RAND()*((D9)-(C9))/((E9)-(C9))),1-SQRT(RAND()*((E9)-(D9))/((E9)-(C9))))</f>
        <v>1267916.8486372721</v>
      </c>
      <c r="E597" s="68">
        <f ca="1">(C10)+(E10-C10)*IF(RAND()&lt;((D10)-(C10))/((E10)-(C10)),SQRT(RAND()*((D10)-(C10))/((E10)-(C10))),1-SQRT(RAND()*((E10)-(D10))/((E10)-(C10))))</f>
        <v>3503731.8712641746</v>
      </c>
      <c r="F597" s="67">
        <f ca="1">(C11)+(E11-C11)*IF(RAND()&lt;((D11)-(C11))/((E11)-(C11)),SQRT(RAND()*((D11)-(C11))/((E11)-(C11))),1-SQRT(RAND()*((E11)-(D11))/((E11)-(C11))))</f>
        <v>1.6220014558095713E-2</v>
      </c>
      <c r="G597" s="67">
        <f ca="1">(C12)+(E12-C12)*IF(RAND()&lt;((D12)-(C12))/((E12)-(C12)),SQRT(RAND()*((D12)-(C12))/((E12)-(C12))),1-SQRT(RAND()*((E12)-(D12))/((E12)-(C12))))</f>
        <v>0.11800902086102465</v>
      </c>
      <c r="H597" s="68">
        <f t="shared" ca="1" si="18"/>
        <v>264192572.67940259</v>
      </c>
      <c r="I597" s="69">
        <f t="shared" ca="1" si="19"/>
        <v>276.15300034580747</v>
      </c>
    </row>
    <row r="598" spans="1:9" ht="16.05" customHeight="1" x14ac:dyDescent="0.3">
      <c r="A598" s="70">
        <v>582</v>
      </c>
      <c r="B598" s="71">
        <f ca="1">(C7)+(E7-C7)*IF(RAND()&lt;((D7)-(C7))/((E7)-(C7)),SQRT(RAND()*((D7)-(C7))/((E7)-(C7))),1-SQRT(RAND()*((E7)-(D7))/((E7)-(C7))))</f>
        <v>0.22444436326109976</v>
      </c>
      <c r="C598" s="71">
        <f ca="1">(C8)+(E8-C8)*IF(RAND()&lt;((D8)-(C8))/((E8)-(C8)),SQRT(RAND()*((D8)-(C8))/((E8)-(C8))),1-SQRT(RAND()*((E8)-(D8))/((E8)-(C8))))</f>
        <v>0.5988768004801106</v>
      </c>
      <c r="D598" s="72">
        <f ca="1">(C9)+(E9-C9)*IF(RAND()&lt;((D9)-(C9))/((E9)-(C9)),SQRT(RAND()*((D9)-(C9))/((E9)-(C9))),1-SQRT(RAND()*((E9)-(D9))/((E9)-(C9))))</f>
        <v>1282791.3019838063</v>
      </c>
      <c r="E598" s="72">
        <f ca="1">(C10)+(E10-C10)*IF(RAND()&lt;((D10)-(C10))/((E10)-(C10)),SQRT(RAND()*((D10)-(C10))/((E10)-(C10))),1-SQRT(RAND()*((E10)-(D10))/((E10)-(C10))))</f>
        <v>4105993.7668721764</v>
      </c>
      <c r="F598" s="71">
        <f ca="1">(C11)+(E11-C11)*IF(RAND()&lt;((D11)-(C11))/((E11)-(C11)),SQRT(RAND()*((D11)-(C11))/((E11)-(C11))),1-SQRT(RAND()*((E11)-(D11))/((E11)-(C11))))</f>
        <v>1.268748621391109E-2</v>
      </c>
      <c r="G598" s="71">
        <f ca="1">(C12)+(E12-C12)*IF(RAND()&lt;((D12)-(C12))/((E12)-(C12)),SQRT(RAND()*((D12)-(C12))/((E12)-(C12))),1-SQRT(RAND()*((E12)-(D12))/((E12)-(C12))))</f>
        <v>0.13568083971001482</v>
      </c>
      <c r="H598" s="72">
        <f t="shared" ca="1" si="18"/>
        <v>220963257.69910464</v>
      </c>
      <c r="I598" s="73">
        <f t="shared" ca="1" si="19"/>
        <v>228.51709296908194</v>
      </c>
    </row>
    <row r="599" spans="1:9" ht="16.05" customHeight="1" x14ac:dyDescent="0.3">
      <c r="A599" s="66">
        <v>583</v>
      </c>
      <c r="B599" s="67">
        <f ca="1">(C7)+(E7-C7)*IF(RAND()&lt;((D7)-(C7))/((E7)-(C7)),SQRT(RAND()*((D7)-(C7))/((E7)-(C7))),1-SQRT(RAND()*((E7)-(D7))/((E7)-(C7))))</f>
        <v>0.21395086226393364</v>
      </c>
      <c r="C599" s="67">
        <f ca="1">(C8)+(E8-C8)*IF(RAND()&lt;((D8)-(C8))/((E8)-(C8)),SQRT(RAND()*((D8)-(C8))/((E8)-(C8))),1-SQRT(RAND()*((E8)-(D8))/((E8)-(C8))))</f>
        <v>0.68838870813444042</v>
      </c>
      <c r="D599" s="68">
        <f ca="1">(C9)+(E9-C9)*IF(RAND()&lt;((D9)-(C9))/((E9)-(C9)),SQRT(RAND()*((D9)-(C9))/((E9)-(C9))),1-SQRT(RAND()*((E9)-(D9))/((E9)-(C9))))</f>
        <v>1081174.6360648589</v>
      </c>
      <c r="E599" s="68">
        <f ca="1">(C10)+(E10-C10)*IF(RAND()&lt;((D10)-(C10))/((E10)-(C10)),SQRT(RAND()*((D10)-(C10))/((E10)-(C10))),1-SQRT(RAND()*((E10)-(D10))/((E10)-(C10))))</f>
        <v>4557639.3519991571</v>
      </c>
      <c r="F599" s="67">
        <f ca="1">(C11)+(E11-C11)*IF(RAND()&lt;((D11)-(C11))/((E11)-(C11)),SQRT(RAND()*((D11)-(C11))/((E11)-(C11))),1-SQRT(RAND()*((E11)-(D11))/((E11)-(C11))))</f>
        <v>1.3018003241517516E-2</v>
      </c>
      <c r="G599" s="67">
        <f ca="1">(C12)+(E12-C12)*IF(RAND()&lt;((D12)-(C12))/((E12)-(C12)),SQRT(RAND()*((D12)-(C12))/((E12)-(C12))),1-SQRT(RAND()*((E12)-(D12))/((E12)-(C12))))</f>
        <v>0.16754140669965317</v>
      </c>
      <c r="H599" s="68">
        <f t="shared" ca="1" si="18"/>
        <v>235836889.49851602</v>
      </c>
      <c r="I599" s="69">
        <f t="shared" ca="1" si="19"/>
        <v>289.03003450462506</v>
      </c>
    </row>
    <row r="600" spans="1:9" ht="16.05" customHeight="1" x14ac:dyDescent="0.3">
      <c r="A600" s="70">
        <v>584</v>
      </c>
      <c r="B600" s="71">
        <f ca="1">(C7)+(E7-C7)*IF(RAND()&lt;((D7)-(C7))/((E7)-(C7)),SQRT(RAND()*((D7)-(C7))/((E7)-(C7))),1-SQRT(RAND()*((E7)-(D7))/((E7)-(C7))))</f>
        <v>0.24777940145969374</v>
      </c>
      <c r="C600" s="71">
        <f ca="1">(C8)+(E8-C8)*IF(RAND()&lt;((D8)-(C8))/((E8)-(C8)),SQRT(RAND()*((D8)-(C8))/((E8)-(C8))),1-SQRT(RAND()*((E8)-(D8))/((E8)-(C8))))</f>
        <v>0.71887416515808367</v>
      </c>
      <c r="D600" s="72">
        <f ca="1">(C9)+(E9-C9)*IF(RAND()&lt;((D9)-(C9))/((E9)-(C9)),SQRT(RAND()*((D9)-(C9))/((E9)-(C9))),1-SQRT(RAND()*((E9)-(D9))/((E9)-(C9))))</f>
        <v>1351152.7796301346</v>
      </c>
      <c r="E600" s="72">
        <f ca="1">(C10)+(E10-C10)*IF(RAND()&lt;((D10)-(C10))/((E10)-(C10)),SQRT(RAND()*((D10)-(C10))/((E10)-(C10))),1-SQRT(RAND()*((E10)-(D10))/((E10)-(C10))))</f>
        <v>3088883.7393784029</v>
      </c>
      <c r="F600" s="71">
        <f ca="1">(C11)+(E11-C11)*IF(RAND()&lt;((D11)-(C11))/((E11)-(C11)),SQRT(RAND()*((D11)-(C11))/((E11)-(C11))),1-SQRT(RAND()*((E11)-(D11))/((E11)-(C11))))</f>
        <v>1.1315762844858614E-2</v>
      </c>
      <c r="G600" s="71">
        <f ca="1">(C12)+(E12-C12)*IF(RAND()&lt;((D12)-(C12))/((E12)-(C12)),SQRT(RAND()*((D12)-(C12))/((E12)-(C12))),1-SQRT(RAND()*((E12)-(D12))/((E12)-(C12))))</f>
        <v>0.15802827867691971</v>
      </c>
      <c r="H600" s="72">
        <f t="shared" ca="1" si="18"/>
        <v>262401946.31421942</v>
      </c>
      <c r="I600" s="73">
        <f t="shared" ca="1" si="19"/>
        <v>257.47422549732113</v>
      </c>
    </row>
    <row r="601" spans="1:9" ht="16.05" customHeight="1" x14ac:dyDescent="0.3">
      <c r="A601" s="66">
        <v>585</v>
      </c>
      <c r="B601" s="67">
        <f ca="1">(C7)+(E7-C7)*IF(RAND()&lt;((D7)-(C7))/((E7)-(C7)),SQRT(RAND()*((D7)-(C7))/((E7)-(C7))),1-SQRT(RAND()*((E7)-(D7))/((E7)-(C7))))</f>
        <v>0.2775759650967603</v>
      </c>
      <c r="C601" s="67">
        <f ca="1">(C8)+(E8-C8)*IF(RAND()&lt;((D8)-(C8))/((E8)-(C8)),SQRT(RAND()*((D8)-(C8))/((E8)-(C8))),1-SQRT(RAND()*((E8)-(D8))/((E8)-(C8))))</f>
        <v>0.71718721528757157</v>
      </c>
      <c r="D601" s="68">
        <f ca="1">(C9)+(E9-C9)*IF(RAND()&lt;((D9)-(C9))/((E9)-(C9)),SQRT(RAND()*((D9)-(C9))/((E9)-(C9))),1-SQRT(RAND()*((E9)-(D9))/((E9)-(C9))))</f>
        <v>1345021.534841622</v>
      </c>
      <c r="E601" s="68">
        <f ca="1">(C10)+(E10-C10)*IF(RAND()&lt;((D10)-(C10))/((E10)-(C10)),SQRT(RAND()*((D10)-(C10))/((E10)-(C10))),1-SQRT(RAND()*((E10)-(D10))/((E10)-(C10))))</f>
        <v>4305246.4982446581</v>
      </c>
      <c r="F601" s="67">
        <f ca="1">(C11)+(E11-C11)*IF(RAND()&lt;((D11)-(C11))/((E11)-(C11)),SQRT(RAND()*((D11)-(C11))/((E11)-(C11))),1-SQRT(RAND()*((E11)-(D11))/((E11)-(C11))))</f>
        <v>1.6905875378259813E-2</v>
      </c>
      <c r="G601" s="67">
        <f ca="1">(C12)+(E12-C12)*IF(RAND()&lt;((D12)-(C12))/((E12)-(C12)),SQRT(RAND()*((D12)-(C12))/((E12)-(C12))),1-SQRT(RAND()*((E12)-(D12))/((E12)-(C12))))</f>
        <v>0.19677756261076546</v>
      </c>
      <c r="H601" s="68">
        <f t="shared" ca="1" si="18"/>
        <v>320939174.89750999</v>
      </c>
      <c r="I601" s="69">
        <f t="shared" ca="1" si="19"/>
        <v>316.04608891568455</v>
      </c>
    </row>
    <row r="602" spans="1:9" ht="16.05" customHeight="1" x14ac:dyDescent="0.3">
      <c r="A602" s="70">
        <v>586</v>
      </c>
      <c r="B602" s="71">
        <f ca="1">(C7)+(E7-C7)*IF(RAND()&lt;((D7)-(C7))/((E7)-(C7)),SQRT(RAND()*((D7)-(C7))/((E7)-(C7))),1-SQRT(RAND()*((E7)-(D7))/((E7)-(C7))))</f>
        <v>0.28796837275312698</v>
      </c>
      <c r="C602" s="71">
        <f ca="1">(C8)+(E8-C8)*IF(RAND()&lt;((D8)-(C8))/((E8)-(C8)),SQRT(RAND()*((D8)-(C8))/((E8)-(C8))),1-SQRT(RAND()*((E8)-(D8))/((E8)-(C8))))</f>
        <v>0.56983353615907439</v>
      </c>
      <c r="D602" s="72">
        <f ca="1">(C9)+(E9-C9)*IF(RAND()&lt;((D9)-(C9))/((E9)-(C9)),SQRT(RAND()*((D9)-(C9))/((E9)-(C9))),1-SQRT(RAND()*((E9)-(D9))/((E9)-(C9))))</f>
        <v>1338680.2129982731</v>
      </c>
      <c r="E602" s="72">
        <f ca="1">(C10)+(E10-C10)*IF(RAND()&lt;((D10)-(C10))/((E10)-(C10)),SQRT(RAND()*((D10)-(C10))/((E10)-(C10))),1-SQRT(RAND()*((E10)-(D10))/((E10)-(C10))))</f>
        <v>3547204.8528924054</v>
      </c>
      <c r="F602" s="71">
        <f ca="1">(C11)+(E11-C11)*IF(RAND()&lt;((D11)-(C11))/((E11)-(C11)),SQRT(RAND()*((D11)-(C11))/((E11)-(C11))),1-SQRT(RAND()*((E11)-(D11))/((E11)-(C11))))</f>
        <v>1.5164037803911132E-2</v>
      </c>
      <c r="G602" s="71">
        <f ca="1">(C12)+(E12-C12)*IF(RAND()&lt;((D12)-(C12))/((E12)-(C12)),SQRT(RAND()*((D12)-(C12))/((E12)-(C12))),1-SQRT(RAND()*((E12)-(D12))/((E12)-(C12))))</f>
        <v>0.16239329280383277</v>
      </c>
      <c r="H602" s="72">
        <f t="shared" ca="1" si="18"/>
        <v>273190520.30103892</v>
      </c>
      <c r="I602" s="73">
        <f t="shared" ca="1" si="19"/>
        <v>270.4907071794147</v>
      </c>
    </row>
    <row r="603" spans="1:9" ht="16.05" customHeight="1" x14ac:dyDescent="0.3">
      <c r="A603" s="66">
        <v>587</v>
      </c>
      <c r="B603" s="67">
        <f ca="1">(C7)+(E7-C7)*IF(RAND()&lt;((D7)-(C7))/((E7)-(C7)),SQRT(RAND()*((D7)-(C7))/((E7)-(C7))),1-SQRT(RAND()*((E7)-(D7))/((E7)-(C7))))</f>
        <v>0.31713128477046598</v>
      </c>
      <c r="C603" s="67">
        <f ca="1">(C8)+(E8-C8)*IF(RAND()&lt;((D8)-(C8))/((E8)-(C8)),SQRT(RAND()*((D8)-(C8))/((E8)-(C8))),1-SQRT(RAND()*((E8)-(D8))/((E8)-(C8))))</f>
        <v>0.64242606369487343</v>
      </c>
      <c r="D603" s="68">
        <f ca="1">(C9)+(E9-C9)*IF(RAND()&lt;((D9)-(C9))/((E9)-(C9)),SQRT(RAND()*((D9)-(C9))/((E9)-(C9))),1-SQRT(RAND()*((E9)-(D9))/((E9)-(C9))))</f>
        <v>1300746.2725479698</v>
      </c>
      <c r="E603" s="68">
        <f ca="1">(C10)+(E10-C10)*IF(RAND()&lt;((D10)-(C10))/((E10)-(C10)),SQRT(RAND()*((D10)-(C10))/((E10)-(C10))),1-SQRT(RAND()*((E10)-(D10))/((E10)-(C10))))</f>
        <v>4280123.2218423923</v>
      </c>
      <c r="F603" s="67">
        <f ca="1">(C11)+(E11-C11)*IF(RAND()&lt;((D11)-(C11))/((E11)-(C11)),SQRT(RAND()*((D11)-(C11))/((E11)-(C11))),1-SQRT(RAND()*((E11)-(D11))/((E11)-(C11))))</f>
        <v>6.156056126672348E-3</v>
      </c>
      <c r="G603" s="67">
        <f ca="1">(C12)+(E12-C12)*IF(RAND()&lt;((D12)-(C12))/((E12)-(C12)),SQRT(RAND()*((D12)-(C12))/((E12)-(C12))),1-SQRT(RAND()*((E12)-(D12))/((E12)-(C12))))</f>
        <v>0.14564021151621465</v>
      </c>
      <c r="H603" s="68">
        <f t="shared" ca="1" si="18"/>
        <v>248559465.02021509</v>
      </c>
      <c r="I603" s="69">
        <f t="shared" ca="1" si="19"/>
        <v>253.36414826221568</v>
      </c>
    </row>
    <row r="604" spans="1:9" ht="16.05" customHeight="1" x14ac:dyDescent="0.3">
      <c r="A604" s="70">
        <v>588</v>
      </c>
      <c r="B604" s="71">
        <f ca="1">(C7)+(E7-C7)*IF(RAND()&lt;((D7)-(C7))/((E7)-(C7)),SQRT(RAND()*((D7)-(C7))/((E7)-(C7))),1-SQRT(RAND()*((E7)-(D7))/((E7)-(C7))))</f>
        <v>0.26517069280470151</v>
      </c>
      <c r="C604" s="71">
        <f ca="1">(C8)+(E8-C8)*IF(RAND()&lt;((D8)-(C8))/((E8)-(C8)),SQRT(RAND()*((D8)-(C8))/((E8)-(C8))),1-SQRT(RAND()*((E8)-(D8))/((E8)-(C8))))</f>
        <v>0.75031738675885862</v>
      </c>
      <c r="D604" s="72">
        <f ca="1">(C9)+(E9-C9)*IF(RAND()&lt;((D9)-(C9))/((E9)-(C9)),SQRT(RAND()*((D9)-(C9))/((E9)-(C9))),1-SQRT(RAND()*((E9)-(D9))/((E9)-(C9))))</f>
        <v>1330384.9412277695</v>
      </c>
      <c r="E604" s="72">
        <f ca="1">(C10)+(E10-C10)*IF(RAND()&lt;((D10)-(C10))/((E10)-(C10)),SQRT(RAND()*((D10)-(C10))/((E10)-(C10))),1-SQRT(RAND()*((E10)-(D10))/((E10)-(C10))))</f>
        <v>3856336.4546459634</v>
      </c>
      <c r="F604" s="71">
        <f ca="1">(C11)+(E11-C11)*IF(RAND()&lt;((D11)-(C11))/((E11)-(C11)),SQRT(RAND()*((D11)-(C11))/((E11)-(C11))),1-SQRT(RAND()*((E11)-(D11))/((E11)-(C11))))</f>
        <v>8.9379717908201223E-3</v>
      </c>
      <c r="G604" s="71">
        <f ca="1">(C12)+(E12-C12)*IF(RAND()&lt;((D12)-(C12))/((E12)-(C12)),SQRT(RAND()*((D12)-(C12))/((E12)-(C12))),1-SQRT(RAND()*((E12)-(D12))/((E12)-(C12))))</f>
        <v>0.17704202004867078</v>
      </c>
      <c r="H604" s="72">
        <f t="shared" ca="1" si="18"/>
        <v>265024349.18267643</v>
      </c>
      <c r="I604" s="73">
        <f t="shared" ca="1" si="19"/>
        <v>264.07284719712771</v>
      </c>
    </row>
    <row r="605" spans="1:9" ht="16.05" customHeight="1" x14ac:dyDescent="0.3">
      <c r="A605" s="66">
        <v>589</v>
      </c>
      <c r="B605" s="67">
        <f ca="1">(C7)+(E7-C7)*IF(RAND()&lt;((D7)-(C7))/((E7)-(C7)),SQRT(RAND()*((D7)-(C7))/((E7)-(C7))),1-SQRT(RAND()*((E7)-(D7))/((E7)-(C7))))</f>
        <v>0.23312448041003814</v>
      </c>
      <c r="C605" s="67">
        <f ca="1">(C8)+(E8-C8)*IF(RAND()&lt;((D8)-(C8))/((E8)-(C8)),SQRT(RAND()*((D8)-(C8))/((E8)-(C8))),1-SQRT(RAND()*((E8)-(D8))/((E8)-(C8))))</f>
        <v>0.66477240028137263</v>
      </c>
      <c r="D605" s="68">
        <f ca="1">(C9)+(E9-C9)*IF(RAND()&lt;((D9)-(C9))/((E9)-(C9)),SQRT(RAND()*((D9)-(C9))/((E9)-(C9))),1-SQRT(RAND()*((E9)-(D9))/((E9)-(C9))))</f>
        <v>1268239.3402015078</v>
      </c>
      <c r="E605" s="68">
        <f ca="1">(C10)+(E10-C10)*IF(RAND()&lt;((D10)-(C10))/((E10)-(C10)),SQRT(RAND()*((D10)-(C10))/((E10)-(C10))),1-SQRT(RAND()*((E10)-(D10))/((E10)-(C10))))</f>
        <v>3498108.2143178079</v>
      </c>
      <c r="F605" s="67">
        <f ca="1">(C11)+(E11-C11)*IF(RAND()&lt;((D11)-(C11))/((E11)-(C11)),SQRT(RAND()*((D11)-(C11))/((E11)-(C11))),1-SQRT(RAND()*((E11)-(D11))/((E11)-(C11))))</f>
        <v>1.0619155419936379E-2</v>
      </c>
      <c r="G605" s="67">
        <f ca="1">(C12)+(E12-C12)*IF(RAND()&lt;((D12)-(C12))/((E12)-(C12)),SQRT(RAND()*((D12)-(C12))/((E12)-(C12))),1-SQRT(RAND()*((E12)-(D12))/((E12)-(C12))))</f>
        <v>0.17031258594316231</v>
      </c>
      <c r="H605" s="68">
        <f t="shared" ca="1" si="18"/>
        <v>230722256.84475642</v>
      </c>
      <c r="I605" s="69">
        <f t="shared" ca="1" si="19"/>
        <v>241.27349831377708</v>
      </c>
    </row>
    <row r="606" spans="1:9" ht="16.05" customHeight="1" x14ac:dyDescent="0.3">
      <c r="A606" s="70">
        <v>590</v>
      </c>
      <c r="B606" s="71">
        <f ca="1">(C7)+(E7-C7)*IF(RAND()&lt;((D7)-(C7))/((E7)-(C7)),SQRT(RAND()*((D7)-(C7))/((E7)-(C7))),1-SQRT(RAND()*((E7)-(D7))/((E7)-(C7))))</f>
        <v>0.18517897031782804</v>
      </c>
      <c r="C606" s="71">
        <f ca="1">(C8)+(E8-C8)*IF(RAND()&lt;((D8)-(C8))/((E8)-(C8)),SQRT(RAND()*((D8)-(C8))/((E8)-(C8))),1-SQRT(RAND()*((E8)-(D8))/((E8)-(C8))))</f>
        <v>0.60256614891054816</v>
      </c>
      <c r="D606" s="72">
        <f ca="1">(C9)+(E9-C9)*IF(RAND()&lt;((D9)-(C9))/((E9)-(C9)),SQRT(RAND()*((D9)-(C9))/((E9)-(C9))),1-SQRT(RAND()*((E9)-(D9))/((E9)-(C9))))</f>
        <v>1083944.193621699</v>
      </c>
      <c r="E606" s="72">
        <f ca="1">(C10)+(E10-C10)*IF(RAND()&lt;((D10)-(C10))/((E10)-(C10)),SQRT(RAND()*((D10)-(C10))/((E10)-(C10))),1-SQRT(RAND()*((E10)-(D10))/((E10)-(C10))))</f>
        <v>2543997.6034148554</v>
      </c>
      <c r="F606" s="71">
        <f ca="1">(C11)+(E11-C11)*IF(RAND()&lt;((D11)-(C11))/((E11)-(C11)),SQRT(RAND()*((D11)-(C11))/((E11)-(C11))),1-SQRT(RAND()*((E11)-(D11))/((E11)-(C11))))</f>
        <v>2.228508989843073E-2</v>
      </c>
      <c r="G606" s="71">
        <f ca="1">(C12)+(E12-C12)*IF(RAND()&lt;((D12)-(C12))/((E12)-(C12)),SQRT(RAND()*((D12)-(C12))/((E12)-(C12))),1-SQRT(RAND()*((E12)-(D12))/((E12)-(C12))))</f>
        <v>0.13323243259236567</v>
      </c>
      <c r="H606" s="72">
        <f t="shared" ca="1" si="18"/>
        <v>271515375.25625825</v>
      </c>
      <c r="I606" s="73">
        <f t="shared" ca="1" si="19"/>
        <v>331.70994484951115</v>
      </c>
    </row>
    <row r="607" spans="1:9" ht="16.05" customHeight="1" x14ac:dyDescent="0.3">
      <c r="A607" s="66">
        <v>591</v>
      </c>
      <c r="B607" s="67">
        <f ca="1">(C7)+(E7-C7)*IF(RAND()&lt;((D7)-(C7))/((E7)-(C7)),SQRT(RAND()*((D7)-(C7))/((E7)-(C7))),1-SQRT(RAND()*((E7)-(D7))/((E7)-(C7))))</f>
        <v>0.30327280465608975</v>
      </c>
      <c r="C607" s="67">
        <f ca="1">(C8)+(E8-C8)*IF(RAND()&lt;((D8)-(C8))/((E8)-(C8)),SQRT(RAND()*((D8)-(C8))/((E8)-(C8))),1-SQRT(RAND()*((E8)-(D8))/((E8)-(C8))))</f>
        <v>0.74429231291828812</v>
      </c>
      <c r="D607" s="68">
        <f ca="1">(C9)+(E9-C9)*IF(RAND()&lt;((D9)-(C9))/((E9)-(C9)),SQRT(RAND()*((D9)-(C9))/((E9)-(C9))),1-SQRT(RAND()*((E9)-(D9))/((E9)-(C9))))</f>
        <v>1175777.6291127172</v>
      </c>
      <c r="E607" s="68">
        <f ca="1">(C10)+(E10-C10)*IF(RAND()&lt;((D10)-(C10))/((E10)-(C10)),SQRT(RAND()*((D10)-(C10))/((E10)-(C10))),1-SQRT(RAND()*((E10)-(D10))/((E10)-(C10))))</f>
        <v>3048200.9799497267</v>
      </c>
      <c r="F607" s="67">
        <f ca="1">(C11)+(E11-C11)*IF(RAND()&lt;((D11)-(C11))/((E11)-(C11)),SQRT(RAND()*((D11)-(C11))/((E11)-(C11))),1-SQRT(RAND()*((E11)-(D11))/((E11)-(C11))))</f>
        <v>1.3360311048723069E-2</v>
      </c>
      <c r="G607" s="67">
        <f ca="1">(C12)+(E12-C12)*IF(RAND()&lt;((D12)-(C12))/((E12)-(C12)),SQRT(RAND()*((D12)-(C12))/((E12)-(C12))),1-SQRT(RAND()*((E12)-(D12))/((E12)-(C12))))</f>
        <v>0.15151791381857799</v>
      </c>
      <c r="H607" s="68">
        <f t="shared" ca="1" si="18"/>
        <v>329276617.65952927</v>
      </c>
      <c r="I607" s="69">
        <f t="shared" ca="1" si="19"/>
        <v>370.70151379524248</v>
      </c>
    </row>
    <row r="608" spans="1:9" ht="16.05" customHeight="1" x14ac:dyDescent="0.3">
      <c r="A608" s="70">
        <v>592</v>
      </c>
      <c r="B608" s="71">
        <f ca="1">(C7)+(E7-C7)*IF(RAND()&lt;((D7)-(C7))/((E7)-(C7)),SQRT(RAND()*((D7)-(C7))/((E7)-(C7))),1-SQRT(RAND()*((E7)-(D7))/((E7)-(C7))))</f>
        <v>0.31584185260745246</v>
      </c>
      <c r="C608" s="71">
        <f ca="1">(C8)+(E8-C8)*IF(RAND()&lt;((D8)-(C8))/((E8)-(C8)),SQRT(RAND()*((D8)-(C8))/((E8)-(C8))),1-SQRT(RAND()*((E8)-(D8))/((E8)-(C8))))</f>
        <v>0.67769606872953836</v>
      </c>
      <c r="D608" s="72">
        <f ca="1">(C9)+(E9-C9)*IF(RAND()&lt;((D9)-(C9))/((E9)-(C9)),SQRT(RAND()*((D9)-(C9))/((E9)-(C9))),1-SQRT(RAND()*((E9)-(D9))/((E9)-(C9))))</f>
        <v>1222970.858684378</v>
      </c>
      <c r="E608" s="72">
        <f ca="1">(C10)+(E10-C10)*IF(RAND()&lt;((D10)-(C10))/((E10)-(C10)),SQRT(RAND()*((D10)-(C10))/((E10)-(C10))),1-SQRT(RAND()*((E10)-(D10))/((E10)-(C10))))</f>
        <v>4005126.9865120044</v>
      </c>
      <c r="F608" s="71">
        <f ca="1">(C11)+(E11-C11)*IF(RAND()&lt;((D11)-(C11))/((E11)-(C11)),SQRT(RAND()*((D11)-(C11))/((E11)-(C11))),1-SQRT(RAND()*((E11)-(D11))/((E11)-(C11))))</f>
        <v>2.542822911169253E-2</v>
      </c>
      <c r="G608" s="71">
        <f ca="1">(C12)+(E12-C12)*IF(RAND()&lt;((D12)-(C12))/((E12)-(C12)),SQRT(RAND()*((D12)-(C12))/((E12)-(C12))),1-SQRT(RAND()*((E12)-(D12))/((E12)-(C12))))</f>
        <v>0.16320228240155277</v>
      </c>
      <c r="H608" s="72">
        <f t="shared" ca="1" si="18"/>
        <v>399997970.73218817</v>
      </c>
      <c r="I608" s="73">
        <f t="shared" ca="1" si="19"/>
        <v>432.72115963428308</v>
      </c>
    </row>
    <row r="609" spans="1:9" ht="16.05" customHeight="1" x14ac:dyDescent="0.3">
      <c r="A609" s="66">
        <v>593</v>
      </c>
      <c r="B609" s="67">
        <f ca="1">(C7)+(E7-C7)*IF(RAND()&lt;((D7)-(C7))/((E7)-(C7)),SQRT(RAND()*((D7)-(C7))/((E7)-(C7))),1-SQRT(RAND()*((E7)-(D7))/((E7)-(C7))))</f>
        <v>0.25053402866730046</v>
      </c>
      <c r="C609" s="67">
        <f ca="1">(C8)+(E8-C8)*IF(RAND()&lt;((D8)-(C8))/((E8)-(C8)),SQRT(RAND()*((D8)-(C8))/((E8)-(C8))),1-SQRT(RAND()*((E8)-(D8))/((E8)-(C8))))</f>
        <v>0.57418615297484388</v>
      </c>
      <c r="D609" s="68">
        <f ca="1">(C9)+(E9-C9)*IF(RAND()&lt;((D9)-(C9))/((E9)-(C9)),SQRT(RAND()*((D9)-(C9))/((E9)-(C9))),1-SQRT(RAND()*((E9)-(D9))/((E9)-(C9))))</f>
        <v>1203988.668726295</v>
      </c>
      <c r="E609" s="68">
        <f ca="1">(C10)+(E10-C10)*IF(RAND()&lt;((D10)-(C10))/((E10)-(C10)),SQRT(RAND()*((D10)-(C10))/((E10)-(C10))),1-SQRT(RAND()*((E10)-(D10))/((E10)-(C10))))</f>
        <v>3760812.5656631663</v>
      </c>
      <c r="F609" s="67">
        <f ca="1">(C11)+(E11-C11)*IF(RAND()&lt;((D11)-(C11))/((E11)-(C11)),SQRT(RAND()*((D11)-(C11))/((E11)-(C11))),1-SQRT(RAND()*((E11)-(D11))/((E11)-(C11))))</f>
        <v>1.6172249892405514E-2</v>
      </c>
      <c r="G609" s="67">
        <f ca="1">(C12)+(E12-C12)*IF(RAND()&lt;((D12)-(C12))/((E12)-(C12)),SQRT(RAND()*((D12)-(C12))/((E12)-(C12))),1-SQRT(RAND()*((E12)-(D12))/((E12)-(C12))))</f>
        <v>0.11711312646970398</v>
      </c>
      <c r="H609" s="68">
        <f t="shared" ca="1" si="18"/>
        <v>257771232.94885927</v>
      </c>
      <c r="I609" s="69">
        <f t="shared" ca="1" si="19"/>
        <v>283.71118776081499</v>
      </c>
    </row>
    <row r="610" spans="1:9" ht="16.05" customHeight="1" x14ac:dyDescent="0.3">
      <c r="A610" s="70">
        <v>594</v>
      </c>
      <c r="B610" s="71">
        <f ca="1">(C7)+(E7-C7)*IF(RAND()&lt;((D7)-(C7))/((E7)-(C7)),SQRT(RAND()*((D7)-(C7))/((E7)-(C7))),1-SQRT(RAND()*((E7)-(D7))/((E7)-(C7))))</f>
        <v>0.36070418860529585</v>
      </c>
      <c r="C610" s="71">
        <f ca="1">(C8)+(E8-C8)*IF(RAND()&lt;((D8)-(C8))/((E8)-(C8)),SQRT(RAND()*((D8)-(C8))/((E8)-(C8))),1-SQRT(RAND()*((E8)-(D8))/((E8)-(C8))))</f>
        <v>0.6557779786916218</v>
      </c>
      <c r="D610" s="72">
        <f ca="1">(C9)+(E9-C9)*IF(RAND()&lt;((D9)-(C9))/((E9)-(C9)),SQRT(RAND()*((D9)-(C9))/((E9)-(C9))),1-SQRT(RAND()*((E9)-(D9))/((E9)-(C9))))</f>
        <v>1263812.1546398071</v>
      </c>
      <c r="E610" s="72">
        <f ca="1">(C10)+(E10-C10)*IF(RAND()&lt;((D10)-(C10))/((E10)-(C10)),SQRT(RAND()*((D10)-(C10))/((E10)-(C10))),1-SQRT(RAND()*((E10)-(D10))/((E10)-(C10))))</f>
        <v>3928737.4223192194</v>
      </c>
      <c r="F610" s="71">
        <f ca="1">(C11)+(E11-C11)*IF(RAND()&lt;((D11)-(C11))/((E11)-(C11)),SQRT(RAND()*((D11)-(C11))/((E11)-(C11))),1-SQRT(RAND()*((E11)-(D11))/((E11)-(C11))))</f>
        <v>1.7133471634895835E-2</v>
      </c>
      <c r="G610" s="71">
        <f ca="1">(C12)+(E12-C12)*IF(RAND()&lt;((D12)-(C12))/((E12)-(C12)),SQRT(RAND()*((D12)-(C12))/((E12)-(C12))),1-SQRT(RAND()*((E12)-(D12))/((E12)-(C12))))</f>
        <v>0.16020021038770083</v>
      </c>
      <c r="H610" s="72">
        <f t="shared" ca="1" si="18"/>
        <v>364853814.00345534</v>
      </c>
      <c r="I610" s="73">
        <f t="shared" ca="1" si="19"/>
        <v>382.10151366436202</v>
      </c>
    </row>
    <row r="611" spans="1:9" ht="16.05" customHeight="1" x14ac:dyDescent="0.3">
      <c r="A611" s="66">
        <v>595</v>
      </c>
      <c r="B611" s="67">
        <f ca="1">(C7)+(E7-C7)*IF(RAND()&lt;((D7)-(C7))/((E7)-(C7)),SQRT(RAND()*((D7)-(C7))/((E7)-(C7))),1-SQRT(RAND()*((E7)-(D7))/((E7)-(C7))))</f>
        <v>0.29365048068116839</v>
      </c>
      <c r="C611" s="67">
        <f ca="1">(C8)+(E8-C8)*IF(RAND()&lt;((D8)-(C8))/((E8)-(C8)),SQRT(RAND()*((D8)-(C8))/((E8)-(C8))),1-SQRT(RAND()*((E8)-(D8))/((E8)-(C8))))</f>
        <v>0.65319804288364092</v>
      </c>
      <c r="D611" s="68">
        <f ca="1">(C9)+(E9-C9)*IF(RAND()&lt;((D9)-(C9))/((E9)-(C9)),SQRT(RAND()*((D9)-(C9))/((E9)-(C9))),1-SQRT(RAND()*((E9)-(D9))/((E9)-(C9))))</f>
        <v>1264320.6065428909</v>
      </c>
      <c r="E611" s="68">
        <f ca="1">(C10)+(E10-C10)*IF(RAND()&lt;((D10)-(C10))/((E10)-(C10)),SQRT(RAND()*((D10)-(C10))/((E10)-(C10))),1-SQRT(RAND()*((E10)-(D10))/((E10)-(C10))))</f>
        <v>3233210.4934763657</v>
      </c>
      <c r="F611" s="67">
        <f ca="1">(C11)+(E11-C11)*IF(RAND()&lt;((D11)-(C11))/((E11)-(C11)),SQRT(RAND()*((D11)-(C11))/((E11)-(C11))),1-SQRT(RAND()*((E11)-(D11))/((E11)-(C11))))</f>
        <v>1.4052649118779814E-2</v>
      </c>
      <c r="G611" s="67">
        <f ca="1">(C12)+(E12-C12)*IF(RAND()&lt;((D12)-(C12))/((E12)-(C12)),SQRT(RAND()*((D12)-(C12))/((E12)-(C12))),1-SQRT(RAND()*((E12)-(D12))/((E12)-(C12))))</f>
        <v>0.17556653069663147</v>
      </c>
      <c r="H611" s="68">
        <f t="shared" ca="1" si="18"/>
        <v>296589373.91415668</v>
      </c>
      <c r="I611" s="69">
        <f t="shared" ca="1" si="19"/>
        <v>310.7323168401694</v>
      </c>
    </row>
    <row r="612" spans="1:9" ht="16.05" customHeight="1" x14ac:dyDescent="0.3">
      <c r="A612" s="70">
        <v>596</v>
      </c>
      <c r="B612" s="71">
        <f ca="1">(C7)+(E7-C7)*IF(RAND()&lt;((D7)-(C7))/((E7)-(C7)),SQRT(RAND()*((D7)-(C7))/((E7)-(C7))),1-SQRT(RAND()*((E7)-(D7))/((E7)-(C7))))</f>
        <v>0.268230543105348</v>
      </c>
      <c r="C612" s="71">
        <f ca="1">(C8)+(E8-C8)*IF(RAND()&lt;((D8)-(C8))/((E8)-(C8)),SQRT(RAND()*((D8)-(C8))/((E8)-(C8))),1-SQRT(RAND()*((E8)-(D8))/((E8)-(C8))))</f>
        <v>0.6188358612436996</v>
      </c>
      <c r="D612" s="72">
        <f ca="1">(C9)+(E9-C9)*IF(RAND()&lt;((D9)-(C9))/((E9)-(C9)),SQRT(RAND()*((D9)-(C9))/((E9)-(C9))),1-SQRT(RAND()*((E9)-(D9))/((E9)-(C9))))</f>
        <v>1234918.2783560816</v>
      </c>
      <c r="E612" s="72">
        <f ca="1">(C10)+(E10-C10)*IF(RAND()&lt;((D10)-(C10))/((E10)-(C10)),SQRT(RAND()*((D10)-(C10))/((E10)-(C10))),1-SQRT(RAND()*((E10)-(D10))/((E10)-(C10))))</f>
        <v>3552237.5008855052</v>
      </c>
      <c r="F612" s="71">
        <f ca="1">(C11)+(E11-C11)*IF(RAND()&lt;((D11)-(C11))/((E11)-(C11)),SQRT(RAND()*((D11)-(C11))/((E11)-(C11))),1-SQRT(RAND()*((E11)-(D11))/((E11)-(C11))))</f>
        <v>1.7044473875971525E-2</v>
      </c>
      <c r="G612" s="71">
        <f ca="1">(C12)+(E12-C12)*IF(RAND()&lt;((D12)-(C12))/((E12)-(C12)),SQRT(RAND()*((D12)-(C12))/((E12)-(C12))),1-SQRT(RAND()*((E12)-(D12))/((E12)-(C12))))</f>
        <v>0.18834765030028</v>
      </c>
      <c r="H612" s="72">
        <f t="shared" ca="1" si="18"/>
        <v>288911012.780967</v>
      </c>
      <c r="I612" s="73">
        <f t="shared" ca="1" si="19"/>
        <v>309.89810021350036</v>
      </c>
    </row>
    <row r="613" spans="1:9" ht="16.05" customHeight="1" x14ac:dyDescent="0.3">
      <c r="A613" s="66">
        <v>597</v>
      </c>
      <c r="B613" s="67">
        <f ca="1">(C7)+(E7-C7)*IF(RAND()&lt;((D7)-(C7))/((E7)-(C7)),SQRT(RAND()*((D7)-(C7))/((E7)-(C7))),1-SQRT(RAND()*((E7)-(D7))/((E7)-(C7))))</f>
        <v>0.34759710737106497</v>
      </c>
      <c r="C613" s="67">
        <f ca="1">(C8)+(E8-C8)*IF(RAND()&lt;((D8)-(C8))/((E8)-(C8)),SQRT(RAND()*((D8)-(C8))/((E8)-(C8))),1-SQRT(RAND()*((E8)-(D8))/((E8)-(C8))))</f>
        <v>0.62760052830934177</v>
      </c>
      <c r="D613" s="68">
        <f ca="1">(C9)+(E9-C9)*IF(RAND()&lt;((D9)-(C9))/((E9)-(C9)),SQRT(RAND()*((D9)-(C9))/((E9)-(C9))),1-SQRT(RAND()*((E9)-(D9))/((E9)-(C9))))</f>
        <v>1276633.1739643505</v>
      </c>
      <c r="E613" s="68">
        <f ca="1">(C10)+(E10-C10)*IF(RAND()&lt;((D10)-(C10))/((E10)-(C10)),SQRT(RAND()*((D10)-(C10))/((E10)-(C10))),1-SQRT(RAND()*((E10)-(D10))/((E10)-(C10))))</f>
        <v>3457900.7056101505</v>
      </c>
      <c r="F613" s="67">
        <f ca="1">(C11)+(E11-C11)*IF(RAND()&lt;((D11)-(C11))/((E11)-(C11)),SQRT(RAND()*((D11)-(C11))/((E11)-(C11))),1-SQRT(RAND()*((E11)-(D11))/((E11)-(C11))))</f>
        <v>7.9801833932455161E-3</v>
      </c>
      <c r="G613" s="67">
        <f ca="1">(C12)+(E12-C12)*IF(RAND()&lt;((D12)-(C12))/((E12)-(C12)),SQRT(RAND()*((D12)-(C12))/((E12)-(C12))),1-SQRT(RAND()*((E12)-(D12))/((E12)-(C12))))</f>
        <v>0.13274178049023461</v>
      </c>
      <c r="H613" s="68">
        <f t="shared" ca="1" si="18"/>
        <v>280553310.96229762</v>
      </c>
      <c r="I613" s="69">
        <f t="shared" ca="1" si="19"/>
        <v>291.18007737806823</v>
      </c>
    </row>
    <row r="614" spans="1:9" ht="16.05" customHeight="1" x14ac:dyDescent="0.3">
      <c r="A614" s="70">
        <v>598</v>
      </c>
      <c r="B614" s="71">
        <f ca="1">(C7)+(E7-C7)*IF(RAND()&lt;((D7)-(C7))/((E7)-(C7)),SQRT(RAND()*((D7)-(C7))/((E7)-(C7))),1-SQRT(RAND()*((E7)-(D7))/((E7)-(C7))))</f>
        <v>0.34644930706240518</v>
      </c>
      <c r="C614" s="71">
        <f ca="1">(C8)+(E8-C8)*IF(RAND()&lt;((D8)-(C8))/((E8)-(C8)),SQRT(RAND()*((D8)-(C8))/((E8)-(C8))),1-SQRT(RAND()*((E8)-(D8))/((E8)-(C8))))</f>
        <v>0.61255069822542718</v>
      </c>
      <c r="D614" s="72">
        <f ca="1">(C9)+(E9-C9)*IF(RAND()&lt;((D9)-(C9))/((E9)-(C9)),SQRT(RAND()*((D9)-(C9))/((E9)-(C9))),1-SQRT(RAND()*((E9)-(D9))/((E9)-(C9))))</f>
        <v>1193684.9321204582</v>
      </c>
      <c r="E614" s="72">
        <f ca="1">(C10)+(E10-C10)*IF(RAND()&lt;((D10)-(C10))/((E10)-(C10)),SQRT(RAND()*((D10)-(C10))/((E10)-(C10))),1-SQRT(RAND()*((E10)-(D10))/((E10)-(C10))))</f>
        <v>3856200.2799658356</v>
      </c>
      <c r="F614" s="71">
        <f ca="1">(C11)+(E11-C11)*IF(RAND()&lt;((D11)-(C11))/((E11)-(C11)),SQRT(RAND()*((D11)-(C11))/((E11)-(C11))),1-SQRT(RAND()*((E11)-(D11))/((E11)-(C11))))</f>
        <v>6.6090424287009635E-3</v>
      </c>
      <c r="G614" s="71">
        <f ca="1">(C12)+(E12-C12)*IF(RAND()&lt;((D12)-(C12))/((E12)-(C12)),SQRT(RAND()*((D12)-(C12))/((E12)-(C12))),1-SQRT(RAND()*((E12)-(D12))/((E12)-(C12))))</f>
        <v>0.12887141519699835</v>
      </c>
      <c r="H614" s="72">
        <f t="shared" ca="1" si="18"/>
        <v>262773638.91229704</v>
      </c>
      <c r="I614" s="73">
        <f t="shared" ca="1" si="19"/>
        <v>291.67627557545921</v>
      </c>
    </row>
    <row r="615" spans="1:9" ht="16.05" customHeight="1" x14ac:dyDescent="0.3">
      <c r="A615" s="66">
        <v>599</v>
      </c>
      <c r="B615" s="67">
        <f ca="1">(C7)+(E7-C7)*IF(RAND()&lt;((D7)-(C7))/((E7)-(C7)),SQRT(RAND()*((D7)-(C7))/((E7)-(C7))),1-SQRT(RAND()*((E7)-(D7))/((E7)-(C7))))</f>
        <v>0.2175959591035091</v>
      </c>
      <c r="C615" s="67">
        <f ca="1">(C8)+(E8-C8)*IF(RAND()&lt;((D8)-(C8))/((E8)-(C8)),SQRT(RAND()*((D8)-(C8))/((E8)-(C8))),1-SQRT(RAND()*((E8)-(D8))/((E8)-(C8))))</f>
        <v>0.73278288346177178</v>
      </c>
      <c r="D615" s="68">
        <f ca="1">(C9)+(E9-C9)*IF(RAND()&lt;((D9)-(C9))/((E9)-(C9)),SQRT(RAND()*((D9)-(C9))/((E9)-(C9))),1-SQRT(RAND()*((E9)-(D9))/((E9)-(C9))))</f>
        <v>1294564.3627461491</v>
      </c>
      <c r="E615" s="68">
        <f ca="1">(C10)+(E10-C10)*IF(RAND()&lt;((D10)-(C10))/((E10)-(C10)),SQRT(RAND()*((D10)-(C10))/((E10)-(C10))),1-SQRT(RAND()*((E10)-(D10))/((E10)-(C10))))</f>
        <v>2788911.5679505747</v>
      </c>
      <c r="F615" s="67">
        <f ca="1">(C11)+(E11-C11)*IF(RAND()&lt;((D11)-(C11))/((E11)-(C11)),SQRT(RAND()*((D11)-(C11))/((E11)-(C11))),1-SQRT(RAND()*((E11)-(D11))/((E11)-(C11))))</f>
        <v>1.5925337125574698E-2</v>
      </c>
      <c r="G615" s="67">
        <f ca="1">(C12)+(E12-C12)*IF(RAND()&lt;((D12)-(C12))/((E12)-(C12)),SQRT(RAND()*((D12)-(C12))/((E12)-(C12))),1-SQRT(RAND()*((E12)-(D12))/((E12)-(C12))))</f>
        <v>0.18067393704013457</v>
      </c>
      <c r="H615" s="68">
        <f t="shared" ca="1" si="18"/>
        <v>276552102.99107617</v>
      </c>
      <c r="I615" s="69">
        <f t="shared" ca="1" si="19"/>
        <v>283.08847750015792</v>
      </c>
    </row>
    <row r="616" spans="1:9" ht="16.05" customHeight="1" x14ac:dyDescent="0.3">
      <c r="A616" s="70">
        <v>600</v>
      </c>
      <c r="B616" s="71">
        <f ca="1">(C7)+(E7-C7)*IF(RAND()&lt;((D7)-(C7))/((E7)-(C7)),SQRT(RAND()*((D7)-(C7))/((E7)-(C7))),1-SQRT(RAND()*((E7)-(D7))/((E7)-(C7))))</f>
        <v>0.23309197795896913</v>
      </c>
      <c r="C616" s="71">
        <f ca="1">(C8)+(E8-C8)*IF(RAND()&lt;((D8)-(C8))/((E8)-(C8)),SQRT(RAND()*((D8)-(C8))/((E8)-(C8))),1-SQRT(RAND()*((E8)-(D8))/((E8)-(C8))))</f>
        <v>0.68794458656766699</v>
      </c>
      <c r="D616" s="72">
        <f ca="1">(C9)+(E9-C9)*IF(RAND()&lt;((D9)-(C9))/((E9)-(C9)),SQRT(RAND()*((D9)-(C9))/((E9)-(C9))),1-SQRT(RAND()*((E9)-(D9))/((E9)-(C9))))</f>
        <v>1159128.471034443</v>
      </c>
      <c r="E616" s="72">
        <f ca="1">(C10)+(E10-C10)*IF(RAND()&lt;((D10)-(C10))/((E10)-(C10)),SQRT(RAND()*((D10)-(C10))/((E10)-(C10))),1-SQRT(RAND()*((E10)-(D10))/((E10)-(C10))))</f>
        <v>2998616.6590624722</v>
      </c>
      <c r="F616" s="71">
        <f ca="1">(C11)+(E11-C11)*IF(RAND()&lt;((D11)-(C11))/((E11)-(C11)),SQRT(RAND()*((D11)-(C11))/((E11)-(C11))),1-SQRT(RAND()*((E11)-(D11))/((E11)-(C11))))</f>
        <v>1.2331993022396808E-2</v>
      </c>
      <c r="G616" s="71">
        <f ca="1">(C12)+(E12-C12)*IF(RAND()&lt;((D12)-(C12))/((E12)-(C12)),SQRT(RAND()*((D12)-(C12))/((E12)-(C12))),1-SQRT(RAND()*((E12)-(D12))/((E12)-(C12))))</f>
        <v>0.14563112307250978</v>
      </c>
      <c r="H616" s="72">
        <f t="shared" ca="1" si="18"/>
        <v>250940324.64229006</v>
      </c>
      <c r="I616" s="73">
        <f t="shared" ca="1" si="19"/>
        <v>286.86725545477464</v>
      </c>
    </row>
    <row r="617" spans="1:9" ht="16.05" customHeight="1" x14ac:dyDescent="0.3">
      <c r="A617" s="66">
        <v>601</v>
      </c>
      <c r="B617" s="67">
        <f ca="1">(C7)+(E7-C7)*IF(RAND()&lt;((D7)-(C7))/((E7)-(C7)),SQRT(RAND()*((D7)-(C7))/((E7)-(C7))),1-SQRT(RAND()*((E7)-(D7))/((E7)-(C7))))</f>
        <v>0.23319194155955456</v>
      </c>
      <c r="C617" s="67">
        <f ca="1">(C8)+(E8-C8)*IF(RAND()&lt;((D8)-(C8))/((E8)-(C8)),SQRT(RAND()*((D8)-(C8))/((E8)-(C8))),1-SQRT(RAND()*((E8)-(D8))/((E8)-(C8))))</f>
        <v>0.67796717255034844</v>
      </c>
      <c r="D617" s="68">
        <f ca="1">(C9)+(E9-C9)*IF(RAND()&lt;((D9)-(C9))/((E9)-(C9)),SQRT(RAND()*((D9)-(C9))/((E9)-(C9))),1-SQRT(RAND()*((E9)-(D9))/((E9)-(C9))))</f>
        <v>1279011.5823968269</v>
      </c>
      <c r="E617" s="68">
        <f ca="1">(C10)+(E10-C10)*IF(RAND()&lt;((D10)-(C10))/((E10)-(C10)),SQRT(RAND()*((D10)-(C10))/((E10)-(C10))),1-SQRT(RAND()*((E10)-(D10))/((E10)-(C10))))</f>
        <v>4089335.7151146466</v>
      </c>
      <c r="F617" s="67">
        <f ca="1">(C11)+(E11-C11)*IF(RAND()&lt;((D11)-(C11))/((E11)-(C11)),SQRT(RAND()*((D11)-(C11))/((E11)-(C11))),1-SQRT(RAND()*((E11)-(D11))/((E11)-(C11))))</f>
        <v>1.3891965671385361E-2</v>
      </c>
      <c r="G617" s="67">
        <f ca="1">(C12)+(E12-C12)*IF(RAND()&lt;((D12)-(C12))/((E12)-(C12)),SQRT(RAND()*((D12)-(C12))/((E12)-(C12))),1-SQRT(RAND()*((E12)-(D12))/((E12)-(C12))))</f>
        <v>0.1494262786945279</v>
      </c>
      <c r="H617" s="68">
        <f t="shared" ca="1" si="18"/>
        <v>255488630.1960116</v>
      </c>
      <c r="I617" s="69">
        <f t="shared" ca="1" si="19"/>
        <v>264.79297757342869</v>
      </c>
    </row>
    <row r="618" spans="1:9" ht="16.05" customHeight="1" x14ac:dyDescent="0.3">
      <c r="A618" s="70">
        <v>602</v>
      </c>
      <c r="B618" s="71">
        <f ca="1">(C7)+(E7-C7)*IF(RAND()&lt;((D7)-(C7))/((E7)-(C7)),SQRT(RAND()*((D7)-(C7))/((E7)-(C7))),1-SQRT(RAND()*((E7)-(D7))/((E7)-(C7))))</f>
        <v>0.34779144509444593</v>
      </c>
      <c r="C618" s="71">
        <f ca="1">(C8)+(E8-C8)*IF(RAND()&lt;((D8)-(C8))/((E8)-(C8)),SQRT(RAND()*((D8)-(C8))/((E8)-(C8))),1-SQRT(RAND()*((E8)-(D8))/((E8)-(C8))))</f>
        <v>0.59867102923894144</v>
      </c>
      <c r="D618" s="72">
        <f ca="1">(C9)+(E9-C9)*IF(RAND()&lt;((D9)-(C9))/((E9)-(C9)),SQRT(RAND()*((D9)-(C9))/((E9)-(C9))),1-SQRT(RAND()*((E9)-(D9))/((E9)-(C9))))</f>
        <v>1224157.0255186274</v>
      </c>
      <c r="E618" s="72">
        <f ca="1">(C10)+(E10-C10)*IF(RAND()&lt;((D10)-(C10))/((E10)-(C10)),SQRT(RAND()*((D10)-(C10))/((E10)-(C10))),1-SQRT(RAND()*((E10)-(D10))/((E10)-(C10))))</f>
        <v>3720983.4356286926</v>
      </c>
      <c r="F618" s="71">
        <f ca="1">(C11)+(E11-C11)*IF(RAND()&lt;((D11)-(C11))/((E11)-(C11)),SQRT(RAND()*((D11)-(C11))/((E11)-(C11))),1-SQRT(RAND()*((E11)-(D11))/((E11)-(C11))))</f>
        <v>1.1361885059673921E-2</v>
      </c>
      <c r="G618" s="71">
        <f ca="1">(C12)+(E12-C12)*IF(RAND()&lt;((D12)-(C12))/((E12)-(C12)),SQRT(RAND()*((D12)-(C12))/((E12)-(C12))),1-SQRT(RAND()*((E12)-(D12))/((E12)-(C12))))</f>
        <v>0.16645217552283065</v>
      </c>
      <c r="H618" s="72">
        <f t="shared" ca="1" si="18"/>
        <v>293202763.16877508</v>
      </c>
      <c r="I618" s="73">
        <f t="shared" ca="1" si="19"/>
        <v>317.23495518275053</v>
      </c>
    </row>
    <row r="619" spans="1:9" ht="16.05" customHeight="1" x14ac:dyDescent="0.3">
      <c r="A619" s="66">
        <v>603</v>
      </c>
      <c r="B619" s="67">
        <f ca="1">(C7)+(E7-C7)*IF(RAND()&lt;((D7)-(C7))/((E7)-(C7)),SQRT(RAND()*((D7)-(C7))/((E7)-(C7))),1-SQRT(RAND()*((E7)-(D7))/((E7)-(C7))))</f>
        <v>0.2727474878047762</v>
      </c>
      <c r="C619" s="67">
        <f ca="1">(C8)+(E8-C8)*IF(RAND()&lt;((D8)-(C8))/((E8)-(C8)),SQRT(RAND()*((D8)-(C8))/((E8)-(C8))),1-SQRT(RAND()*((E8)-(D8))/((E8)-(C8))))</f>
        <v>0.71214646575493945</v>
      </c>
      <c r="D619" s="68">
        <f ca="1">(C9)+(E9-C9)*IF(RAND()&lt;((D9)-(C9))/((E9)-(C9)),SQRT(RAND()*((D9)-(C9))/((E9)-(C9))),1-SQRT(RAND()*((E9)-(D9))/((E9)-(C9))))</f>
        <v>1198610.6212973243</v>
      </c>
      <c r="E619" s="68">
        <f ca="1">(C10)+(E10-C10)*IF(RAND()&lt;((D10)-(C10))/((E10)-(C10)),SQRT(RAND()*((D10)-(C10))/((E10)-(C10))),1-SQRT(RAND()*((E10)-(D10))/((E10)-(C10))))</f>
        <v>3608151.0864804438</v>
      </c>
      <c r="F619" s="67">
        <f ca="1">(C11)+(E11-C11)*IF(RAND()&lt;((D11)-(C11))/((E11)-(C11)),SQRT(RAND()*((D11)-(C11))/((E11)-(C11))),1-SQRT(RAND()*((E11)-(D11))/((E11)-(C11))))</f>
        <v>1.0570088312957129E-2</v>
      </c>
      <c r="G619" s="67">
        <f ca="1">(C12)+(E12-C12)*IF(RAND()&lt;((D12)-(C12))/((E12)-(C12)),SQRT(RAND()*((D12)-(C12))/((E12)-(C12))),1-SQRT(RAND()*((E12)-(D12))/((E12)-(C12))))</f>
        <v>0.16303705402070146</v>
      </c>
      <c r="H619" s="68">
        <f t="shared" ca="1" si="18"/>
        <v>272735297.37322557</v>
      </c>
      <c r="I619" s="69">
        <f t="shared" ca="1" si="19"/>
        <v>301.44516304636204</v>
      </c>
    </row>
    <row r="620" spans="1:9" ht="16.05" customHeight="1" x14ac:dyDescent="0.3">
      <c r="A620" s="70">
        <v>604</v>
      </c>
      <c r="B620" s="71">
        <f ca="1">(C7)+(E7-C7)*IF(RAND()&lt;((D7)-(C7))/((E7)-(C7)),SQRT(RAND()*((D7)-(C7))/((E7)-(C7))),1-SQRT(RAND()*((E7)-(D7))/((E7)-(C7))))</f>
        <v>0.27936433649358117</v>
      </c>
      <c r="C620" s="71">
        <f ca="1">(C8)+(E8-C8)*IF(RAND()&lt;((D8)-(C8))/((E8)-(C8)),SQRT(RAND()*((D8)-(C8))/((E8)-(C8))),1-SQRT(RAND()*((E8)-(D8))/((E8)-(C8))))</f>
        <v>0.61819752484231394</v>
      </c>
      <c r="D620" s="72">
        <f ca="1">(C9)+(E9-C9)*IF(RAND()&lt;((D9)-(C9))/((E9)-(C9)),SQRT(RAND()*((D9)-(C9))/((E9)-(C9))),1-SQRT(RAND()*((E9)-(D9))/((E9)-(C9))))</f>
        <v>1197652.4956312901</v>
      </c>
      <c r="E620" s="72">
        <f ca="1">(C10)+(E10-C10)*IF(RAND()&lt;((D10)-(C10))/((E10)-(C10)),SQRT(RAND()*((D10)-(C10))/((E10)-(C10))),1-SQRT(RAND()*((E10)-(D10))/((E10)-(C10))))</f>
        <v>3994385.0016939361</v>
      </c>
      <c r="F620" s="71">
        <f ca="1">(C11)+(E11-C11)*IF(RAND()&lt;((D11)-(C11))/((E11)-(C11)),SQRT(RAND()*((D11)-(C11))/((E11)-(C11))),1-SQRT(RAND()*((E11)-(D11))/((E11)-(C11))))</f>
        <v>1.4376872497371391E-2</v>
      </c>
      <c r="G620" s="71">
        <f ca="1">(C12)+(E12-C12)*IF(RAND()&lt;((D12)-(C12))/((E12)-(C12)),SQRT(RAND()*((D12)-(C12))/((E12)-(C12))),1-SQRT(RAND()*((E12)-(D12))/((E12)-(C12))))</f>
        <v>0.16255594093571793</v>
      </c>
      <c r="H620" s="72">
        <f t="shared" ca="1" si="18"/>
        <v>275320349.04426169</v>
      </c>
      <c r="I620" s="73">
        <f t="shared" ca="1" si="19"/>
        <v>304.53220974658268</v>
      </c>
    </row>
    <row r="621" spans="1:9" ht="16.05" customHeight="1" x14ac:dyDescent="0.3">
      <c r="A621" s="66">
        <v>605</v>
      </c>
      <c r="B621" s="67">
        <f ca="1">(C7)+(E7-C7)*IF(RAND()&lt;((D7)-(C7))/((E7)-(C7)),SQRT(RAND()*((D7)-(C7))/((E7)-(C7))),1-SQRT(RAND()*((E7)-(D7))/((E7)-(C7))))</f>
        <v>0.20827653177159053</v>
      </c>
      <c r="C621" s="67">
        <f ca="1">(C8)+(E8-C8)*IF(RAND()&lt;((D8)-(C8))/((E8)-(C8)),SQRT(RAND()*((D8)-(C8))/((E8)-(C8))),1-SQRT(RAND()*((E8)-(D8))/((E8)-(C8))))</f>
        <v>0.63338816416241794</v>
      </c>
      <c r="D621" s="68">
        <f ca="1">(C9)+(E9-C9)*IF(RAND()&lt;((D9)-(C9))/((E9)-(C9)),SQRT(RAND()*((D9)-(C9))/((E9)-(C9))),1-SQRT(RAND()*((E9)-(D9))/((E9)-(C9))))</f>
        <v>1090274.2309928904</v>
      </c>
      <c r="E621" s="68">
        <f ca="1">(C10)+(E10-C10)*IF(RAND()&lt;((D10)-(C10))/((E10)-(C10)),SQRT(RAND()*((D10)-(C10))/((E10)-(C10))),1-SQRT(RAND()*((E10)-(D10))/((E10)-(C10))))</f>
        <v>5275806.8738453221</v>
      </c>
      <c r="F621" s="67">
        <f ca="1">(C11)+(E11-C11)*IF(RAND()&lt;((D11)-(C11))/((E11)-(C11)),SQRT(RAND()*((D11)-(C11))/((E11)-(C11))),1-SQRT(RAND()*((E11)-(D11))/((E11)-(C11))))</f>
        <v>8.5602154078790061E-3</v>
      </c>
      <c r="G621" s="67">
        <f ca="1">(C12)+(E12-C12)*IF(RAND()&lt;((D12)-(C12))/((E12)-(C12)),SQRT(RAND()*((D12)-(C12))/((E12)-(C12))),1-SQRT(RAND()*((E12)-(D12))/((E12)-(C12))))</f>
        <v>0.17789390183626197</v>
      </c>
      <c r="H621" s="68">
        <f t="shared" ca="1" si="18"/>
        <v>184217984.10908082</v>
      </c>
      <c r="I621" s="69">
        <f t="shared" ca="1" si="19"/>
        <v>224.18145055146243</v>
      </c>
    </row>
    <row r="622" spans="1:9" ht="16.05" customHeight="1" x14ac:dyDescent="0.3">
      <c r="A622" s="70">
        <v>606</v>
      </c>
      <c r="B622" s="71">
        <f ca="1">(C7)+(E7-C7)*IF(RAND()&lt;((D7)-(C7))/((E7)-(C7)),SQRT(RAND()*((D7)-(C7))/((E7)-(C7))),1-SQRT(RAND()*((E7)-(D7))/((E7)-(C7))))</f>
        <v>0.28899660171445274</v>
      </c>
      <c r="C622" s="71">
        <f ca="1">(C8)+(E8-C8)*IF(RAND()&lt;((D8)-(C8))/((E8)-(C8)),SQRT(RAND()*((D8)-(C8))/((E8)-(C8))),1-SQRT(RAND()*((E8)-(D8))/((E8)-(C8))))</f>
        <v>0.75018102138289167</v>
      </c>
      <c r="D622" s="72">
        <f ca="1">(C9)+(E9-C9)*IF(RAND()&lt;((D9)-(C9))/((E9)-(C9)),SQRT(RAND()*((D9)-(C9))/((E9)-(C9))),1-SQRT(RAND()*((E9)-(D9))/((E9)-(C9))))</f>
        <v>1153089.9160590624</v>
      </c>
      <c r="E622" s="72">
        <f ca="1">(C10)+(E10-C10)*IF(RAND()&lt;((D10)-(C10))/((E10)-(C10)),SQRT(RAND()*((D10)-(C10))/((E10)-(C10))),1-SQRT(RAND()*((E10)-(D10))/((E10)-(C10))))</f>
        <v>3981298.7856846526</v>
      </c>
      <c r="F622" s="71">
        <f ca="1">(C11)+(E11-C11)*IF(RAND()&lt;((D11)-(C11))/((E11)-(C11)),SQRT(RAND()*((D11)-(C11))/((E11)-(C11))),1-SQRT(RAND()*((E11)-(D11))/((E11)-(C11))))</f>
        <v>8.1534206424469895E-3</v>
      </c>
      <c r="G622" s="71">
        <f ca="1">(C12)+(E12-C12)*IF(RAND()&lt;((D12)-(C12))/((E12)-(C12)),SQRT(RAND()*((D12)-(C12))/((E12)-(C12))),1-SQRT(RAND()*((E12)-(D12))/((E12)-(C12))))</f>
        <v>0.10539924074599177</v>
      </c>
      <c r="H622" s="72">
        <f t="shared" ca="1" si="18"/>
        <v>278471820.42936724</v>
      </c>
      <c r="I622" s="73">
        <f t="shared" ca="1" si="19"/>
        <v>319.85513830823271</v>
      </c>
    </row>
    <row r="623" spans="1:9" ht="16.05" customHeight="1" x14ac:dyDescent="0.3">
      <c r="A623" s="66">
        <v>607</v>
      </c>
      <c r="B623" s="67">
        <f ca="1">(C7)+(E7-C7)*IF(RAND()&lt;((D7)-(C7))/((E7)-(C7)),SQRT(RAND()*((D7)-(C7))/((E7)-(C7))),1-SQRT(RAND()*((E7)-(D7))/((E7)-(C7))))</f>
        <v>0.27852791229081886</v>
      </c>
      <c r="C623" s="67">
        <f ca="1">(C8)+(E8-C8)*IF(RAND()&lt;((D8)-(C8))/((E8)-(C8)),SQRT(RAND()*((D8)-(C8))/((E8)-(C8))),1-SQRT(RAND()*((E8)-(D8))/((E8)-(C8))))</f>
        <v>0.75915080754680231</v>
      </c>
      <c r="D623" s="68">
        <f ca="1">(C9)+(E9-C9)*IF(RAND()&lt;((D9)-(C9))/((E9)-(C9)),SQRT(RAND()*((D9)-(C9))/((E9)-(C9))),1-SQRT(RAND()*((E9)-(D9))/((E9)-(C9))))</f>
        <v>1284942.331949237</v>
      </c>
      <c r="E623" s="68">
        <f ca="1">(C10)+(E10-C10)*IF(RAND()&lt;((D10)-(C10))/((E10)-(C10)),SQRT(RAND()*((D10)-(C10))/((E10)-(C10))),1-SQRT(RAND()*((E10)-(D10))/((E10)-(C10))))</f>
        <v>3975764.0539434724</v>
      </c>
      <c r="F623" s="67">
        <f ca="1">(C11)+(E11-C11)*IF(RAND()&lt;((D11)-(C11))/((E11)-(C11)),SQRT(RAND()*((D11)-(C11))/((E11)-(C11))),1-SQRT(RAND()*((E11)-(D11))/((E11)-(C11))))</f>
        <v>1.4609357331149169E-2</v>
      </c>
      <c r="G623" s="67">
        <f ca="1">(C12)+(E12-C12)*IF(RAND()&lt;((D12)-(C12))/((E12)-(C12)),SQRT(RAND()*((D12)-(C12))/((E12)-(C12))),1-SQRT(RAND()*((E12)-(D12))/((E12)-(C12))))</f>
        <v>0.15131523488195964</v>
      </c>
      <c r="H623" s="68">
        <f t="shared" ca="1" si="18"/>
        <v>319131605.80136251</v>
      </c>
      <c r="I623" s="69">
        <f t="shared" ca="1" si="19"/>
        <v>328.90611547637576</v>
      </c>
    </row>
    <row r="624" spans="1:9" ht="16.05" customHeight="1" x14ac:dyDescent="0.3">
      <c r="A624" s="70">
        <v>608</v>
      </c>
      <c r="B624" s="71">
        <f ca="1">(C7)+(E7-C7)*IF(RAND()&lt;((D7)-(C7))/((E7)-(C7)),SQRT(RAND()*((D7)-(C7))/((E7)-(C7))),1-SQRT(RAND()*((E7)-(D7))/((E7)-(C7))))</f>
        <v>0.19188153716119641</v>
      </c>
      <c r="C624" s="71">
        <f ca="1">(C8)+(E8-C8)*IF(RAND()&lt;((D8)-(C8))/((E8)-(C8)),SQRT(RAND()*((D8)-(C8))/((E8)-(C8))),1-SQRT(RAND()*((E8)-(D8))/((E8)-(C8))))</f>
        <v>0.77142384395991537</v>
      </c>
      <c r="D624" s="72">
        <f ca="1">(C9)+(E9-C9)*IF(RAND()&lt;((D9)-(C9))/((E9)-(C9)),SQRT(RAND()*((D9)-(C9))/((E9)-(C9))),1-SQRT(RAND()*((E9)-(D9))/((E9)-(C9))))</f>
        <v>1260005.6428229683</v>
      </c>
      <c r="E624" s="72">
        <f ca="1">(C10)+(E10-C10)*IF(RAND()&lt;((D10)-(C10))/((E10)-(C10)),SQRT(RAND()*((D10)-(C10))/((E10)-(C10))),1-SQRT(RAND()*((E10)-(D10))/((E10)-(C10))))</f>
        <v>4005757.9288762659</v>
      </c>
      <c r="F624" s="71">
        <f ca="1">(C11)+(E11-C11)*IF(RAND()&lt;((D11)-(C11))/((E11)-(C11)),SQRT(RAND()*((D11)-(C11))/((E11)-(C11))),1-SQRT(RAND()*((E11)-(D11))/((E11)-(C11))))</f>
        <v>1.4181160018567099E-2</v>
      </c>
      <c r="G624" s="71">
        <f ca="1">(C12)+(E12-C12)*IF(RAND()&lt;((D12)-(C12))/((E12)-(C12)),SQRT(RAND()*((D12)-(C12))/((E12)-(C12))),1-SQRT(RAND()*((E12)-(D12))/((E12)-(C12))))</f>
        <v>0.16023775148438224</v>
      </c>
      <c r="H624" s="72">
        <f t="shared" ca="1" si="18"/>
        <v>246951169.59279841</v>
      </c>
      <c r="I624" s="73">
        <f t="shared" ca="1" si="19"/>
        <v>259.83011705233929</v>
      </c>
    </row>
    <row r="625" spans="1:9" ht="16.05" customHeight="1" x14ac:dyDescent="0.3">
      <c r="A625" s="66">
        <v>609</v>
      </c>
      <c r="B625" s="67">
        <f ca="1">(C7)+(E7-C7)*IF(RAND()&lt;((D7)-(C7))/((E7)-(C7)),SQRT(RAND()*((D7)-(C7))/((E7)-(C7))),1-SQRT(RAND()*((E7)-(D7))/((E7)-(C7))))</f>
        <v>0.16639358506765947</v>
      </c>
      <c r="C625" s="67">
        <f ca="1">(C8)+(E8-C8)*IF(RAND()&lt;((D8)-(C8))/((E8)-(C8)),SQRT(RAND()*((D8)-(C8))/((E8)-(C8))),1-SQRT(RAND()*((E8)-(D8))/((E8)-(C8))))</f>
        <v>0.61704795826893044</v>
      </c>
      <c r="D625" s="68">
        <f ca="1">(C9)+(E9-C9)*IF(RAND()&lt;((D9)-(C9))/((E9)-(C9)),SQRT(RAND()*((D9)-(C9))/((E9)-(C9))),1-SQRT(RAND()*((E9)-(D9))/((E9)-(C9))))</f>
        <v>1188299.4311129958</v>
      </c>
      <c r="E625" s="68">
        <f ca="1">(C10)+(E10-C10)*IF(RAND()&lt;((D10)-(C10))/((E10)-(C10)),SQRT(RAND()*((D10)-(C10))/((E10)-(C10))),1-SQRT(RAND()*((E10)-(D10))/((E10)-(C10))))</f>
        <v>3113357.7385850195</v>
      </c>
      <c r="F625" s="67">
        <f ca="1">(C11)+(E11-C11)*IF(RAND()&lt;((D11)-(C11))/((E11)-(C11)),SQRT(RAND()*((D11)-(C11))/((E11)-(C11))),1-SQRT(RAND()*((E11)-(D11))/((E11)-(C11))))</f>
        <v>1.9174198601247604E-2</v>
      </c>
      <c r="G625" s="67">
        <f ca="1">(C12)+(E12-C12)*IF(RAND()&lt;((D12)-(C12))/((E12)-(C12)),SQRT(RAND()*((D12)-(C12))/((E12)-(C12))),1-SQRT(RAND()*((E12)-(D12))/((E12)-(C12))))</f>
        <v>0.15252999095109951</v>
      </c>
      <c r="H625" s="68">
        <f t="shared" ca="1" si="18"/>
        <v>237105925.76074883</v>
      </c>
      <c r="I625" s="69">
        <f t="shared" ca="1" si="19"/>
        <v>264.50158372402416</v>
      </c>
    </row>
    <row r="626" spans="1:9" ht="16.05" customHeight="1" x14ac:dyDescent="0.3">
      <c r="A626" s="70">
        <v>610</v>
      </c>
      <c r="B626" s="71">
        <f ca="1">(C7)+(E7-C7)*IF(RAND()&lt;((D7)-(C7))/((E7)-(C7)),SQRT(RAND()*((D7)-(C7))/((E7)-(C7))),1-SQRT(RAND()*((E7)-(D7))/((E7)-(C7))))</f>
        <v>0.29781760283173886</v>
      </c>
      <c r="C626" s="71">
        <f ca="1">(C8)+(E8-C8)*IF(RAND()&lt;((D8)-(C8))/((E8)-(C8)),SQRT(RAND()*((D8)-(C8))/((E8)-(C8))),1-SQRT(RAND()*((E8)-(D8))/((E8)-(C8))))</f>
        <v>0.61867748166361147</v>
      </c>
      <c r="D626" s="72">
        <f ca="1">(C9)+(E9-C9)*IF(RAND()&lt;((D9)-(C9))/((E9)-(C9)),SQRT(RAND()*((D9)-(C9))/((E9)-(C9))),1-SQRT(RAND()*((E9)-(D9))/((E9)-(C9))))</f>
        <v>1290209.5033741663</v>
      </c>
      <c r="E626" s="72">
        <f ca="1">(C10)+(E10-C10)*IF(RAND()&lt;((D10)-(C10))/((E10)-(C10)),SQRT(RAND()*((D10)-(C10))/((E10)-(C10))),1-SQRT(RAND()*((E10)-(D10))/((E10)-(C10))))</f>
        <v>3907964.0892769014</v>
      </c>
      <c r="F626" s="71">
        <f ca="1">(C11)+(E11-C11)*IF(RAND()&lt;((D11)-(C11))/((E11)-(C11)),SQRT(RAND()*((D11)-(C11))/((E11)-(C11))),1-SQRT(RAND()*((E11)-(D11))/((E11)-(C11))))</f>
        <v>1.5624763021664182E-2</v>
      </c>
      <c r="G626" s="71">
        <f ca="1">(C12)+(E12-C12)*IF(RAND()&lt;((D12)-(C12))/((E12)-(C12)),SQRT(RAND()*((D12)-(C12))/((E12)-(C12))),1-SQRT(RAND()*((E12)-(D12))/((E12)-(C12))))</f>
        <v>0.15149093609868219</v>
      </c>
      <c r="H626" s="72">
        <f t="shared" ca="1" si="18"/>
        <v>297128896.86041397</v>
      </c>
      <c r="I626" s="73">
        <f t="shared" ca="1" si="19"/>
        <v>305.07529309740573</v>
      </c>
    </row>
    <row r="627" spans="1:9" ht="16.05" customHeight="1" x14ac:dyDescent="0.3">
      <c r="A627" s="66">
        <v>611</v>
      </c>
      <c r="B627" s="67">
        <f ca="1">(C7)+(E7-C7)*IF(RAND()&lt;((D7)-(C7))/((E7)-(C7)),SQRT(RAND()*((D7)-(C7))/((E7)-(C7))),1-SQRT(RAND()*((E7)-(D7))/((E7)-(C7))))</f>
        <v>0.2194838991372772</v>
      </c>
      <c r="C627" s="67">
        <f ca="1">(C8)+(E8-C8)*IF(RAND()&lt;((D8)-(C8))/((E8)-(C8)),SQRT(RAND()*((D8)-(C8))/((E8)-(C8))),1-SQRT(RAND()*((E8)-(D8))/((E8)-(C8))))</f>
        <v>0.71829996845608801</v>
      </c>
      <c r="D627" s="68">
        <f ca="1">(C9)+(E9-C9)*IF(RAND()&lt;((D9)-(C9))/((E9)-(C9)),SQRT(RAND()*((D9)-(C9))/((E9)-(C9))),1-SQRT(RAND()*((E9)-(D9))/((E9)-(C9))))</f>
        <v>1277151.6218128749</v>
      </c>
      <c r="E627" s="68">
        <f ca="1">(C10)+(E10-C10)*IF(RAND()&lt;((D10)-(C10))/((E10)-(C10)),SQRT(RAND()*((D10)-(C10))/((E10)-(C10))),1-SQRT(RAND()*((E10)-(D10))/((E10)-(C10))))</f>
        <v>2631793.1622616742</v>
      </c>
      <c r="F627" s="67">
        <f ca="1">(C11)+(E11-C11)*IF(RAND()&lt;((D11)-(C11))/((E11)-(C11)),SQRT(RAND()*((D11)-(C11))/((E11)-(C11))),1-SQRT(RAND()*((E11)-(D11))/((E11)-(C11))))</f>
        <v>6.5001715053125547E-3</v>
      </c>
      <c r="G627" s="67">
        <f ca="1">(C12)+(E12-C12)*IF(RAND()&lt;((D12)-(C12))/((E12)-(C12)),SQRT(RAND()*((D12)-(C12))/((E12)-(C12))),1-SQRT(RAND()*((E12)-(D12))/((E12)-(C12))))</f>
        <v>0.17738537790600958</v>
      </c>
      <c r="H627" s="68">
        <f t="shared" ca="1" si="18"/>
        <v>207184270.96079597</v>
      </c>
      <c r="I627" s="69">
        <f t="shared" ca="1" si="19"/>
        <v>215.29001404751872</v>
      </c>
    </row>
    <row r="628" spans="1:9" ht="16.05" customHeight="1" x14ac:dyDescent="0.3">
      <c r="A628" s="70">
        <v>612</v>
      </c>
      <c r="B628" s="71">
        <f ca="1">(C7)+(E7-C7)*IF(RAND()&lt;((D7)-(C7))/((E7)-(C7)),SQRT(RAND()*((D7)-(C7))/((E7)-(C7))),1-SQRT(RAND()*((E7)-(D7))/((E7)-(C7))))</f>
        <v>0.24930268074258127</v>
      </c>
      <c r="C628" s="71">
        <f ca="1">(C8)+(E8-C8)*IF(RAND()&lt;((D8)-(C8))/((E8)-(C8)),SQRT(RAND()*((D8)-(C8))/((E8)-(C8))),1-SQRT(RAND()*((E8)-(D8))/((E8)-(C8))))</f>
        <v>0.64150365912211371</v>
      </c>
      <c r="D628" s="72">
        <f ca="1">(C9)+(E9-C9)*IF(RAND()&lt;((D9)-(C9))/((E9)-(C9)),SQRT(RAND()*((D9)-(C9))/((E9)-(C9))),1-SQRT(RAND()*((E9)-(D9))/((E9)-(C9))))</f>
        <v>1282304.7492532635</v>
      </c>
      <c r="E628" s="72">
        <f ca="1">(C10)+(E10-C10)*IF(RAND()&lt;((D10)-(C10))/((E10)-(C10)),SQRT(RAND()*((D10)-(C10))/((E10)-(C10))),1-SQRT(RAND()*((E10)-(D10))/((E10)-(C10))))</f>
        <v>4046468.1483736495</v>
      </c>
      <c r="F628" s="71">
        <f ca="1">(C11)+(E11-C11)*IF(RAND()&lt;((D11)-(C11))/((E11)-(C11)),SQRT(RAND()*((D11)-(C11))/((E11)-(C11))),1-SQRT(RAND()*((E11)-(D11))/((E11)-(C11))))</f>
        <v>1.5492346831717855E-2</v>
      </c>
      <c r="G628" s="71">
        <f ca="1">(C12)+(E12-C12)*IF(RAND()&lt;((D12)-(C12))/((E12)-(C12)),SQRT(RAND()*((D12)-(C12))/((E12)-(C12))),1-SQRT(RAND()*((E12)-(D12))/((E12)-(C12))))</f>
        <v>0.10413267376497143</v>
      </c>
      <c r="H628" s="72">
        <f t="shared" ca="1" si="18"/>
        <v>269192087.26095539</v>
      </c>
      <c r="I628" s="73">
        <f t="shared" ca="1" si="19"/>
        <v>278.21180290150841</v>
      </c>
    </row>
    <row r="629" spans="1:9" ht="16.05" customHeight="1" x14ac:dyDescent="0.3">
      <c r="A629" s="66">
        <v>613</v>
      </c>
      <c r="B629" s="67">
        <f ca="1">(C7)+(E7-C7)*IF(RAND()&lt;((D7)-(C7))/((E7)-(C7)),SQRT(RAND()*((D7)-(C7))/((E7)-(C7))),1-SQRT(RAND()*((E7)-(D7))/((E7)-(C7))))</f>
        <v>0.24224141920267361</v>
      </c>
      <c r="C629" s="67">
        <f ca="1">(C8)+(E8-C8)*IF(RAND()&lt;((D8)-(C8))/((E8)-(C8)),SQRT(RAND()*((D8)-(C8))/((E8)-(C8))),1-SQRT(RAND()*((E8)-(D8))/((E8)-(C8))))</f>
        <v>0.53906914771938252</v>
      </c>
      <c r="D629" s="68">
        <f ca="1">(C9)+(E9-C9)*IF(RAND()&lt;((D9)-(C9))/((E9)-(C9)),SQRT(RAND()*((D9)-(C9))/((E9)-(C9))),1-SQRT(RAND()*((E9)-(D9))/((E9)-(C9))))</f>
        <v>1319848.1707971545</v>
      </c>
      <c r="E629" s="68">
        <f ca="1">(C10)+(E10-C10)*IF(RAND()&lt;((D10)-(C10))/((E10)-(C10)),SQRT(RAND()*((D10)-(C10))/((E10)-(C10))),1-SQRT(RAND()*((E10)-(D10))/((E10)-(C10))))</f>
        <v>4505733.7074491456</v>
      </c>
      <c r="F629" s="67">
        <f ca="1">(C11)+(E11-C11)*IF(RAND()&lt;((D11)-(C11))/((E11)-(C11)),SQRT(RAND()*((D11)-(C11))/((E11)-(C11))),1-SQRT(RAND()*((E11)-(D11))/((E11)-(C11))))</f>
        <v>8.8388653092541184E-3</v>
      </c>
      <c r="G629" s="67">
        <f ca="1">(C12)+(E12-C12)*IF(RAND()&lt;((D12)-(C12))/((E12)-(C12)),SQRT(RAND()*((D12)-(C12))/((E12)-(C12))),1-SQRT(RAND()*((E12)-(D12))/((E12)-(C12))))</f>
        <v>0.13906223448144595</v>
      </c>
      <c r="H629" s="68">
        <f t="shared" ca="1" si="18"/>
        <v>187466356.0371221</v>
      </c>
      <c r="I629" s="69">
        <f t="shared" ca="1" si="19"/>
        <v>188.66308330287984</v>
      </c>
    </row>
    <row r="630" spans="1:9" ht="16.05" customHeight="1" x14ac:dyDescent="0.3">
      <c r="A630" s="70">
        <v>614</v>
      </c>
      <c r="B630" s="71">
        <f ca="1">(C7)+(E7-C7)*IF(RAND()&lt;((D7)-(C7))/((E7)-(C7)),SQRT(RAND()*((D7)-(C7))/((E7)-(C7))),1-SQRT(RAND()*((E7)-(D7))/((E7)-(C7))))</f>
        <v>0.32363621613732374</v>
      </c>
      <c r="C630" s="71">
        <f ca="1">(C8)+(E8-C8)*IF(RAND()&lt;((D8)-(C8))/((E8)-(C8)),SQRT(RAND()*((D8)-(C8))/((E8)-(C8))),1-SQRT(RAND()*((E8)-(D8))/((E8)-(C8))))</f>
        <v>0.74243687383159584</v>
      </c>
      <c r="D630" s="72">
        <f ca="1">(C9)+(E9-C9)*IF(RAND()&lt;((D9)-(C9))/((E9)-(C9)),SQRT(RAND()*((D9)-(C9))/((E9)-(C9))),1-SQRT(RAND()*((E9)-(D9))/((E9)-(C9))))</f>
        <v>1168362.8627690391</v>
      </c>
      <c r="E630" s="72">
        <f ca="1">(C10)+(E10-C10)*IF(RAND()&lt;((D10)-(C10))/((E10)-(C10)),SQRT(RAND()*((D10)-(C10))/((E10)-(C10))),1-SQRT(RAND()*((E10)-(D10))/((E10)-(C10))))</f>
        <v>3051021.3519060174</v>
      </c>
      <c r="F630" s="71">
        <f ca="1">(C11)+(E11-C11)*IF(RAND()&lt;((D11)-(C11))/((E11)-(C11)),SQRT(RAND()*((D11)-(C11))/((E11)-(C11))),1-SQRT(RAND()*((E11)-(D11))/((E11)-(C11))))</f>
        <v>1.4524424609474755E-2</v>
      </c>
      <c r="G630" s="71">
        <f ca="1">(C12)+(E12-C12)*IF(RAND()&lt;((D12)-(C12))/((E12)-(C12)),SQRT(RAND()*((D12)-(C12))/((E12)-(C12))),1-SQRT(RAND()*((E12)-(D12))/((E12)-(C12))))</f>
        <v>0.16355713571964675</v>
      </c>
      <c r="H630" s="72">
        <f t="shared" ca="1" si="18"/>
        <v>353511628.7943849</v>
      </c>
      <c r="I630" s="73">
        <f t="shared" ca="1" si="19"/>
        <v>400.40509360983538</v>
      </c>
    </row>
    <row r="631" spans="1:9" ht="16.05" customHeight="1" x14ac:dyDescent="0.3">
      <c r="A631" s="66">
        <v>615</v>
      </c>
      <c r="B631" s="67">
        <f ca="1">(C7)+(E7-C7)*IF(RAND()&lt;((D7)-(C7))/((E7)-(C7)),SQRT(RAND()*((D7)-(C7))/((E7)-(C7))),1-SQRT(RAND()*((E7)-(D7))/((E7)-(C7))))</f>
        <v>0.32617982067786899</v>
      </c>
      <c r="C631" s="67">
        <f ca="1">(C8)+(E8-C8)*IF(RAND()&lt;((D8)-(C8))/((E8)-(C8)),SQRT(RAND()*((D8)-(C8))/((E8)-(C8))),1-SQRT(RAND()*((E8)-(D8))/((E8)-(C8))))</f>
        <v>0.5858426038532103</v>
      </c>
      <c r="D631" s="68">
        <f ca="1">(C9)+(E9-C9)*IF(RAND()&lt;((D9)-(C9))/((E9)-(C9)),SQRT(RAND()*((D9)-(C9))/((E9)-(C9))),1-SQRT(RAND()*((E9)-(D9))/((E9)-(C9))))</f>
        <v>1175413.3312230874</v>
      </c>
      <c r="E631" s="68">
        <f ca="1">(C10)+(E10-C10)*IF(RAND()&lt;((D10)-(C10))/((E10)-(C10)),SQRT(RAND()*((D10)-(C10))/((E10)-(C10))),1-SQRT(RAND()*((E10)-(D10))/((E10)-(C10))))</f>
        <v>2227101.2267241431</v>
      </c>
      <c r="F631" s="67">
        <f ca="1">(C11)+(E11-C11)*IF(RAND()&lt;((D11)-(C11))/((E11)-(C11)),SQRT(RAND()*((D11)-(C11))/((E11)-(C11))),1-SQRT(RAND()*((E11)-(D11))/((E11)-(C11))))</f>
        <v>2.3734202174697398E-2</v>
      </c>
      <c r="G631" s="67">
        <f ca="1">(C12)+(E12-C12)*IF(RAND()&lt;((D12)-(C12))/((E12)-(C12)),SQRT(RAND()*((D12)-(C12))/((E12)-(C12))),1-SQRT(RAND()*((E12)-(D12))/((E12)-(C12))))</f>
        <v>0.1487603176692916</v>
      </c>
      <c r="H631" s="68">
        <f t="shared" ca="1" si="18"/>
        <v>369584988.16773963</v>
      </c>
      <c r="I631" s="69">
        <f t="shared" ca="1" si="19"/>
        <v>416.04794371398719</v>
      </c>
    </row>
    <row r="632" spans="1:9" ht="16.05" customHeight="1" x14ac:dyDescent="0.3">
      <c r="A632" s="70">
        <v>616</v>
      </c>
      <c r="B632" s="71">
        <f ca="1">(C7)+(E7-C7)*IF(RAND()&lt;((D7)-(C7))/((E7)-(C7)),SQRT(RAND()*((D7)-(C7))/((E7)-(C7))),1-SQRT(RAND()*((E7)-(D7))/((E7)-(C7))))</f>
        <v>0.30050235962528582</v>
      </c>
      <c r="C632" s="71">
        <f ca="1">(C8)+(E8-C8)*IF(RAND()&lt;((D8)-(C8))/((E8)-(C8)),SQRT(RAND()*((D8)-(C8))/((E8)-(C8))),1-SQRT(RAND()*((E8)-(D8))/((E8)-(C8))))</f>
        <v>0.56717988490626148</v>
      </c>
      <c r="D632" s="72">
        <f ca="1">(C9)+(E9-C9)*IF(RAND()&lt;((D9)-(C9))/((E9)-(C9)),SQRT(RAND()*((D9)-(C9))/((E9)-(C9))),1-SQRT(RAND()*((E9)-(D9))/((E9)-(C9))))</f>
        <v>1261794.6037524219</v>
      </c>
      <c r="E632" s="72">
        <f ca="1">(C10)+(E10-C10)*IF(RAND()&lt;((D10)-(C10))/((E10)-(C10)),SQRT(RAND()*((D10)-(C10))/((E10)-(C10))),1-SQRT(RAND()*((E10)-(D10))/((E10)-(C10))))</f>
        <v>3274660.9178507267</v>
      </c>
      <c r="F632" s="71">
        <f ca="1">(C11)+(E11-C11)*IF(RAND()&lt;((D11)-(C11))/((E11)-(C11)),SQRT(RAND()*((D11)-(C11))/((E11)-(C11))),1-SQRT(RAND()*((E11)-(D11))/((E11)-(C11))))</f>
        <v>1.4568449841967812E-2</v>
      </c>
      <c r="G632" s="71">
        <f ca="1">(C12)+(E12-C12)*IF(RAND()&lt;((D12)-(C12))/((E12)-(C12)),SQRT(RAND()*((D12)-(C12))/((E12)-(C12))),1-SQRT(RAND()*((E12)-(D12))/((E12)-(C12))))</f>
        <v>0.14850808706076807</v>
      </c>
      <c r="H632" s="72">
        <f t="shared" ca="1" si="18"/>
        <v>276904736.27205825</v>
      </c>
      <c r="I632" s="73">
        <f t="shared" ca="1" si="19"/>
        <v>290.77486093311302</v>
      </c>
    </row>
    <row r="633" spans="1:9" ht="16.05" customHeight="1" x14ac:dyDescent="0.3">
      <c r="A633" s="66">
        <v>617</v>
      </c>
      <c r="B633" s="67">
        <f ca="1">(C7)+(E7-C7)*IF(RAND()&lt;((D7)-(C7))/((E7)-(C7)),SQRT(RAND()*((D7)-(C7))/((E7)-(C7))),1-SQRT(RAND()*((E7)-(D7))/((E7)-(C7))))</f>
        <v>0.2251791286924677</v>
      </c>
      <c r="C633" s="67">
        <f ca="1">(C8)+(E8-C8)*IF(RAND()&lt;((D8)-(C8))/((E8)-(C8)),SQRT(RAND()*((D8)-(C8))/((E8)-(C8))),1-SQRT(RAND()*((E8)-(D8))/((E8)-(C8))))</f>
        <v>0.69826148963947698</v>
      </c>
      <c r="D633" s="68">
        <f ca="1">(C9)+(E9-C9)*IF(RAND()&lt;((D9)-(C9))/((E9)-(C9)),SQRT(RAND()*((D9)-(C9))/((E9)-(C9))),1-SQRT(RAND()*((E9)-(D9))/((E9)-(C9))))</f>
        <v>1341548.0400659549</v>
      </c>
      <c r="E633" s="68">
        <f ca="1">(C10)+(E10-C10)*IF(RAND()&lt;((D10)-(C10))/((E10)-(C10)),SQRT(RAND()*((D10)-(C10))/((E10)-(C10))),1-SQRT(RAND()*((E10)-(D10))/((E10)-(C10))))</f>
        <v>3233105.4009097228</v>
      </c>
      <c r="F633" s="67">
        <f ca="1">(C11)+(E11-C11)*IF(RAND()&lt;((D11)-(C11))/((E11)-(C11)),SQRT(RAND()*((D11)-(C11))/((E11)-(C11))),1-SQRT(RAND()*((E11)-(D11))/((E11)-(C11))))</f>
        <v>2.295435186309246E-2</v>
      </c>
      <c r="G633" s="67">
        <f ca="1">(C12)+(E12-C12)*IF(RAND()&lt;((D12)-(C12))/((E12)-(C12)),SQRT(RAND()*((D12)-(C12))/((E12)-(C12))),1-SQRT(RAND()*((E12)-(D12))/((E12)-(C12))))</f>
        <v>0.16432455041467872</v>
      </c>
      <c r="H633" s="68">
        <f t="shared" ca="1" si="18"/>
        <v>323142649.30563229</v>
      </c>
      <c r="I633" s="69">
        <f t="shared" ca="1" si="19"/>
        <v>319.0273894824216</v>
      </c>
    </row>
    <row r="634" spans="1:9" ht="16.05" customHeight="1" x14ac:dyDescent="0.3">
      <c r="A634" s="70">
        <v>618</v>
      </c>
      <c r="B634" s="71">
        <f ca="1">(C7)+(E7-C7)*IF(RAND()&lt;((D7)-(C7))/((E7)-(C7)),SQRT(RAND()*((D7)-(C7))/((E7)-(C7))),1-SQRT(RAND()*((E7)-(D7))/((E7)-(C7))))</f>
        <v>0.32364358477696897</v>
      </c>
      <c r="C634" s="71">
        <f ca="1">(C8)+(E8-C8)*IF(RAND()&lt;((D8)-(C8))/((E8)-(C8)),SQRT(RAND()*((D8)-(C8))/((E8)-(C8))),1-SQRT(RAND()*((E8)-(D8))/((E8)-(C8))))</f>
        <v>0.73504871015900508</v>
      </c>
      <c r="D634" s="72">
        <f ca="1">(C9)+(E9-C9)*IF(RAND()&lt;((D9)-(C9))/((E9)-(C9)),SQRT(RAND()*((D9)-(C9))/((E9)-(C9))),1-SQRT(RAND()*((E9)-(D9))/((E9)-(C9))))</f>
        <v>1352382.1074952632</v>
      </c>
      <c r="E634" s="72">
        <f ca="1">(C10)+(E10-C10)*IF(RAND()&lt;((D10)-(C10))/((E10)-(C10)),SQRT(RAND()*((D10)-(C10))/((E10)-(C10))),1-SQRT(RAND()*((E10)-(D10))/((E10)-(C10))))</f>
        <v>4093786.5880059693</v>
      </c>
      <c r="F634" s="71">
        <f ca="1">(C11)+(E11-C11)*IF(RAND()&lt;((D11)-(C11))/((E11)-(C11)),SQRT(RAND()*((D11)-(C11))/((E11)-(C11))),1-SQRT(RAND()*((E11)-(D11))/((E11)-(C11))))</f>
        <v>1.0421553083947752E-2</v>
      </c>
      <c r="G634" s="71">
        <f ca="1">(C12)+(E12-C12)*IF(RAND()&lt;((D12)-(C12))/((E12)-(C12)),SQRT(RAND()*((D12)-(C12))/((E12)-(C12))),1-SQRT(RAND()*((E12)-(D12))/((E12)-(C12))))</f>
        <v>0.14516202703011283</v>
      </c>
      <c r="H634" s="72">
        <f t="shared" ca="1" si="18"/>
        <v>317166091.60617965</v>
      </c>
      <c r="I634" s="73">
        <f t="shared" ca="1" si="19"/>
        <v>310.65321881504195</v>
      </c>
    </row>
    <row r="635" spans="1:9" ht="16.05" customHeight="1" x14ac:dyDescent="0.3">
      <c r="A635" s="66">
        <v>619</v>
      </c>
      <c r="B635" s="67">
        <f ca="1">(C7)+(E7-C7)*IF(RAND()&lt;((D7)-(C7))/((E7)-(C7)),SQRT(RAND()*((D7)-(C7))/((E7)-(C7))),1-SQRT(RAND()*((E7)-(D7))/((E7)-(C7))))</f>
        <v>0.23614296138037355</v>
      </c>
      <c r="C635" s="67">
        <f ca="1">(C8)+(E8-C8)*IF(RAND()&lt;((D8)-(C8))/((E8)-(C8)),SQRT(RAND()*((D8)-(C8))/((E8)-(C8))),1-SQRT(RAND()*((E8)-(D8))/((E8)-(C8))))</f>
        <v>0.79132562600292933</v>
      </c>
      <c r="D635" s="68">
        <f ca="1">(C9)+(E9-C9)*IF(RAND()&lt;((D9)-(C9))/((E9)-(C9)),SQRT(RAND()*((D9)-(C9))/((E9)-(C9))),1-SQRT(RAND()*((E9)-(D9))/((E9)-(C9))))</f>
        <v>1183503.7595248758</v>
      </c>
      <c r="E635" s="68">
        <f ca="1">(C10)+(E10-C10)*IF(RAND()&lt;((D10)-(C10))/((E10)-(C10)),SQRT(RAND()*((D10)-(C10))/((E10)-(C10))),1-SQRT(RAND()*((E10)-(D10))/((E10)-(C10))))</f>
        <v>4509861.3180602957</v>
      </c>
      <c r="F635" s="67">
        <f ca="1">(C11)+(E11-C11)*IF(RAND()&lt;((D11)-(C11))/((E11)-(C11)),SQRT(RAND()*((D11)-(C11))/((E11)-(C11))),1-SQRT(RAND()*((E11)-(D11))/((E11)-(C11))))</f>
        <v>6.8903389454319447E-3</v>
      </c>
      <c r="G635" s="67">
        <f ca="1">(C12)+(E12-C12)*IF(RAND()&lt;((D12)-(C12))/((E12)-(C12)),SQRT(RAND()*((D12)-(C12))/((E12)-(C12))),1-SQRT(RAND()*((E12)-(D12))/((E12)-(C12))))</f>
        <v>0.15839739578206211</v>
      </c>
      <c r="H635" s="68">
        <f t="shared" ca="1" si="18"/>
        <v>234754607.44251433</v>
      </c>
      <c r="I635" s="69">
        <f t="shared" ca="1" si="19"/>
        <v>262.94753547532014</v>
      </c>
    </row>
    <row r="636" spans="1:9" ht="16.05" customHeight="1" x14ac:dyDescent="0.3">
      <c r="A636" s="70">
        <v>620</v>
      </c>
      <c r="B636" s="71">
        <f ca="1">(C7)+(E7-C7)*IF(RAND()&lt;((D7)-(C7))/((E7)-(C7)),SQRT(RAND()*((D7)-(C7))/((E7)-(C7))),1-SQRT(RAND()*((E7)-(D7))/((E7)-(C7))))</f>
        <v>0.27035081640116332</v>
      </c>
      <c r="C636" s="71">
        <f ca="1">(C8)+(E8-C8)*IF(RAND()&lt;((D8)-(C8))/((E8)-(C8)),SQRT(RAND()*((D8)-(C8))/((E8)-(C8))),1-SQRT(RAND()*((E8)-(D8))/((E8)-(C8))))</f>
        <v>0.64122096111263538</v>
      </c>
      <c r="D636" s="72">
        <f ca="1">(C9)+(E9-C9)*IF(RAND()&lt;((D9)-(C9))/((E9)-(C9)),SQRT(RAND()*((D9)-(C9))/((E9)-(C9))),1-SQRT(RAND()*((E9)-(D9))/((E9)-(C9))))</f>
        <v>1205771.1502835115</v>
      </c>
      <c r="E636" s="72">
        <f ca="1">(C10)+(E10-C10)*IF(RAND()&lt;((D10)-(C10))/((E10)-(C10)),SQRT(RAND()*((D10)-(C10))/((E10)-(C10))),1-SQRT(RAND()*((E10)-(D10))/((E10)-(C10))))</f>
        <v>2975391.1227244632</v>
      </c>
      <c r="F636" s="71">
        <f ca="1">(C11)+(E11-C11)*IF(RAND()&lt;((D11)-(C11))/((E11)-(C11)),SQRT(RAND()*((D11)-(C11))/((E11)-(C11))),1-SQRT(RAND()*((E11)-(D11))/((E11)-(C11))))</f>
        <v>1.5477432759020339E-2</v>
      </c>
      <c r="G636" s="71">
        <f ca="1">(C12)+(E12-C12)*IF(RAND()&lt;((D12)-(C12))/((E12)-(C12)),SQRT(RAND()*((D12)-(C12))/((E12)-(C12))),1-SQRT(RAND()*((E12)-(D12))/((E12)-(C12))))</f>
        <v>0.1534190493201269</v>
      </c>
      <c r="H636" s="72">
        <f t="shared" ca="1" si="18"/>
        <v>287828126.31359446</v>
      </c>
      <c r="I636" s="73">
        <f t="shared" ca="1" si="19"/>
        <v>316.17282432628275</v>
      </c>
    </row>
    <row r="637" spans="1:9" ht="16.05" customHeight="1" x14ac:dyDescent="0.3">
      <c r="A637" s="66">
        <v>621</v>
      </c>
      <c r="B637" s="67">
        <f ca="1">(C7)+(E7-C7)*IF(RAND()&lt;((D7)-(C7))/((E7)-(C7)),SQRT(RAND()*((D7)-(C7))/((E7)-(C7))),1-SQRT(RAND()*((E7)-(D7))/((E7)-(C7))))</f>
        <v>0.25419514620355227</v>
      </c>
      <c r="C637" s="67">
        <f ca="1">(C8)+(E8-C8)*IF(RAND()&lt;((D8)-(C8))/((E8)-(C8)),SQRT(RAND()*((D8)-(C8))/((E8)-(C8))),1-SQRT(RAND()*((E8)-(D8))/((E8)-(C8))))</f>
        <v>0.73062529220875339</v>
      </c>
      <c r="D637" s="68">
        <f ca="1">(C9)+(E9-C9)*IF(RAND()&lt;((D9)-(C9))/((E9)-(C9)),SQRT(RAND()*((D9)-(C9))/((E9)-(C9))),1-SQRT(RAND()*((E9)-(D9))/((E9)-(C9))))</f>
        <v>1204621.1833748836</v>
      </c>
      <c r="E637" s="68">
        <f ca="1">(C10)+(E10-C10)*IF(RAND()&lt;((D10)-(C10))/((E10)-(C10)),SQRT(RAND()*((D10)-(C10))/((E10)-(C10))),1-SQRT(RAND()*((E10)-(D10))/((E10)-(C10))))</f>
        <v>4285471.9230339983</v>
      </c>
      <c r="F637" s="67">
        <f ca="1">(C11)+(E11-C11)*IF(RAND()&lt;((D11)-(C11))/((E11)-(C11)),SQRT(RAND()*((D11)-(C11))/((E11)-(C11))),1-SQRT(RAND()*((E11)-(D11))/((E11)-(C11))))</f>
        <v>1.477540783653577E-2</v>
      </c>
      <c r="G637" s="67">
        <f ca="1">(C12)+(E12-C12)*IF(RAND()&lt;((D12)-(C12))/((E12)-(C12)),SQRT(RAND()*((D12)-(C12))/((E12)-(C12))),1-SQRT(RAND()*((E12)-(D12))/((E12)-(C12))))</f>
        <v>0.19107238838187457</v>
      </c>
      <c r="H637" s="68">
        <f t="shared" ca="1" si="18"/>
        <v>291250587.32945347</v>
      </c>
      <c r="I637" s="69">
        <f t="shared" ca="1" si="19"/>
        <v>320.22078108756341</v>
      </c>
    </row>
    <row r="638" spans="1:9" ht="16.05" customHeight="1" x14ac:dyDescent="0.3">
      <c r="A638" s="70">
        <v>622</v>
      </c>
      <c r="B638" s="71">
        <f ca="1">(C7)+(E7-C7)*IF(RAND()&lt;((D7)-(C7))/((E7)-(C7)),SQRT(RAND()*((D7)-(C7))/((E7)-(C7))),1-SQRT(RAND()*((E7)-(D7))/((E7)-(C7))))</f>
        <v>0.30226990330532977</v>
      </c>
      <c r="C638" s="71">
        <f ca="1">(C8)+(E8-C8)*IF(RAND()&lt;((D8)-(C8))/((E8)-(C8)),SQRT(RAND()*((D8)-(C8))/((E8)-(C8))),1-SQRT(RAND()*((E8)-(D8))/((E8)-(C8))))</f>
        <v>0.63781470895045356</v>
      </c>
      <c r="D638" s="72">
        <f ca="1">(C9)+(E9-C9)*IF(RAND()&lt;((D9)-(C9))/((E9)-(C9)),SQRT(RAND()*((D9)-(C9))/((E9)-(C9))),1-SQRT(RAND()*((E9)-(D9))/((E9)-(C9))))</f>
        <v>1378647.3053677857</v>
      </c>
      <c r="E638" s="72">
        <f ca="1">(C10)+(E10-C10)*IF(RAND()&lt;((D10)-(C10))/((E10)-(C10)),SQRT(RAND()*((D10)-(C10))/((E10)-(C10))),1-SQRT(RAND()*((E10)-(D10))/((E10)-(C10))))</f>
        <v>5103395.8170491038</v>
      </c>
      <c r="F638" s="71">
        <f ca="1">(C11)+(E11-C11)*IF(RAND()&lt;((D11)-(C11))/((E11)-(C11)),SQRT(RAND()*((D11)-(C11))/((E11)-(C11))),1-SQRT(RAND()*((E11)-(D11))/((E11)-(C11))))</f>
        <v>5.5650770744253798E-3</v>
      </c>
      <c r="G638" s="71">
        <f ca="1">(C12)+(E12-C12)*IF(RAND()&lt;((D12)-(C12))/((E12)-(C12)),SQRT(RAND()*((D12)-(C12))/((E12)-(C12))),1-SQRT(RAND()*((E12)-(D12))/((E12)-(C12))))</f>
        <v>0.18029289434936868</v>
      </c>
      <c r="H638" s="72">
        <f t="shared" ca="1" si="18"/>
        <v>229191672.7543543</v>
      </c>
      <c r="I638" s="73">
        <f t="shared" ca="1" si="19"/>
        <v>220.592566862366</v>
      </c>
    </row>
    <row r="639" spans="1:9" ht="16.05" customHeight="1" x14ac:dyDescent="0.3">
      <c r="A639" s="66">
        <v>623</v>
      </c>
      <c r="B639" s="67">
        <f ca="1">(C7)+(E7-C7)*IF(RAND()&lt;((D7)-(C7))/((E7)-(C7)),SQRT(RAND()*((D7)-(C7))/((E7)-(C7))),1-SQRT(RAND()*((E7)-(D7))/((E7)-(C7))))</f>
        <v>0.25746914958005596</v>
      </c>
      <c r="C639" s="67">
        <f ca="1">(C8)+(E8-C8)*IF(RAND()&lt;((D8)-(C8))/((E8)-(C8)),SQRT(RAND()*((D8)-(C8))/((E8)-(C8))),1-SQRT(RAND()*((E8)-(D8))/((E8)-(C8))))</f>
        <v>0.76051262571522948</v>
      </c>
      <c r="D639" s="68">
        <f ca="1">(C9)+(E9-C9)*IF(RAND()&lt;((D9)-(C9))/((E9)-(C9)),SQRT(RAND()*((D9)-(C9))/((E9)-(C9))),1-SQRT(RAND()*((E9)-(D9))/((E9)-(C9))))</f>
        <v>1335433.0996707149</v>
      </c>
      <c r="E639" s="68">
        <f ca="1">(C10)+(E10-C10)*IF(RAND()&lt;((D10)-(C10))/((E10)-(C10)),SQRT(RAND()*((D10)-(C10))/((E10)-(C10))),1-SQRT(RAND()*((E10)-(D10))/((E10)-(C10))))</f>
        <v>2668735.8236719342</v>
      </c>
      <c r="F639" s="67">
        <f ca="1">(C11)+(E11-C11)*IF(RAND()&lt;((D11)-(C11))/((E11)-(C11)),SQRT(RAND()*((D11)-(C11))/((E11)-(C11))),1-SQRT(RAND()*((E11)-(D11))/((E11)-(C11))))</f>
        <v>1.290955398423653E-2</v>
      </c>
      <c r="G639" s="67">
        <f ca="1">(C12)+(E12-C12)*IF(RAND()&lt;((D12)-(C12))/((E12)-(C12)),SQRT(RAND()*((D12)-(C12))/((E12)-(C12))),1-SQRT(RAND()*((E12)-(D12))/((E12)-(C12))))</f>
        <v>0.15639184992664498</v>
      </c>
      <c r="H639" s="68">
        <f t="shared" ca="1" si="18"/>
        <v>294755740.38877463</v>
      </c>
      <c r="I639" s="69">
        <f t="shared" ca="1" si="19"/>
        <v>292.44484681063869</v>
      </c>
    </row>
    <row r="640" spans="1:9" ht="16.05" customHeight="1" x14ac:dyDescent="0.3">
      <c r="A640" s="70">
        <v>624</v>
      </c>
      <c r="B640" s="71">
        <f ca="1">(C7)+(E7-C7)*IF(RAND()&lt;((D7)-(C7))/((E7)-(C7)),SQRT(RAND()*((D7)-(C7))/((E7)-(C7))),1-SQRT(RAND()*((E7)-(D7))/((E7)-(C7))))</f>
        <v>0.26529512196182903</v>
      </c>
      <c r="C640" s="71">
        <f ca="1">(C8)+(E8-C8)*IF(RAND()&lt;((D8)-(C8))/((E8)-(C8)),SQRT(RAND()*((D8)-(C8))/((E8)-(C8))),1-SQRT(RAND()*((E8)-(D8))/((E8)-(C8))))</f>
        <v>0.80596818237573842</v>
      </c>
      <c r="D640" s="72">
        <f ca="1">(C9)+(E9-C9)*IF(RAND()&lt;((D9)-(C9))/((E9)-(C9)),SQRT(RAND()*((D9)-(C9))/((E9)-(C9))),1-SQRT(RAND()*((E9)-(D9))/((E9)-(C9))))</f>
        <v>1222809.5172711592</v>
      </c>
      <c r="E640" s="72">
        <f ca="1">(C10)+(E10-C10)*IF(RAND()&lt;((D10)-(C10))/((E10)-(C10)),SQRT(RAND()*((D10)-(C10))/((E10)-(C10))),1-SQRT(RAND()*((E10)-(D10))/((E10)-(C10))))</f>
        <v>3518205.2656347114</v>
      </c>
      <c r="F640" s="71">
        <f ca="1">(C11)+(E11-C11)*IF(RAND()&lt;((D11)-(C11))/((E11)-(C11)),SQRT(RAND()*((D11)-(C11))/((E11)-(C11))),1-SQRT(RAND()*((E11)-(D11))/((E11)-(C11))))</f>
        <v>4.7662411914037462E-3</v>
      </c>
      <c r="G640" s="71">
        <f ca="1">(C12)+(E12-C12)*IF(RAND()&lt;((D12)-(C12))/((E12)-(C12)),SQRT(RAND()*((D12)-(C12))/((E12)-(C12))),1-SQRT(RAND()*((E12)-(D12))/((E12)-(C12))))</f>
        <v>0.12807892218872402</v>
      </c>
      <c r="H640" s="72">
        <f t="shared" ca="1" si="18"/>
        <v>252467610.03968176</v>
      </c>
      <c r="I640" s="73">
        <f t="shared" ca="1" si="19"/>
        <v>273.64398393885716</v>
      </c>
    </row>
    <row r="641" spans="1:9" ht="16.05" customHeight="1" x14ac:dyDescent="0.3">
      <c r="A641" s="66">
        <v>625</v>
      </c>
      <c r="B641" s="67">
        <f ca="1">(C7)+(E7-C7)*IF(RAND()&lt;((D7)-(C7))/((E7)-(C7)),SQRT(RAND()*((D7)-(C7))/((E7)-(C7))),1-SQRT(RAND()*((E7)-(D7))/((E7)-(C7))))</f>
        <v>0.31316815680944121</v>
      </c>
      <c r="C641" s="67">
        <f ca="1">(C8)+(E8-C8)*IF(RAND()&lt;((D8)-(C8))/((E8)-(C8)),SQRT(RAND()*((D8)-(C8))/((E8)-(C8))),1-SQRT(RAND()*((E8)-(D8))/((E8)-(C8))))</f>
        <v>0.63432568386009514</v>
      </c>
      <c r="D641" s="68">
        <f ca="1">(C9)+(E9-C9)*IF(RAND()&lt;((D9)-(C9))/((E9)-(C9)),SQRT(RAND()*((D9)-(C9))/((E9)-(C9))),1-SQRT(RAND()*((E9)-(D9))/((E9)-(C9))))</f>
        <v>1342662.6956993821</v>
      </c>
      <c r="E641" s="68">
        <f ca="1">(C10)+(E10-C10)*IF(RAND()&lt;((D10)-(C10))/((E10)-(C10)),SQRT(RAND()*((D10)-(C10))/((E10)-(C10))),1-SQRT(RAND()*((E10)-(D10))/((E10)-(C10))))</f>
        <v>4114873.9859093348</v>
      </c>
      <c r="F641" s="67">
        <f ca="1">(C11)+(E11-C11)*IF(RAND()&lt;((D11)-(C11))/((E11)-(C11)),SQRT(RAND()*((D11)-(C11))/((E11)-(C11))),1-SQRT(RAND()*((E11)-(D11))/((E11)-(C11))))</f>
        <v>7.1123341870371424E-3</v>
      </c>
      <c r="G641" s="67">
        <f ca="1">(C12)+(E12-C12)*IF(RAND()&lt;((D12)-(C12))/((E12)-(C12)),SQRT(RAND()*((D12)-(C12))/((E12)-(C12))),1-SQRT(RAND()*((E12)-(D12))/((E12)-(C12))))</f>
        <v>0.19759988815454116</v>
      </c>
      <c r="H641" s="68">
        <f t="shared" ca="1" si="18"/>
        <v>250516201.94335797</v>
      </c>
      <c r="I641" s="69">
        <f t="shared" ca="1" si="19"/>
        <v>247.417814691724</v>
      </c>
    </row>
    <row r="642" spans="1:9" ht="16.05" customHeight="1" x14ac:dyDescent="0.3">
      <c r="A642" s="70">
        <v>626</v>
      </c>
      <c r="B642" s="71">
        <f ca="1">(C7)+(E7-C7)*IF(RAND()&lt;((D7)-(C7))/((E7)-(C7)),SQRT(RAND()*((D7)-(C7))/((E7)-(C7))),1-SQRT(RAND()*((E7)-(D7))/((E7)-(C7))))</f>
        <v>0.28038714122926822</v>
      </c>
      <c r="C642" s="71">
        <f ca="1">(C8)+(E8-C8)*IF(RAND()&lt;((D8)-(C8))/((E8)-(C8)),SQRT(RAND()*((D8)-(C8))/((E8)-(C8))),1-SQRT(RAND()*((E8)-(D8))/((E8)-(C8))))</f>
        <v>0.58654691410203197</v>
      </c>
      <c r="D642" s="72">
        <f ca="1">(C9)+(E9-C9)*IF(RAND()&lt;((D9)-(C9))/((E9)-(C9)),SQRT(RAND()*((D9)-(C9))/((E9)-(C9))),1-SQRT(RAND()*((E9)-(D9))/((E9)-(C9))))</f>
        <v>1115957.0489759564</v>
      </c>
      <c r="E642" s="72">
        <f ca="1">(C10)+(E10-C10)*IF(RAND()&lt;((D10)-(C10))/((E10)-(C10)),SQRT(RAND()*((D10)-(C10))/((E10)-(C10))),1-SQRT(RAND()*((E10)-(D10))/((E10)-(C10))))</f>
        <v>3389581.7874972387</v>
      </c>
      <c r="F642" s="71">
        <f ca="1">(C11)+(E11-C11)*IF(RAND()&lt;((D11)-(C11))/((E11)-(C11)),SQRT(RAND()*((D11)-(C11))/((E11)-(C11))),1-SQRT(RAND()*((E11)-(D11))/((E11)-(C11))))</f>
        <v>7.7984492295832429E-3</v>
      </c>
      <c r="G642" s="71">
        <f ca="1">(C12)+(E12-C12)*IF(RAND()&lt;((D12)-(C12))/((E12)-(C12)),SQRT(RAND()*((D12)-(C12))/((E12)-(C12))),1-SQRT(RAND()*((E12)-(D12))/((E12)-(C12))))</f>
        <v>0.16271776702034563</v>
      </c>
      <c r="H642" s="72">
        <f t="shared" ca="1" si="18"/>
        <v>221246843.15570349</v>
      </c>
      <c r="I642" s="73">
        <f t="shared" ca="1" si="19"/>
        <v>262.81811907674734</v>
      </c>
    </row>
    <row r="643" spans="1:9" ht="16.05" customHeight="1" x14ac:dyDescent="0.3">
      <c r="A643" s="66">
        <v>627</v>
      </c>
      <c r="B643" s="67">
        <f ca="1">(C7)+(E7-C7)*IF(RAND()&lt;((D7)-(C7))/((E7)-(C7)),SQRT(RAND()*((D7)-(C7))/((E7)-(C7))),1-SQRT(RAND()*((E7)-(D7))/((E7)-(C7))))</f>
        <v>0.22753322906412413</v>
      </c>
      <c r="C643" s="67">
        <f ca="1">(C8)+(E8-C8)*IF(RAND()&lt;((D8)-(C8))/((E8)-(C8)),SQRT(RAND()*((D8)-(C8))/((E8)-(C8))),1-SQRT(RAND()*((E8)-(D8))/((E8)-(C8))))</f>
        <v>0.73915559772287764</v>
      </c>
      <c r="D643" s="68">
        <f ca="1">(C9)+(E9-C9)*IF(RAND()&lt;((D9)-(C9))/((E9)-(C9)),SQRT(RAND()*((D9)-(C9))/((E9)-(C9))),1-SQRT(RAND()*((E9)-(D9))/((E9)-(C9))))</f>
        <v>1259454.3995552158</v>
      </c>
      <c r="E643" s="68">
        <f ca="1">(C10)+(E10-C10)*IF(RAND()&lt;((D10)-(C10))/((E10)-(C10)),SQRT(RAND()*((D10)-(C10))/((E10)-(C10))),1-SQRT(RAND()*((E10)-(D10))/((E10)-(C10))))</f>
        <v>4228829.7869008454</v>
      </c>
      <c r="F643" s="67">
        <f ca="1">(C11)+(E11-C11)*IF(RAND()&lt;((D11)-(C11))/((E11)-(C11)),SQRT(RAND()*((D11)-(C11))/((E11)-(C11))),1-SQRT(RAND()*((E11)-(D11))/((E11)-(C11))))</f>
        <v>9.2936219221277892E-3</v>
      </c>
      <c r="G643" s="67">
        <f ca="1">(C12)+(E12-C12)*IF(RAND()&lt;((D12)-(C12))/((E12)-(C12)),SQRT(RAND()*((D12)-(C12))/((E12)-(C12))),1-SQRT(RAND()*((E12)-(D12))/((E12)-(C12))))</f>
        <v>0.14795812814104603</v>
      </c>
      <c r="H643" s="68">
        <f t="shared" ca="1" si="18"/>
        <v>232763221.50680891</v>
      </c>
      <c r="I643" s="69">
        <f t="shared" ca="1" si="19"/>
        <v>245.08466672054948</v>
      </c>
    </row>
    <row r="644" spans="1:9" ht="16.05" customHeight="1" x14ac:dyDescent="0.3">
      <c r="A644" s="70">
        <v>628</v>
      </c>
      <c r="B644" s="71">
        <f ca="1">(C7)+(E7-C7)*IF(RAND()&lt;((D7)-(C7))/((E7)-(C7)),SQRT(RAND()*((D7)-(C7))/((E7)-(C7))),1-SQRT(RAND()*((E7)-(D7))/((E7)-(C7))))</f>
        <v>0.24443888951677767</v>
      </c>
      <c r="C644" s="71">
        <f ca="1">(C8)+(E8-C8)*IF(RAND()&lt;((D8)-(C8))/((E8)-(C8)),SQRT(RAND()*((D8)-(C8))/((E8)-(C8))),1-SQRT(RAND()*((E8)-(D8))/((E8)-(C8))))</f>
        <v>0.7351656721878197</v>
      </c>
      <c r="D644" s="72">
        <f ca="1">(C9)+(E9-C9)*IF(RAND()&lt;((D9)-(C9))/((E9)-(C9)),SQRT(RAND()*((D9)-(C9))/((E9)-(C9))),1-SQRT(RAND()*((E9)-(D9))/((E9)-(C9))))</f>
        <v>1296349.5150339035</v>
      </c>
      <c r="E644" s="72">
        <f ca="1">(C10)+(E10-C10)*IF(RAND()&lt;((D10)-(C10))/((E10)-(C10)),SQRT(RAND()*((D10)-(C10))/((E10)-(C10))),1-SQRT(RAND()*((E10)-(D10))/((E10)-(C10))))</f>
        <v>3305905.3750271928</v>
      </c>
      <c r="F644" s="71">
        <f ca="1">(C11)+(E11-C11)*IF(RAND()&lt;((D11)-(C11))/((E11)-(C11)),SQRT(RAND()*((D11)-(C11))/((E11)-(C11))),1-SQRT(RAND()*((E11)-(D11))/((E11)-(C11))))</f>
        <v>1.2458968746138206E-2</v>
      </c>
      <c r="G644" s="71">
        <f ca="1">(C12)+(E12-C12)*IF(RAND()&lt;((D12)-(C12))/((E12)-(C12)),SQRT(RAND()*((D12)-(C12))/((E12)-(C12))),1-SQRT(RAND()*((E12)-(D12))/((E12)-(C12))))</f>
        <v>0.1748238492555419</v>
      </c>
      <c r="H644" s="72">
        <f t="shared" ca="1" si="18"/>
        <v>271605252.91915435</v>
      </c>
      <c r="I644" s="73">
        <f t="shared" ca="1" si="19"/>
        <v>277.66722782746285</v>
      </c>
    </row>
    <row r="645" spans="1:9" ht="16.05" customHeight="1" x14ac:dyDescent="0.3">
      <c r="A645" s="66">
        <v>629</v>
      </c>
      <c r="B645" s="67">
        <f ca="1">(C7)+(E7-C7)*IF(RAND()&lt;((D7)-(C7))/((E7)-(C7)),SQRT(RAND()*((D7)-(C7))/((E7)-(C7))),1-SQRT(RAND()*((E7)-(D7))/((E7)-(C7))))</f>
        <v>0.25452953333170825</v>
      </c>
      <c r="C645" s="67">
        <f ca="1">(C8)+(E8-C8)*IF(RAND()&lt;((D8)-(C8))/((E8)-(C8)),SQRT(RAND()*((D8)-(C8))/((E8)-(C8))),1-SQRT(RAND()*((E8)-(D8))/((E8)-(C8))))</f>
        <v>0.63722166382887446</v>
      </c>
      <c r="D645" s="68">
        <f ca="1">(C9)+(E9-C9)*IF(RAND()&lt;((D9)-(C9))/((E9)-(C9)),SQRT(RAND()*((D9)-(C9))/((E9)-(C9))),1-SQRT(RAND()*((E9)-(D9))/((E9)-(C9))))</f>
        <v>1352911.2808048101</v>
      </c>
      <c r="E645" s="68">
        <f ca="1">(C10)+(E10-C10)*IF(RAND()&lt;((D10)-(C10))/((E10)-(C10)),SQRT(RAND()*((D10)-(C10))/((E10)-(C10))),1-SQRT(RAND()*((E10)-(D10))/((E10)-(C10))))</f>
        <v>4598017.8160290914</v>
      </c>
      <c r="F645" s="67">
        <f ca="1">(C11)+(E11-C11)*IF(RAND()&lt;((D11)-(C11))/((E11)-(C11)),SQRT(RAND()*((D11)-(C11))/((E11)-(C11))),1-SQRT(RAND()*((E11)-(D11))/((E11)-(C11))))</f>
        <v>6.7542186653664661E-3</v>
      </c>
      <c r="G645" s="67">
        <f ca="1">(C12)+(E12-C12)*IF(RAND()&lt;((D12)-(C12))/((E12)-(C12)),SQRT(RAND()*((D12)-(C12))/((E12)-(C12))),1-SQRT(RAND()*((E12)-(D12))/((E12)-(C12))))</f>
        <v>0.16405876550571141</v>
      </c>
      <c r="H645" s="68">
        <f t="shared" ca="1" si="18"/>
        <v>206424060.84668666</v>
      </c>
      <c r="I645" s="69">
        <f t="shared" ca="1" si="19"/>
        <v>202.56702191804715</v>
      </c>
    </row>
    <row r="646" spans="1:9" ht="16.05" customHeight="1" x14ac:dyDescent="0.3">
      <c r="A646" s="70">
        <v>630</v>
      </c>
      <c r="B646" s="71">
        <f ca="1">(C7)+(E7-C7)*IF(RAND()&lt;((D7)-(C7))/((E7)-(C7)),SQRT(RAND()*((D7)-(C7))/((E7)-(C7))),1-SQRT(RAND()*((E7)-(D7))/((E7)-(C7))))</f>
        <v>0.20636713658482542</v>
      </c>
      <c r="C646" s="71">
        <f ca="1">(C8)+(E8-C8)*IF(RAND()&lt;((D8)-(C8))/((E8)-(C8)),SQRT(RAND()*((D8)-(C8))/((E8)-(C8))),1-SQRT(RAND()*((E8)-(D8))/((E8)-(C8))))</f>
        <v>0.69455218383569028</v>
      </c>
      <c r="D646" s="72">
        <f ca="1">(C9)+(E9-C9)*IF(RAND()&lt;((D9)-(C9))/((E9)-(C9)),SQRT(RAND()*((D9)-(C9))/((E9)-(C9))),1-SQRT(RAND()*((E9)-(D9))/((E9)-(C9))))</f>
        <v>1460049.6523578833</v>
      </c>
      <c r="E646" s="72">
        <f ca="1">(C10)+(E10-C10)*IF(RAND()&lt;((D10)-(C10))/((E10)-(C10)),SQRT(RAND()*((D10)-(C10))/((E10)-(C10))),1-SQRT(RAND()*((E10)-(D10))/((E10)-(C10))))</f>
        <v>3688573.8743637004</v>
      </c>
      <c r="F646" s="71">
        <f ca="1">(C11)+(E11-C11)*IF(RAND()&lt;((D11)-(C11))/((E11)-(C11)),SQRT(RAND()*((D11)-(C11))/((E11)-(C11))),1-SQRT(RAND()*((E11)-(D11))/((E11)-(C11))))</f>
        <v>8.3442069333400769E-3</v>
      </c>
      <c r="G646" s="71">
        <f ca="1">(C12)+(E12-C12)*IF(RAND()&lt;((D12)-(C12))/((E12)-(C12)),SQRT(RAND()*((D12)-(C12))/((E12)-(C12))),1-SQRT(RAND()*((E12)-(D12))/((E12)-(C12))))</f>
        <v>0.16691522494936784</v>
      </c>
      <c r="H646" s="72">
        <f t="shared" ca="1" si="18"/>
        <v>200722677.38534865</v>
      </c>
      <c r="I646" s="73">
        <f t="shared" ca="1" si="19"/>
        <v>182.64890501027017</v>
      </c>
    </row>
    <row r="647" spans="1:9" ht="16.05" customHeight="1" x14ac:dyDescent="0.3">
      <c r="A647" s="66">
        <v>631</v>
      </c>
      <c r="B647" s="67">
        <f ca="1">(C7)+(E7-C7)*IF(RAND()&lt;((D7)-(C7))/((E7)-(C7)),SQRT(RAND()*((D7)-(C7))/((E7)-(C7))),1-SQRT(RAND()*((E7)-(D7))/((E7)-(C7))))</f>
        <v>0.29891721849091868</v>
      </c>
      <c r="C647" s="67">
        <f ca="1">(C8)+(E8-C8)*IF(RAND()&lt;((D8)-(C8))/((E8)-(C8)),SQRT(RAND()*((D8)-(C8))/((E8)-(C8))),1-SQRT(RAND()*((E8)-(D8))/((E8)-(C8))))</f>
        <v>0.71276909613169326</v>
      </c>
      <c r="D647" s="68">
        <f ca="1">(C9)+(E9-C9)*IF(RAND()&lt;((D9)-(C9))/((E9)-(C9)),SQRT(RAND()*((D9)-(C9))/((E9)-(C9))),1-SQRT(RAND()*((E9)-(D9))/((E9)-(C9))))</f>
        <v>1278339.7661294925</v>
      </c>
      <c r="E647" s="68">
        <f ca="1">(C10)+(E10-C10)*IF(RAND()&lt;((D10)-(C10))/((E10)-(C10)),SQRT(RAND()*((D10)-(C10))/((E10)-(C10))),1-SQRT(RAND()*((E10)-(D10))/((E10)-(C10))))</f>
        <v>3560305.4781899475</v>
      </c>
      <c r="F647" s="67">
        <f ca="1">(C11)+(E11-C11)*IF(RAND()&lt;((D11)-(C11))/((E11)-(C11)),SQRT(RAND()*((D11)-(C11))/((E11)-(C11))),1-SQRT(RAND()*((E11)-(D11))/((E11)-(C11))))</f>
        <v>7.9928420257812331E-3</v>
      </c>
      <c r="G647" s="67">
        <f ca="1">(C12)+(E12-C12)*IF(RAND()&lt;((D12)-(C12))/((E12)-(C12)),SQRT(RAND()*((D12)-(C12))/((E12)-(C12))),1-SQRT(RAND()*((E12)-(D12))/((E12)-(C12))))</f>
        <v>0.13727781241209239</v>
      </c>
      <c r="H647" s="68">
        <f t="shared" ca="1" si="18"/>
        <v>274713628.72727758</v>
      </c>
      <c r="I647" s="69">
        <f t="shared" ca="1" si="19"/>
        <v>284.76774304136143</v>
      </c>
    </row>
    <row r="648" spans="1:9" ht="16.05" customHeight="1" x14ac:dyDescent="0.3">
      <c r="A648" s="70">
        <v>632</v>
      </c>
      <c r="B648" s="71">
        <f ca="1">(C7)+(E7-C7)*IF(RAND()&lt;((D7)-(C7))/((E7)-(C7)),SQRT(RAND()*((D7)-(C7))/((E7)-(C7))),1-SQRT(RAND()*((E7)-(D7))/((E7)-(C7))))</f>
        <v>0.21855262327162325</v>
      </c>
      <c r="C648" s="71">
        <f ca="1">(C8)+(E8-C8)*IF(RAND()&lt;((D8)-(C8))/((E8)-(C8)),SQRT(RAND()*((D8)-(C8))/((E8)-(C8))),1-SQRT(RAND()*((E8)-(D8))/((E8)-(C8))))</f>
        <v>0.63675487644225126</v>
      </c>
      <c r="D648" s="72">
        <f ca="1">(C9)+(E9-C9)*IF(RAND()&lt;((D9)-(C9))/((E9)-(C9)),SQRT(RAND()*((D9)-(C9))/((E9)-(C9))),1-SQRT(RAND()*((E9)-(D9))/((E9)-(C9))))</f>
        <v>1315912.4502229688</v>
      </c>
      <c r="E648" s="72">
        <f ca="1">(C10)+(E10-C10)*IF(RAND()&lt;((D10)-(C10))/((E10)-(C10)),SQRT(RAND()*((D10)-(C10))/((E10)-(C10))),1-SQRT(RAND()*((E10)-(D10))/((E10)-(C10))))</f>
        <v>3947911.6776346024</v>
      </c>
      <c r="F648" s="71">
        <f ca="1">(C11)+(E11-C11)*IF(RAND()&lt;((D11)-(C11))/((E11)-(C11)),SQRT(RAND()*((D11)-(C11))/((E11)-(C11))),1-SQRT(RAND()*((E11)-(D11))/((E11)-(C11))))</f>
        <v>1.5832181294980104E-2</v>
      </c>
      <c r="G648" s="71">
        <f ca="1">(C12)+(E12-C12)*IF(RAND()&lt;((D12)-(C12))/((E12)-(C12)),SQRT(RAND()*((D12)-(C12))/((E12)-(C12))),1-SQRT(RAND()*((E12)-(D12))/((E12)-(C12))))</f>
        <v>0.16566765021561392</v>
      </c>
      <c r="H648" s="72">
        <f t="shared" ca="1" si="18"/>
        <v>249394435.74884048</v>
      </c>
      <c r="I648" s="73">
        <f t="shared" ca="1" si="19"/>
        <v>251.29619471599378</v>
      </c>
    </row>
    <row r="649" spans="1:9" ht="16.05" customHeight="1" x14ac:dyDescent="0.3">
      <c r="A649" s="66">
        <v>633</v>
      </c>
      <c r="B649" s="67">
        <f ca="1">(C7)+(E7-C7)*IF(RAND()&lt;((D7)-(C7))/((E7)-(C7)),SQRT(RAND()*((D7)-(C7))/((E7)-(C7))),1-SQRT(RAND()*((E7)-(D7))/((E7)-(C7))))</f>
        <v>0.36809609744157767</v>
      </c>
      <c r="C649" s="67">
        <f ca="1">(C8)+(E8-C8)*IF(RAND()&lt;((D8)-(C8))/((E8)-(C8)),SQRT(RAND()*((D8)-(C8))/((E8)-(C8))),1-SQRT(RAND()*((E8)-(D8))/((E8)-(C8))))</f>
        <v>0.75555064263795035</v>
      </c>
      <c r="D649" s="68">
        <f ca="1">(C9)+(E9-C9)*IF(RAND()&lt;((D9)-(C9))/((E9)-(C9)),SQRT(RAND()*((D9)-(C9))/((E9)-(C9))),1-SQRT(RAND()*((E9)-(D9))/((E9)-(C9))))</f>
        <v>1173897.4159203568</v>
      </c>
      <c r="E649" s="68">
        <f ca="1">(C10)+(E10-C10)*IF(RAND()&lt;((D10)-(C10))/((E10)-(C10)),SQRT(RAND()*((D10)-(C10))/((E10)-(C10))),1-SQRT(RAND()*((E10)-(D10))/((E10)-(C10))))</f>
        <v>5130950.927737576</v>
      </c>
      <c r="F649" s="67">
        <f ca="1">(C11)+(E11-C11)*IF(RAND()&lt;((D11)-(C11))/((E11)-(C11)),SQRT(RAND()*((D11)-(C11))/((E11)-(C11))),1-SQRT(RAND()*((E11)-(D11))/((E11)-(C11))))</f>
        <v>2.2272380024175958E-2</v>
      </c>
      <c r="G649" s="67">
        <f ca="1">(C12)+(E12-C12)*IF(RAND()&lt;((D12)-(C12))/((E12)-(C12)),SQRT(RAND()*((D12)-(C12))/((E12)-(C12))),1-SQRT(RAND()*((E12)-(D12))/((E12)-(C12))))</f>
        <v>0.12848821336620272</v>
      </c>
      <c r="H649" s="68">
        <f t="shared" ca="1" si="18"/>
        <v>442707276.19955206</v>
      </c>
      <c r="I649" s="69">
        <f t="shared" ca="1" si="19"/>
        <v>498.74347529835978</v>
      </c>
    </row>
    <row r="650" spans="1:9" ht="16.05" customHeight="1" x14ac:dyDescent="0.3">
      <c r="A650" s="70">
        <v>634</v>
      </c>
      <c r="B650" s="71">
        <f ca="1">(C7)+(E7-C7)*IF(RAND()&lt;((D7)-(C7))/((E7)-(C7)),SQRT(RAND()*((D7)-(C7))/((E7)-(C7))),1-SQRT(RAND()*((E7)-(D7))/((E7)-(C7))))</f>
        <v>0.31106016481007281</v>
      </c>
      <c r="C650" s="71">
        <f ca="1">(C8)+(E8-C8)*IF(RAND()&lt;((D8)-(C8))/((E8)-(C8)),SQRT(RAND()*((D8)-(C8))/((E8)-(C8))),1-SQRT(RAND()*((E8)-(D8))/((E8)-(C8))))</f>
        <v>0.64098252222073915</v>
      </c>
      <c r="D650" s="72">
        <f ca="1">(C9)+(E9-C9)*IF(RAND()&lt;((D9)-(C9))/((E9)-(C9)),SQRT(RAND()*((D9)-(C9))/((E9)-(C9))),1-SQRT(RAND()*((E9)-(D9))/((E9)-(C9))))</f>
        <v>1318366.5431111064</v>
      </c>
      <c r="E650" s="72">
        <f ca="1">(C10)+(E10-C10)*IF(RAND()&lt;((D10)-(C10))/((E10)-(C10)),SQRT(RAND()*((D10)-(C10))/((E10)-(C10))),1-SQRT(RAND()*((E10)-(D10))/((E10)-(C10))))</f>
        <v>4612163.5109332167</v>
      </c>
      <c r="F650" s="71">
        <f ca="1">(C11)+(E11-C11)*IF(RAND()&lt;((D11)-(C11))/((E11)-(C11)),SQRT(RAND()*((D11)-(C11))/((E11)-(C11))),1-SQRT(RAND()*((E11)-(D11))/((E11)-(C11))))</f>
        <v>9.6687561050676166E-3</v>
      </c>
      <c r="G650" s="71">
        <f ca="1">(C12)+(E12-C12)*IF(RAND()&lt;((D12)-(C12))/((E12)-(C12)),SQRT(RAND()*((D12)-(C12))/((E12)-(C12))),1-SQRT(RAND()*((E12)-(D12))/((E12)-(C12))))</f>
        <v>0.16332007962799525</v>
      </c>
      <c r="H650" s="72">
        <f t="shared" ca="1" si="18"/>
        <v>267904800.11802915</v>
      </c>
      <c r="I650" s="73">
        <f t="shared" ca="1" si="19"/>
        <v>269.34995243886186</v>
      </c>
    </row>
    <row r="651" spans="1:9" ht="16.05" customHeight="1" x14ac:dyDescent="0.3">
      <c r="A651" s="66">
        <v>635</v>
      </c>
      <c r="B651" s="67">
        <f ca="1">(C7)+(E7-C7)*IF(RAND()&lt;((D7)-(C7))/((E7)-(C7)),SQRT(RAND()*((D7)-(C7))/((E7)-(C7))),1-SQRT(RAND()*((E7)-(D7))/((E7)-(C7))))</f>
        <v>0.20348578044656063</v>
      </c>
      <c r="C651" s="67">
        <f ca="1">(C8)+(E8-C8)*IF(RAND()&lt;((D8)-(C8))/((E8)-(C8)),SQRT(RAND()*((D8)-(C8))/((E8)-(C8))),1-SQRT(RAND()*((E8)-(D8))/((E8)-(C8))))</f>
        <v>0.71382157700953841</v>
      </c>
      <c r="D651" s="68">
        <f ca="1">(C9)+(E9-C9)*IF(RAND()&lt;((D9)-(C9))/((E9)-(C9)),SQRT(RAND()*((D9)-(C9))/((E9)-(C9))),1-SQRT(RAND()*((E9)-(D9))/((E9)-(C9))))</f>
        <v>1277038.016164232</v>
      </c>
      <c r="E651" s="68">
        <f ca="1">(C10)+(E10-C10)*IF(RAND()&lt;((D10)-(C10))/((E10)-(C10)),SQRT(RAND()*((D10)-(C10))/((E10)-(C10))),1-SQRT(RAND()*((E10)-(D10))/((E10)-(C10))))</f>
        <v>3168863.8692745091</v>
      </c>
      <c r="F651" s="67">
        <f ca="1">(C11)+(E11-C11)*IF(RAND()&lt;((D11)-(C11))/((E11)-(C11)),SQRT(RAND()*((D11)-(C11))/((E11)-(C11))),1-SQRT(RAND()*((E11)-(D11))/((E11)-(C11))))</f>
        <v>1.5364707924410954E-2</v>
      </c>
      <c r="G651" s="67">
        <f ca="1">(C12)+(E12-C12)*IF(RAND()&lt;((D12)-(C12))/((E12)-(C12)),SQRT(RAND()*((D12)-(C12))/((E12)-(C12))),1-SQRT(RAND()*((E12)-(D12))/((E12)-(C12))))</f>
        <v>0.16286273860088493</v>
      </c>
      <c r="H651" s="68">
        <f t="shared" ca="1" si="18"/>
        <v>255636026.48608854</v>
      </c>
      <c r="I651" s="69">
        <f t="shared" ca="1" si="19"/>
        <v>265.35239492132825</v>
      </c>
    </row>
    <row r="652" spans="1:9" ht="16.05" customHeight="1" x14ac:dyDescent="0.3">
      <c r="A652" s="70">
        <v>636</v>
      </c>
      <c r="B652" s="71">
        <f ca="1">(C7)+(E7-C7)*IF(RAND()&lt;((D7)-(C7))/((E7)-(C7)),SQRT(RAND()*((D7)-(C7))/((E7)-(C7))),1-SQRT(RAND()*((E7)-(D7))/((E7)-(C7))))</f>
        <v>0.23444125810892494</v>
      </c>
      <c r="C652" s="71">
        <f ca="1">(C8)+(E8-C8)*IF(RAND()&lt;((D8)-(C8))/((E8)-(C8)),SQRT(RAND()*((D8)-(C8))/((E8)-(C8))),1-SQRT(RAND()*((E8)-(D8))/((E8)-(C8))))</f>
        <v>0.72289290688482333</v>
      </c>
      <c r="D652" s="72">
        <f ca="1">(C9)+(E9-C9)*IF(RAND()&lt;((D9)-(C9))/((E9)-(C9)),SQRT(RAND()*((D9)-(C9))/((E9)-(C9))),1-SQRT(RAND()*((E9)-(D9))/((E9)-(C9))))</f>
        <v>1274923.5811517069</v>
      </c>
      <c r="E652" s="72">
        <f ca="1">(C10)+(E10-C10)*IF(RAND()&lt;((D10)-(C10))/((E10)-(C10)),SQRT(RAND()*((D10)-(C10))/((E10)-(C10))),1-SQRT(RAND()*((E10)-(D10))/((E10)-(C10))))</f>
        <v>3673308.8015124528</v>
      </c>
      <c r="F652" s="71">
        <f ca="1">(C11)+(E11-C11)*IF(RAND()&lt;((D11)-(C11))/((E11)-(C11)),SQRT(RAND()*((D11)-(C11))/((E11)-(C11))),1-SQRT(RAND()*((E11)-(D11))/((E11)-(C11))))</f>
        <v>1.4270599024433074E-2</v>
      </c>
      <c r="G652" s="71">
        <f ca="1">(C12)+(E12-C12)*IF(RAND()&lt;((D12)-(C12))/((E12)-(C12)),SQRT(RAND()*((D12)-(C12))/((E12)-(C12))),1-SQRT(RAND()*((E12)-(D12))/((E12)-(C12))))</f>
        <v>0.14119105564323586</v>
      </c>
      <c r="H652" s="72">
        <f t="shared" ca="1" si="18"/>
        <v>272182962.75166047</v>
      </c>
      <c r="I652" s="73">
        <f t="shared" ca="1" si="19"/>
        <v>282.90911935633812</v>
      </c>
    </row>
    <row r="653" spans="1:9" ht="16.05" customHeight="1" x14ac:dyDescent="0.3">
      <c r="A653" s="66">
        <v>637</v>
      </c>
      <c r="B653" s="67">
        <f ca="1">(C7)+(E7-C7)*IF(RAND()&lt;((D7)-(C7))/((E7)-(C7)),SQRT(RAND()*((D7)-(C7))/((E7)-(C7))),1-SQRT(RAND()*((E7)-(D7))/((E7)-(C7))))</f>
        <v>0.25226304211796924</v>
      </c>
      <c r="C653" s="67">
        <f ca="1">(C8)+(E8-C8)*IF(RAND()&lt;((D8)-(C8))/((E8)-(C8)),SQRT(RAND()*((D8)-(C8))/((E8)-(C8))),1-SQRT(RAND()*((E8)-(D8))/((E8)-(C8))))</f>
        <v>0.61960090348455066</v>
      </c>
      <c r="D653" s="68">
        <f ca="1">(C9)+(E9-C9)*IF(RAND()&lt;((D9)-(C9))/((E9)-(C9)),SQRT(RAND()*((D9)-(C9))/((E9)-(C9))),1-SQRT(RAND()*((E9)-(D9))/((E9)-(C9))))</f>
        <v>1315170.5505954239</v>
      </c>
      <c r="E653" s="68">
        <f ca="1">(C10)+(E10-C10)*IF(RAND()&lt;((D10)-(C10))/((E10)-(C10)),SQRT(RAND()*((D10)-(C10))/((E10)-(C10))),1-SQRT(RAND()*((E10)-(D10))/((E10)-(C10))))</f>
        <v>2864177.948472783</v>
      </c>
      <c r="F653" s="67">
        <f ca="1">(C11)+(E11-C11)*IF(RAND()&lt;((D11)-(C11))/((E11)-(C11)),SQRT(RAND()*((D11)-(C11))/((E11)-(C11))),1-SQRT(RAND()*((E11)-(D11))/((E11)-(C11))))</f>
        <v>1.9364090026982587E-2</v>
      </c>
      <c r="G653" s="67">
        <f ca="1">(C12)+(E12-C12)*IF(RAND()&lt;((D12)-(C12))/((E12)-(C12)),SQRT(RAND()*((D12)-(C12))/((E12)-(C12))),1-SQRT(RAND()*((E12)-(D12))/((E12)-(C12))))</f>
        <v>0.14956521059676925</v>
      </c>
      <c r="H653" s="68">
        <f t="shared" ca="1" si="18"/>
        <v>297640833.70830804</v>
      </c>
      <c r="I653" s="69">
        <f t="shared" ca="1" si="19"/>
        <v>299.82362651086362</v>
      </c>
    </row>
    <row r="654" spans="1:9" ht="16.05" customHeight="1" x14ac:dyDescent="0.3">
      <c r="A654" s="70">
        <v>638</v>
      </c>
      <c r="B654" s="71">
        <f ca="1">(C7)+(E7-C7)*IF(RAND()&lt;((D7)-(C7))/((E7)-(C7)),SQRT(RAND()*((D7)-(C7))/((E7)-(C7))),1-SQRT(RAND()*((E7)-(D7))/((E7)-(C7))))</f>
        <v>0.30606456330718868</v>
      </c>
      <c r="C654" s="71">
        <f ca="1">(C8)+(E8-C8)*IF(RAND()&lt;((D8)-(C8))/((E8)-(C8)),SQRT(RAND()*((D8)-(C8))/((E8)-(C8))),1-SQRT(RAND()*((E8)-(D8))/((E8)-(C8))))</f>
        <v>0.61713795175289854</v>
      </c>
      <c r="D654" s="72">
        <f ca="1">(C9)+(E9-C9)*IF(RAND()&lt;((D9)-(C9))/((E9)-(C9)),SQRT(RAND()*((D9)-(C9))/((E9)-(C9))),1-SQRT(RAND()*((E9)-(D9))/((E9)-(C9))))</f>
        <v>1285329.901673933</v>
      </c>
      <c r="E654" s="72">
        <f ca="1">(C10)+(E10-C10)*IF(RAND()&lt;((D10)-(C10))/((E10)-(C10)),SQRT(RAND()*((D10)-(C10))/((E10)-(C10))),1-SQRT(RAND()*((E10)-(D10))/((E10)-(C10))))</f>
        <v>4353948.4163675616</v>
      </c>
      <c r="F654" s="71">
        <f ca="1">(C11)+(E11-C11)*IF(RAND()&lt;((D11)-(C11))/((E11)-(C11)),SQRT(RAND()*((D11)-(C11))/((E11)-(C11))),1-SQRT(RAND()*((E11)-(D11))/((E11)-(C11))))</f>
        <v>1.3583406648009919E-2</v>
      </c>
      <c r="G654" s="71">
        <f ca="1">(C12)+(E12-C12)*IF(RAND()&lt;((D12)-(C12))/((E12)-(C12)),SQRT(RAND()*((D12)-(C12))/((E12)-(C12))),1-SQRT(RAND()*((E12)-(D12))/((E12)-(C12))))</f>
        <v>0.15025017843119659</v>
      </c>
      <c r="H654" s="72">
        <f t="shared" ca="1" si="18"/>
        <v>285747670.46755737</v>
      </c>
      <c r="I654" s="73">
        <f t="shared" ca="1" si="19"/>
        <v>294.54921380008847</v>
      </c>
    </row>
    <row r="655" spans="1:9" ht="16.05" customHeight="1" x14ac:dyDescent="0.3">
      <c r="A655" s="66">
        <v>639</v>
      </c>
      <c r="B655" s="67">
        <f ca="1">(C7)+(E7-C7)*IF(RAND()&lt;((D7)-(C7))/((E7)-(C7)),SQRT(RAND()*((D7)-(C7))/((E7)-(C7))),1-SQRT(RAND()*((E7)-(D7))/((E7)-(C7))))</f>
        <v>0.26357038219033146</v>
      </c>
      <c r="C655" s="67">
        <f ca="1">(C8)+(E8-C8)*IF(RAND()&lt;((D8)-(C8))/((E8)-(C8)),SQRT(RAND()*((D8)-(C8))/((E8)-(C8))),1-SQRT(RAND()*((E8)-(D8))/((E8)-(C8))))</f>
        <v>0.60047694366615134</v>
      </c>
      <c r="D655" s="68">
        <f ca="1">(C9)+(E9-C9)*IF(RAND()&lt;((D9)-(C9))/((E9)-(C9)),SQRT(RAND()*((D9)-(C9))/((E9)-(C9))),1-SQRT(RAND()*((E9)-(D9))/((E9)-(C9))))</f>
        <v>1159453.4051305791</v>
      </c>
      <c r="E655" s="68">
        <f ca="1">(C10)+(E10-C10)*IF(RAND()&lt;((D10)-(C10))/((E10)-(C10)),SQRT(RAND()*((D10)-(C10))/((E10)-(C10))),1-SQRT(RAND()*((E10)-(D10))/((E10)-(C10))))</f>
        <v>4127065.6424103295</v>
      </c>
      <c r="F655" s="67">
        <f ca="1">(C11)+(E11-C11)*IF(RAND()&lt;((D11)-(C11))/((E11)-(C11)),SQRT(RAND()*((D11)-(C11))/((E11)-(C11))),1-SQRT(RAND()*((E11)-(D11))/((E11)-(C11))))</f>
        <v>5.9452236507964301E-3</v>
      </c>
      <c r="G655" s="67">
        <f ca="1">(C12)+(E12-C12)*IF(RAND()&lt;((D12)-(C12))/((E12)-(C12)),SQRT(RAND()*((D12)-(C12))/((E12)-(C12))),1-SQRT(RAND()*((E12)-(D12))/((E12)-(C12))))</f>
        <v>0.16160521925111382</v>
      </c>
      <c r="H655" s="68">
        <f t="shared" ca="1" si="18"/>
        <v>198294832.90480772</v>
      </c>
      <c r="I655" s="69">
        <f t="shared" ca="1" si="19"/>
        <v>226.8980281115735</v>
      </c>
    </row>
    <row r="656" spans="1:9" ht="16.05" customHeight="1" x14ac:dyDescent="0.3">
      <c r="A656" s="70">
        <v>640</v>
      </c>
      <c r="B656" s="71">
        <f ca="1">(C7)+(E7-C7)*IF(RAND()&lt;((D7)-(C7))/((E7)-(C7)),SQRT(RAND()*((D7)-(C7))/((E7)-(C7))),1-SQRT(RAND()*((E7)-(D7))/((E7)-(C7))))</f>
        <v>0.22288231134098047</v>
      </c>
      <c r="C656" s="71">
        <f ca="1">(C8)+(E8-C8)*IF(RAND()&lt;((D8)-(C8))/((E8)-(C8)),SQRT(RAND()*((D8)-(C8))/((E8)-(C8))),1-SQRT(RAND()*((E8)-(D8))/((E8)-(C8))))</f>
        <v>0.75855656759163015</v>
      </c>
      <c r="D656" s="72">
        <f ca="1">(C9)+(E9-C9)*IF(RAND()&lt;((D9)-(C9))/((E9)-(C9)),SQRT(RAND()*((D9)-(C9))/((E9)-(C9))),1-SQRT(RAND()*((E9)-(D9))/((E9)-(C9))))</f>
        <v>1302885.6546733109</v>
      </c>
      <c r="E656" s="72">
        <f ca="1">(C10)+(E10-C10)*IF(RAND()&lt;((D10)-(C10))/((E10)-(C10)),SQRT(RAND()*((D10)-(C10))/((E10)-(C10))),1-SQRT(RAND()*((E10)-(D10))/((E10)-(C10))))</f>
        <v>2976261.7110205097</v>
      </c>
      <c r="F656" s="71">
        <f ca="1">(C11)+(E11-C11)*IF(RAND()&lt;((D11)-(C11))/((E11)-(C11)),SQRT(RAND()*((D11)-(C11))/((E11)-(C11))),1-SQRT(RAND()*((E11)-(D11))/((E11)-(C11))))</f>
        <v>8.6000846913109486E-3</v>
      </c>
      <c r="G656" s="71">
        <f ca="1">(C12)+(E12-C12)*IF(RAND()&lt;((D12)-(C12))/((E12)-(C12)),SQRT(RAND()*((D12)-(C12))/((E12)-(C12))),1-SQRT(RAND()*((E12)-(D12))/((E12)-(C12))))</f>
        <v>0.13536824964317712</v>
      </c>
      <c r="H656" s="72">
        <f t="shared" ca="1" si="18"/>
        <v>233426637.69451183</v>
      </c>
      <c r="I656" s="73">
        <f t="shared" ca="1" si="19"/>
        <v>237.63043481813685</v>
      </c>
    </row>
    <row r="657" spans="1:9" ht="16.05" customHeight="1" x14ac:dyDescent="0.3">
      <c r="A657" s="66">
        <v>641</v>
      </c>
      <c r="B657" s="67">
        <f ca="1">(C7)+(E7-C7)*IF(RAND()&lt;((D7)-(C7))/((E7)-(C7)),SQRT(RAND()*((D7)-(C7))/((E7)-(C7))),1-SQRT(RAND()*((E7)-(D7))/((E7)-(C7))))</f>
        <v>0.28716823037702144</v>
      </c>
      <c r="C657" s="67">
        <f ca="1">(C8)+(E8-C8)*IF(RAND()&lt;((D8)-(C8))/((E8)-(C8)),SQRT(RAND()*((D8)-(C8))/((E8)-(C8))),1-SQRT(RAND()*((E8)-(D8))/((E8)-(C8))))</f>
        <v>0.75296667659560335</v>
      </c>
      <c r="D657" s="68">
        <f ca="1">(C9)+(E9-C9)*IF(RAND()&lt;((D9)-(C9))/((E9)-(C9)),SQRT(RAND()*((D9)-(C9))/((E9)-(C9))),1-SQRT(RAND()*((E9)-(D9))/((E9)-(C9))))</f>
        <v>1307169.0514273213</v>
      </c>
      <c r="E657" s="68">
        <f ca="1">(C10)+(E10-C10)*IF(RAND()&lt;((D10)-(C10))/((E10)-(C10)),SQRT(RAND()*((D10)-(C10))/((E10)-(C10))),1-SQRT(RAND()*((E10)-(D10))/((E10)-(C10))))</f>
        <v>4423704.9805620126</v>
      </c>
      <c r="F657" s="67">
        <f ca="1">(C11)+(E11-C11)*IF(RAND()&lt;((D11)-(C11))/((E11)-(C11)),SQRT(RAND()*((D11)-(C11))/((E11)-(C11))),1-SQRT(RAND()*((E11)-(D11))/((E11)-(C11))))</f>
        <v>2.1132391554687734E-2</v>
      </c>
      <c r="G657" s="67">
        <f ca="1">(C12)+(E12-C12)*IF(RAND()&lt;((D12)-(C12))/((E12)-(C12)),SQRT(RAND()*((D12)-(C12))/((E12)-(C12))),1-SQRT(RAND()*((E12)-(D12))/((E12)-(C12))))</f>
        <v>0.1477266356355118</v>
      </c>
      <c r="H657" s="68">
        <f t="shared" ref="H657:H720" ca="1" si="20">-D657+($L$1*B657*C657+$M$1*F657-E657)*(1-(1+$N$1)^-5)/$N$1</f>
        <v>369696508.67626452</v>
      </c>
      <c r="I657" s="69">
        <f t="shared" ref="I657:I720" ca="1" si="21">($L$1*B657*C657+$M$1*F657-E657)*5/D657</f>
        <v>374.35798928717293</v>
      </c>
    </row>
    <row r="658" spans="1:9" ht="16.05" customHeight="1" x14ac:dyDescent="0.3">
      <c r="A658" s="70">
        <v>642</v>
      </c>
      <c r="B658" s="71">
        <f ca="1">(C7)+(E7-C7)*IF(RAND()&lt;((D7)-(C7))/((E7)-(C7)),SQRT(RAND()*((D7)-(C7))/((E7)-(C7))),1-SQRT(RAND()*((E7)-(D7))/((E7)-(C7))))</f>
        <v>0.20572019781685949</v>
      </c>
      <c r="C658" s="71">
        <f ca="1">(C8)+(E8-C8)*IF(RAND()&lt;((D8)-(C8))/((E8)-(C8)),SQRT(RAND()*((D8)-(C8))/((E8)-(C8))),1-SQRT(RAND()*((E8)-(D8))/((E8)-(C8))))</f>
        <v>0.6100491033516513</v>
      </c>
      <c r="D658" s="72">
        <f ca="1">(C9)+(E9-C9)*IF(RAND()&lt;((D9)-(C9))/((E9)-(C9)),SQRT(RAND()*((D9)-(C9))/((E9)-(C9))),1-SQRT(RAND()*((E9)-(D9))/((E9)-(C9))))</f>
        <v>1105263.2650103222</v>
      </c>
      <c r="E658" s="72">
        <f ca="1">(C10)+(E10-C10)*IF(RAND()&lt;((D10)-(C10))/((E10)-(C10)),SQRT(RAND()*((D10)-(C10))/((E10)-(C10))),1-SQRT(RAND()*((E10)-(D10))/((E10)-(C10))))</f>
        <v>4092141.5442059529</v>
      </c>
      <c r="F658" s="71">
        <f ca="1">(C11)+(E11-C11)*IF(RAND()&lt;((D11)-(C11))/((E11)-(C11)),SQRT(RAND()*((D11)-(C11))/((E11)-(C11))),1-SQRT(RAND()*((E11)-(D11))/((E11)-(C11))))</f>
        <v>2.6288183212140909E-2</v>
      </c>
      <c r="G658" s="71">
        <f ca="1">(C12)+(E12-C12)*IF(RAND()&lt;((D12)-(C12))/((E12)-(C12)),SQRT(RAND()*((D12)-(C12))/((E12)-(C12))),1-SQRT(RAND()*((E12)-(D12))/((E12)-(C12))))</f>
        <v>0.11918552229897955</v>
      </c>
      <c r="H658" s="72">
        <f t="shared" ca="1" si="20"/>
        <v>309659241.4669078</v>
      </c>
      <c r="I658" s="73">
        <f t="shared" ca="1" si="21"/>
        <v>370.85686308384214</v>
      </c>
    </row>
    <row r="659" spans="1:9" ht="16.05" customHeight="1" x14ac:dyDescent="0.3">
      <c r="A659" s="66">
        <v>643</v>
      </c>
      <c r="B659" s="67">
        <f ca="1">(C7)+(E7-C7)*IF(RAND()&lt;((D7)-(C7))/((E7)-(C7)),SQRT(RAND()*((D7)-(C7))/((E7)-(C7))),1-SQRT(RAND()*((E7)-(D7))/((E7)-(C7))))</f>
        <v>0.27636409924027472</v>
      </c>
      <c r="C659" s="67">
        <f ca="1">(C8)+(E8-C8)*IF(RAND()&lt;((D8)-(C8))/((E8)-(C8)),SQRT(RAND()*((D8)-(C8))/((E8)-(C8))),1-SQRT(RAND()*((E8)-(D8))/((E8)-(C8))))</f>
        <v>0.61704340953359016</v>
      </c>
      <c r="D659" s="68">
        <f ca="1">(C9)+(E9-C9)*IF(RAND()&lt;((D9)-(C9))/((E9)-(C9)),SQRT(RAND()*((D9)-(C9))/((E9)-(C9))),1-SQRT(RAND()*((E9)-(D9))/((E9)-(C9))))</f>
        <v>1122632.0398853242</v>
      </c>
      <c r="E659" s="68">
        <f ca="1">(C10)+(E10-C10)*IF(RAND()&lt;((D10)-(C10))/((E10)-(C10)),SQRT(RAND()*((D10)-(C10))/((E10)-(C10))),1-SQRT(RAND()*((E10)-(D10))/((E10)-(C10))))</f>
        <v>3860821.079583047</v>
      </c>
      <c r="F659" s="67">
        <f ca="1">(C11)+(E11-C11)*IF(RAND()&lt;((D11)-(C11))/((E11)-(C11)),SQRT(RAND()*((D11)-(C11))/((E11)-(C11))),1-SQRT(RAND()*((E11)-(D11))/((E11)-(C11))))</f>
        <v>1.874434640661456E-2</v>
      </c>
      <c r="G659" s="67">
        <f ca="1">(C12)+(E12-C12)*IF(RAND()&lt;((D12)-(C12))/((E12)-(C12)),SQRT(RAND()*((D12)-(C12))/((E12)-(C12))),1-SQRT(RAND()*((E12)-(D12))/((E12)-(C12))))</f>
        <v>0.181095826718154</v>
      </c>
      <c r="H659" s="68">
        <f t="shared" ca="1" si="20"/>
        <v>305059730.49352854</v>
      </c>
      <c r="I659" s="69">
        <f t="shared" ca="1" si="21"/>
        <v>359.73557243363803</v>
      </c>
    </row>
    <row r="660" spans="1:9" ht="16.05" customHeight="1" x14ac:dyDescent="0.3">
      <c r="A660" s="70">
        <v>644</v>
      </c>
      <c r="B660" s="71">
        <f ca="1">(C7)+(E7-C7)*IF(RAND()&lt;((D7)-(C7))/((E7)-(C7)),SQRT(RAND()*((D7)-(C7))/((E7)-(C7))),1-SQRT(RAND()*((E7)-(D7))/((E7)-(C7))))</f>
        <v>0.23867726910582371</v>
      </c>
      <c r="C660" s="71">
        <f ca="1">(C8)+(E8-C8)*IF(RAND()&lt;((D8)-(C8))/((E8)-(C8)),SQRT(RAND()*((D8)-(C8))/((E8)-(C8))),1-SQRT(RAND()*((E8)-(D8))/((E8)-(C8))))</f>
        <v>0.67597237398369803</v>
      </c>
      <c r="D660" s="72">
        <f ca="1">(C9)+(E9-C9)*IF(RAND()&lt;((D9)-(C9))/((E9)-(C9)),SQRT(RAND()*((D9)-(C9))/((E9)-(C9))),1-SQRT(RAND()*((E9)-(D9))/((E9)-(C9))))</f>
        <v>1201854.2212314953</v>
      </c>
      <c r="E660" s="72">
        <f ca="1">(C10)+(E10-C10)*IF(RAND()&lt;((D10)-(C10))/((E10)-(C10)),SQRT(RAND()*((D10)-(C10))/((E10)-(C10))),1-SQRT(RAND()*((E10)-(D10))/((E10)-(C10))))</f>
        <v>4469257.9496337511</v>
      </c>
      <c r="F660" s="71">
        <f ca="1">(C11)+(E11-C11)*IF(RAND()&lt;((D11)-(C11))/((E11)-(C11)),SQRT(RAND()*((D11)-(C11))/((E11)-(C11))),1-SQRT(RAND()*((E11)-(D11))/((E11)-(C11))))</f>
        <v>1.2013875135786544E-2</v>
      </c>
      <c r="G660" s="71">
        <f ca="1">(C12)+(E12-C12)*IF(RAND()&lt;((D12)-(C12))/((E12)-(C12)),SQRT(RAND()*((D12)-(C12))/((E12)-(C12))),1-SQRT(RAND()*((E12)-(D12))/((E12)-(C12))))</f>
        <v>0.1763291011991352</v>
      </c>
      <c r="H660" s="72">
        <f t="shared" ca="1" si="20"/>
        <v>244098146.57938796</v>
      </c>
      <c r="I660" s="73">
        <f t="shared" ca="1" si="21"/>
        <v>269.2070348758561</v>
      </c>
    </row>
    <row r="661" spans="1:9" ht="16.05" customHeight="1" x14ac:dyDescent="0.3">
      <c r="A661" s="66">
        <v>645</v>
      </c>
      <c r="B661" s="67">
        <f ca="1">(C7)+(E7-C7)*IF(RAND()&lt;((D7)-(C7))/((E7)-(C7)),SQRT(RAND()*((D7)-(C7))/((E7)-(C7))),1-SQRT(RAND()*((E7)-(D7))/((E7)-(C7))))</f>
        <v>0.21010378315449565</v>
      </c>
      <c r="C661" s="67">
        <f ca="1">(C8)+(E8-C8)*IF(RAND()&lt;((D8)-(C8))/((E8)-(C8)),SQRT(RAND()*((D8)-(C8))/((E8)-(C8))),1-SQRT(RAND()*((E8)-(D8))/((E8)-(C8))))</f>
        <v>0.66102275514564623</v>
      </c>
      <c r="D661" s="68">
        <f ca="1">(C9)+(E9-C9)*IF(RAND()&lt;((D9)-(C9))/((E9)-(C9)),SQRT(RAND()*((D9)-(C9))/((E9)-(C9))),1-SQRT(RAND()*((E9)-(D9))/((E9)-(C9))))</f>
        <v>1309267.8911490985</v>
      </c>
      <c r="E661" s="68">
        <f ca="1">(C10)+(E10-C10)*IF(RAND()&lt;((D10)-(C10))/((E10)-(C10)),SQRT(RAND()*((D10)-(C10))/((E10)-(C10))),1-SQRT(RAND()*((E10)-(D10))/((E10)-(C10))))</f>
        <v>3172520.4499980863</v>
      </c>
      <c r="F661" s="67">
        <f ca="1">(C11)+(E11-C11)*IF(RAND()&lt;((D11)-(C11))/((E11)-(C11)),SQRT(RAND()*((D11)-(C11))/((E11)-(C11))),1-SQRT(RAND()*((E11)-(D11))/((E11)-(C11))))</f>
        <v>2.3251537783944797E-2</v>
      </c>
      <c r="G661" s="67">
        <f ca="1">(C12)+(E12-C12)*IF(RAND()&lt;((D12)-(C12))/((E12)-(C12)),SQRT(RAND()*((D12)-(C12))/((E12)-(C12))),1-SQRT(RAND()*((E12)-(D12))/((E12)-(C12))))</f>
        <v>0.19296756227065534</v>
      </c>
      <c r="H661" s="68">
        <f t="shared" ca="1" si="20"/>
        <v>305585012.4030655</v>
      </c>
      <c r="I661" s="69">
        <f t="shared" ca="1" si="21"/>
        <v>309.1725481057826</v>
      </c>
    </row>
    <row r="662" spans="1:9" ht="16.05" customHeight="1" x14ac:dyDescent="0.3">
      <c r="A662" s="70">
        <v>646</v>
      </c>
      <c r="B662" s="71">
        <f ca="1">(C7)+(E7-C7)*IF(RAND()&lt;((D7)-(C7))/((E7)-(C7)),SQRT(RAND()*((D7)-(C7))/((E7)-(C7))),1-SQRT(RAND()*((E7)-(D7))/((E7)-(C7))))</f>
        <v>0.21689852838151769</v>
      </c>
      <c r="C662" s="71">
        <f ca="1">(C8)+(E8-C8)*IF(RAND()&lt;((D8)-(C8))/((E8)-(C8)),SQRT(RAND()*((D8)-(C8))/((E8)-(C8))),1-SQRT(RAND()*((E8)-(D8))/((E8)-(C8))))</f>
        <v>0.70303341085448179</v>
      </c>
      <c r="D662" s="72">
        <f ca="1">(C9)+(E9-C9)*IF(RAND()&lt;((D9)-(C9))/((E9)-(C9)),SQRT(RAND()*((D9)-(C9))/((E9)-(C9))),1-SQRT(RAND()*((E9)-(D9))/((E9)-(C9))))</f>
        <v>1236815.9906833831</v>
      </c>
      <c r="E662" s="72">
        <f ca="1">(C10)+(E10-C10)*IF(RAND()&lt;((D10)-(C10))/((E10)-(C10)),SQRT(RAND()*((D10)-(C10))/((E10)-(C10))),1-SQRT(RAND()*((E10)-(D10))/((E10)-(C10))))</f>
        <v>3701034.4337840532</v>
      </c>
      <c r="F662" s="71">
        <f ca="1">(C11)+(E11-C11)*IF(RAND()&lt;((D11)-(C11))/((E11)-(C11)),SQRT(RAND()*((D11)-(C11))/((E11)-(C11))),1-SQRT(RAND()*((E11)-(D11))/((E11)-(C11))))</f>
        <v>4.4544913671950518E-3</v>
      </c>
      <c r="G662" s="71">
        <f ca="1">(C12)+(E12-C12)*IF(RAND()&lt;((D12)-(C12))/((E12)-(C12)),SQRT(RAND()*((D12)-(C12))/((E12)-(C12))),1-SQRT(RAND()*((E12)-(D12))/((E12)-(C12))))</f>
        <v>0.16979824230330021</v>
      </c>
      <c r="H662" s="72">
        <f t="shared" ca="1" si="20"/>
        <v>182783367.93788594</v>
      </c>
      <c r="I662" s="73">
        <f t="shared" ca="1" si="21"/>
        <v>196.24609198705457</v>
      </c>
    </row>
    <row r="663" spans="1:9" ht="16.05" customHeight="1" x14ac:dyDescent="0.3">
      <c r="A663" s="66">
        <v>647</v>
      </c>
      <c r="B663" s="67">
        <f ca="1">(C7)+(E7-C7)*IF(RAND()&lt;((D7)-(C7))/((E7)-(C7)),SQRT(RAND()*((D7)-(C7))/((E7)-(C7))),1-SQRT(RAND()*((E7)-(D7))/((E7)-(C7))))</f>
        <v>0.36934336438275328</v>
      </c>
      <c r="C663" s="67">
        <f ca="1">(C8)+(E8-C8)*IF(RAND()&lt;((D8)-(C8))/((E8)-(C8)),SQRT(RAND()*((D8)-(C8))/((E8)-(C8))),1-SQRT(RAND()*((E8)-(D8))/((E8)-(C8))))</f>
        <v>0.63099352402591669</v>
      </c>
      <c r="D663" s="68">
        <f ca="1">(C9)+(E9-C9)*IF(RAND()&lt;((D9)-(C9))/((E9)-(C9)),SQRT(RAND()*((D9)-(C9))/((E9)-(C9))),1-SQRT(RAND()*((E9)-(D9))/((E9)-(C9))))</f>
        <v>1213316.2338476442</v>
      </c>
      <c r="E663" s="68">
        <f ca="1">(C10)+(E10-C10)*IF(RAND()&lt;((D10)-(C10))/((E10)-(C10)),SQRT(RAND()*((D10)-(C10))/((E10)-(C10))),1-SQRT(RAND()*((E10)-(D10))/((E10)-(C10))))</f>
        <v>2976957.3062488157</v>
      </c>
      <c r="F663" s="67">
        <f ca="1">(C11)+(E11-C11)*IF(RAND()&lt;((D11)-(C11))/((E11)-(C11)),SQRT(RAND()*((D11)-(C11))/((E11)-(C11))),1-SQRT(RAND()*((E11)-(D11))/((E11)-(C11))))</f>
        <v>1.1047133698085316E-2</v>
      </c>
      <c r="G663" s="67">
        <f ca="1">(C12)+(E12-C12)*IF(RAND()&lt;((D12)-(C12))/((E12)-(C12)),SQRT(RAND()*((D12)-(C12))/((E12)-(C12))),1-SQRT(RAND()*((E12)-(D12))/((E12)-(C12))))</f>
        <v>0.16757305585020471</v>
      </c>
      <c r="H663" s="68">
        <f t="shared" ca="1" si="20"/>
        <v>320787765.03257811</v>
      </c>
      <c r="I663" s="69">
        <f t="shared" ca="1" si="21"/>
        <v>350.04507350032469</v>
      </c>
    </row>
    <row r="664" spans="1:9" ht="16.05" customHeight="1" x14ac:dyDescent="0.3">
      <c r="A664" s="70">
        <v>648</v>
      </c>
      <c r="B664" s="71">
        <f ca="1">(C7)+(E7-C7)*IF(RAND()&lt;((D7)-(C7))/((E7)-(C7)),SQRT(RAND()*((D7)-(C7))/((E7)-(C7))),1-SQRT(RAND()*((E7)-(D7))/((E7)-(C7))))</f>
        <v>0.27074569478528981</v>
      </c>
      <c r="C664" s="71">
        <f ca="1">(C8)+(E8-C8)*IF(RAND()&lt;((D8)-(C8))/((E8)-(C8)),SQRT(RAND()*((D8)-(C8))/((E8)-(C8))),1-SQRT(RAND()*((E8)-(D8))/((E8)-(C8))))</f>
        <v>0.68260567839273067</v>
      </c>
      <c r="D664" s="72">
        <f ca="1">(C9)+(E9-C9)*IF(RAND()&lt;((D9)-(C9))/((E9)-(C9)),SQRT(RAND()*((D9)-(C9))/((E9)-(C9))),1-SQRT(RAND()*((E9)-(D9))/((E9)-(C9))))</f>
        <v>1164559.8605710547</v>
      </c>
      <c r="E664" s="72">
        <f ca="1">(C10)+(E10-C10)*IF(RAND()&lt;((D10)-(C10))/((E10)-(C10)),SQRT(RAND()*((D10)-(C10))/((E10)-(C10))),1-SQRT(RAND()*((E10)-(D10))/((E10)-(C10))))</f>
        <v>3275512.2415048378</v>
      </c>
      <c r="F664" s="71">
        <f ca="1">(C11)+(E11-C11)*IF(RAND()&lt;((D11)-(C11))/((E11)-(C11)),SQRT(RAND()*((D11)-(C11))/((E11)-(C11))),1-SQRT(RAND()*((E11)-(D11))/((E11)-(C11))))</f>
        <v>1.0487624192641858E-2</v>
      </c>
      <c r="G664" s="71">
        <f ca="1">(C12)+(E12-C12)*IF(RAND()&lt;((D12)-(C12))/((E12)-(C12)),SQRT(RAND()*((D12)-(C12))/((E12)-(C12))),1-SQRT(RAND()*((E12)-(D12))/((E12)-(C12))))</f>
        <v>0.13728379789081455</v>
      </c>
      <c r="H664" s="72">
        <f t="shared" ca="1" si="20"/>
        <v>263182641.16975367</v>
      </c>
      <c r="I664" s="73">
        <f t="shared" ca="1" si="21"/>
        <v>299.40120747741918</v>
      </c>
    </row>
    <row r="665" spans="1:9" ht="16.05" customHeight="1" x14ac:dyDescent="0.3">
      <c r="A665" s="66">
        <v>649</v>
      </c>
      <c r="B665" s="67">
        <f ca="1">(C7)+(E7-C7)*IF(RAND()&lt;((D7)-(C7))/((E7)-(C7)),SQRT(RAND()*((D7)-(C7))/((E7)-(C7))),1-SQRT(RAND()*((E7)-(D7))/((E7)-(C7))))</f>
        <v>0.29548965911560254</v>
      </c>
      <c r="C665" s="67">
        <f ca="1">(C8)+(E8-C8)*IF(RAND()&lt;((D8)-(C8))/((E8)-(C8)),SQRT(RAND()*((D8)-(C8))/((E8)-(C8))),1-SQRT(RAND()*((E8)-(D8))/((E8)-(C8))))</f>
        <v>0.63119856643017469</v>
      </c>
      <c r="D665" s="68">
        <f ca="1">(C9)+(E9-C9)*IF(RAND()&lt;((D9)-(C9))/((E9)-(C9)),SQRT(RAND()*((D9)-(C9))/((E9)-(C9))),1-SQRT(RAND()*((E9)-(D9))/((E9)-(C9))))</f>
        <v>1164757.1236659985</v>
      </c>
      <c r="E665" s="68">
        <f ca="1">(C10)+(E10-C10)*IF(RAND()&lt;((D10)-(C10))/((E10)-(C10)),SQRT(RAND()*((D10)-(C10))/((E10)-(C10))),1-SQRT(RAND()*((E10)-(D10))/((E10)-(C10))))</f>
        <v>3988805.3687569574</v>
      </c>
      <c r="F665" s="67">
        <f ca="1">(C11)+(E11-C11)*IF(RAND()&lt;((D11)-(C11))/((E11)-(C11)),SQRT(RAND()*((D11)-(C11))/((E11)-(C11))),1-SQRT(RAND()*((E11)-(D11))/((E11)-(C11))))</f>
        <v>8.6522961327591286E-3</v>
      </c>
      <c r="G665" s="67">
        <f ca="1">(C12)+(E12-C12)*IF(RAND()&lt;((D12)-(C12))/((E12)-(C12)),SQRT(RAND()*((D12)-(C12))/((E12)-(C12))),1-SQRT(RAND()*((E12)-(D12))/((E12)-(C12))))</f>
        <v>0.17954994422742276</v>
      </c>
      <c r="H665" s="68">
        <f t="shared" ca="1" si="20"/>
        <v>249081365.76490027</v>
      </c>
      <c r="I665" s="69">
        <f t="shared" ca="1" si="21"/>
        <v>283.38224104987756</v>
      </c>
    </row>
    <row r="666" spans="1:9" ht="16.05" customHeight="1" x14ac:dyDescent="0.3">
      <c r="A666" s="70">
        <v>650</v>
      </c>
      <c r="B666" s="71">
        <f ca="1">(C7)+(E7-C7)*IF(RAND()&lt;((D7)-(C7))/((E7)-(C7)),SQRT(RAND()*((D7)-(C7))/((E7)-(C7))),1-SQRT(RAND()*((E7)-(D7))/((E7)-(C7))))</f>
        <v>0.29162742430792588</v>
      </c>
      <c r="C666" s="71">
        <f ca="1">(C8)+(E8-C8)*IF(RAND()&lt;((D8)-(C8))/((E8)-(C8)),SQRT(RAND()*((D8)-(C8))/((E8)-(C8))),1-SQRT(RAND()*((E8)-(D8))/((E8)-(C8))))</f>
        <v>0.71428258070071626</v>
      </c>
      <c r="D666" s="72">
        <f ca="1">(C9)+(E9-C9)*IF(RAND()&lt;((D9)-(C9))/((E9)-(C9)),SQRT(RAND()*((D9)-(C9))/((E9)-(C9))),1-SQRT(RAND()*((E9)-(D9))/((E9)-(C9))))</f>
        <v>1153873.5435285526</v>
      </c>
      <c r="E666" s="72">
        <f ca="1">(C10)+(E10-C10)*IF(RAND()&lt;((D10)-(C10))/((E10)-(C10)),SQRT(RAND()*((D10)-(C10))/((E10)-(C10))),1-SQRT(RAND()*((E10)-(D10))/((E10)-(C10))))</f>
        <v>3442146.7203768902</v>
      </c>
      <c r="F666" s="71">
        <f ca="1">(C11)+(E11-C11)*IF(RAND()&lt;((D11)-(C11))/((E11)-(C11)),SQRT(RAND()*((D11)-(C11))/((E11)-(C11))),1-SQRT(RAND()*((E11)-(D11))/((E11)-(C11))))</f>
        <v>1.4309521892120654E-2</v>
      </c>
      <c r="G666" s="71">
        <f ca="1">(C12)+(E12-C12)*IF(RAND()&lt;((D12)-(C12))/((E12)-(C12)),SQRT(RAND()*((D12)-(C12))/((E12)-(C12))),1-SQRT(RAND()*((E12)-(D12))/((E12)-(C12))))</f>
        <v>0.20456890021094953</v>
      </c>
      <c r="H666" s="72">
        <f t="shared" ca="1" si="20"/>
        <v>315704886.52361953</v>
      </c>
      <c r="I666" s="73">
        <f t="shared" ca="1" si="21"/>
        <v>362.19975378693618</v>
      </c>
    </row>
    <row r="667" spans="1:9" ht="16.05" customHeight="1" x14ac:dyDescent="0.3">
      <c r="A667" s="66">
        <v>651</v>
      </c>
      <c r="B667" s="67">
        <f ca="1">(C7)+(E7-C7)*IF(RAND()&lt;((D7)-(C7))/((E7)-(C7)),SQRT(RAND()*((D7)-(C7))/((E7)-(C7))),1-SQRT(RAND()*((E7)-(D7))/((E7)-(C7))))</f>
        <v>0.32523949914712291</v>
      </c>
      <c r="C667" s="67">
        <f ca="1">(C8)+(E8-C8)*IF(RAND()&lt;((D8)-(C8))/((E8)-(C8)),SQRT(RAND()*((D8)-(C8))/((E8)-(C8))),1-SQRT(RAND()*((E8)-(D8))/((E8)-(C8))))</f>
        <v>0.81805856498461271</v>
      </c>
      <c r="D667" s="68">
        <f ca="1">(C9)+(E9-C9)*IF(RAND()&lt;((D9)-(C9))/((E9)-(C9)),SQRT(RAND()*((D9)-(C9))/((E9)-(C9))),1-SQRT(RAND()*((E9)-(D9))/((E9)-(C9))))</f>
        <v>1179069.6819235357</v>
      </c>
      <c r="E667" s="68">
        <f ca="1">(C10)+(E10-C10)*IF(RAND()&lt;((D10)-(C10))/((E10)-(C10)),SQRT(RAND()*((D10)-(C10))/((E10)-(C10))),1-SQRT(RAND()*((E10)-(D10))/((E10)-(C10))))</f>
        <v>2940252.8950587693</v>
      </c>
      <c r="F667" s="67">
        <f ca="1">(C11)+(E11-C11)*IF(RAND()&lt;((D11)-(C11))/((E11)-(C11)),SQRT(RAND()*((D11)-(C11))/((E11)-(C11))),1-SQRT(RAND()*((E11)-(D11))/((E11)-(C11))))</f>
        <v>1.123195099198661E-2</v>
      </c>
      <c r="G667" s="67">
        <f ca="1">(C12)+(E12-C12)*IF(RAND()&lt;((D12)-(C12))/((E12)-(C12)),SQRT(RAND()*((D12)-(C12))/((E12)-(C12))),1-SQRT(RAND()*((E12)-(D12))/((E12)-(C12))))</f>
        <v>0.20675514799042793</v>
      </c>
      <c r="H667" s="68">
        <f t="shared" ca="1" si="20"/>
        <v>358210354.50556928</v>
      </c>
      <c r="I667" s="69">
        <f t="shared" ca="1" si="21"/>
        <v>402.03741211574544</v>
      </c>
    </row>
    <row r="668" spans="1:9" ht="16.05" customHeight="1" x14ac:dyDescent="0.3">
      <c r="A668" s="70">
        <v>652</v>
      </c>
      <c r="B668" s="71">
        <f ca="1">(C7)+(E7-C7)*IF(RAND()&lt;((D7)-(C7))/((E7)-(C7)),SQRT(RAND()*((D7)-(C7))/((E7)-(C7))),1-SQRT(RAND()*((E7)-(D7))/((E7)-(C7))))</f>
        <v>0.2274402711783195</v>
      </c>
      <c r="C668" s="71">
        <f ca="1">(C8)+(E8-C8)*IF(RAND()&lt;((D8)-(C8))/((E8)-(C8)),SQRT(RAND()*((D8)-(C8))/((E8)-(C8))),1-SQRT(RAND()*((E8)-(D8))/((E8)-(C8))))</f>
        <v>0.71060202381355742</v>
      </c>
      <c r="D668" s="72">
        <f ca="1">(C9)+(E9-C9)*IF(RAND()&lt;((D9)-(C9))/((E9)-(C9)),SQRT(RAND()*((D9)-(C9))/((E9)-(C9))),1-SQRT(RAND()*((E9)-(D9))/((E9)-(C9))))</f>
        <v>1197154.6889032791</v>
      </c>
      <c r="E668" s="72">
        <f ca="1">(C10)+(E10-C10)*IF(RAND()&lt;((D10)-(C10))/((E10)-(C10)),SQRT(RAND()*((D10)-(C10))/((E10)-(C10))),1-SQRT(RAND()*((E10)-(D10))/((E10)-(C10))))</f>
        <v>3191511.0301393145</v>
      </c>
      <c r="F668" s="71">
        <f ca="1">(C11)+(E11-C11)*IF(RAND()&lt;((D11)-(C11))/((E11)-(C11)),SQRT(RAND()*((D11)-(C11))/((E11)-(C11))),1-SQRT(RAND()*((E11)-(D11))/((E11)-(C11))))</f>
        <v>8.5813234730107348E-3</v>
      </c>
      <c r="G668" s="71">
        <f ca="1">(C12)+(E12-C12)*IF(RAND()&lt;((D12)-(C12))/((E12)-(C12)),SQRT(RAND()*((D12)-(C12))/((E12)-(C12))),1-SQRT(RAND()*((E12)-(D12))/((E12)-(C12))))</f>
        <v>0.16763964892198296</v>
      </c>
      <c r="H668" s="72">
        <f t="shared" ca="1" si="20"/>
        <v>224476456.98084167</v>
      </c>
      <c r="I668" s="73">
        <f t="shared" ca="1" si="21"/>
        <v>248.64009134386842</v>
      </c>
    </row>
    <row r="669" spans="1:9" ht="16.05" customHeight="1" x14ac:dyDescent="0.3">
      <c r="A669" s="66">
        <v>653</v>
      </c>
      <c r="B669" s="67">
        <f ca="1">(C7)+(E7-C7)*IF(RAND()&lt;((D7)-(C7))/((E7)-(C7)),SQRT(RAND()*((D7)-(C7))/((E7)-(C7))),1-SQRT(RAND()*((E7)-(D7))/((E7)-(C7))))</f>
        <v>0.25798866534333925</v>
      </c>
      <c r="C669" s="67">
        <f ca="1">(C8)+(E8-C8)*IF(RAND()&lt;((D8)-(C8))/((E8)-(C8)),SQRT(RAND()*((D8)-(C8))/((E8)-(C8))),1-SQRT(RAND()*((E8)-(D8))/((E8)-(C8))))</f>
        <v>0.70043025520713387</v>
      </c>
      <c r="D669" s="68">
        <f ca="1">(C9)+(E9-C9)*IF(RAND()&lt;((D9)-(C9))/((E9)-(C9)),SQRT(RAND()*((D9)-(C9))/((E9)-(C9))),1-SQRT(RAND()*((E9)-(D9))/((E9)-(C9))))</f>
        <v>1232826.9322031345</v>
      </c>
      <c r="E669" s="68">
        <f ca="1">(C10)+(E10-C10)*IF(RAND()&lt;((D10)-(C10))/((E10)-(C10)),SQRT(RAND()*((D10)-(C10))/((E10)-(C10))),1-SQRT(RAND()*((E10)-(D10))/((E10)-(C10))))</f>
        <v>2856437.2317303615</v>
      </c>
      <c r="F669" s="67">
        <f ca="1">(C11)+(E11-C11)*IF(RAND()&lt;((D11)-(C11))/((E11)-(C11)),SQRT(RAND()*((D11)-(C11))/((E11)-(C11))),1-SQRT(RAND()*((E11)-(D11))/((E11)-(C11))))</f>
        <v>1.0678638892837204E-2</v>
      </c>
      <c r="G669" s="67">
        <f ca="1">(C12)+(E12-C12)*IF(RAND()&lt;((D12)-(C12))/((E12)-(C12)),SQRT(RAND()*((D12)-(C12))/((E12)-(C12))),1-SQRT(RAND()*((E12)-(D12))/((E12)-(C12))))</f>
        <v>0.16231521009675781</v>
      </c>
      <c r="H669" s="68">
        <f t="shared" ca="1" si="20"/>
        <v>261610742.14299089</v>
      </c>
      <c r="I669" s="69">
        <f t="shared" ca="1" si="21"/>
        <v>281.21332181324766</v>
      </c>
    </row>
    <row r="670" spans="1:9" ht="16.05" customHeight="1" x14ac:dyDescent="0.3">
      <c r="A670" s="70">
        <v>654</v>
      </c>
      <c r="B670" s="71">
        <f ca="1">(C7)+(E7-C7)*IF(RAND()&lt;((D7)-(C7))/((E7)-(C7)),SQRT(RAND()*((D7)-(C7))/((E7)-(C7))),1-SQRT(RAND()*((E7)-(D7))/((E7)-(C7))))</f>
        <v>0.30560893177371024</v>
      </c>
      <c r="C670" s="71">
        <f ca="1">(C8)+(E8-C8)*IF(RAND()&lt;((D8)-(C8))/((E8)-(C8)),SQRT(RAND()*((D8)-(C8))/((E8)-(C8))),1-SQRT(RAND()*((E8)-(D8))/((E8)-(C8))))</f>
        <v>0.78454655731288192</v>
      </c>
      <c r="D670" s="72">
        <f ca="1">(C9)+(E9-C9)*IF(RAND()&lt;((D9)-(C9))/((E9)-(C9)),SQRT(RAND()*((D9)-(C9))/((E9)-(C9))),1-SQRT(RAND()*((E9)-(D9))/((E9)-(C9))))</f>
        <v>1230846.9765375978</v>
      </c>
      <c r="E670" s="72">
        <f ca="1">(C10)+(E10-C10)*IF(RAND()&lt;((D10)-(C10))/((E10)-(C10)),SQRT(RAND()*((D10)-(C10))/((E10)-(C10))),1-SQRT(RAND()*((E10)-(D10))/((E10)-(C10))))</f>
        <v>3395376.6146596004</v>
      </c>
      <c r="F670" s="71">
        <f ca="1">(C11)+(E11-C11)*IF(RAND()&lt;((D11)-(C11))/((E11)-(C11)),SQRT(RAND()*((D11)-(C11))/((E11)-(C11))),1-SQRT(RAND()*((E11)-(D11))/((E11)-(C11))))</f>
        <v>1.5432316576165946E-2</v>
      </c>
      <c r="G670" s="71">
        <f ca="1">(C12)+(E12-C12)*IF(RAND()&lt;((D12)-(C12))/((E12)-(C12)),SQRT(RAND()*((D12)-(C12))/((E12)-(C12))),1-SQRT(RAND()*((E12)-(D12))/((E12)-(C12))))</f>
        <v>0.13155775789772872</v>
      </c>
      <c r="H670" s="72">
        <f t="shared" ca="1" si="20"/>
        <v>358136296.31043339</v>
      </c>
      <c r="I670" s="73">
        <f t="shared" ca="1" si="21"/>
        <v>385.10127126518307</v>
      </c>
    </row>
    <row r="671" spans="1:9" ht="16.05" customHeight="1" x14ac:dyDescent="0.3">
      <c r="A671" s="66">
        <v>655</v>
      </c>
      <c r="B671" s="67">
        <f ca="1">(C7)+(E7-C7)*IF(RAND()&lt;((D7)-(C7))/((E7)-(C7)),SQRT(RAND()*((D7)-(C7))/((E7)-(C7))),1-SQRT(RAND()*((E7)-(D7))/((E7)-(C7))))</f>
        <v>0.33069713350398089</v>
      </c>
      <c r="C671" s="67">
        <f ca="1">(C8)+(E8-C8)*IF(RAND()&lt;((D8)-(C8))/((E8)-(C8)),SQRT(RAND()*((D8)-(C8))/((E8)-(C8))),1-SQRT(RAND()*((E8)-(D8))/((E8)-(C8))))</f>
        <v>0.67112536006279011</v>
      </c>
      <c r="D671" s="68">
        <f ca="1">(C9)+(E9-C9)*IF(RAND()&lt;((D9)-(C9))/((E9)-(C9)),SQRT(RAND()*((D9)-(C9))/((E9)-(C9))),1-SQRT(RAND()*((E9)-(D9))/((E9)-(C9))))</f>
        <v>1184284.4628363131</v>
      </c>
      <c r="E671" s="68">
        <f ca="1">(C10)+(E10-C10)*IF(RAND()&lt;((D10)-(C10))/((E10)-(C10)),SQRT(RAND()*((D10)-(C10))/((E10)-(C10))),1-SQRT(RAND()*((E10)-(D10))/((E10)-(C10))))</f>
        <v>2922971.7858206877</v>
      </c>
      <c r="F671" s="67">
        <f ca="1">(C11)+(E11-C11)*IF(RAND()&lt;((D11)-(C11))/((E11)-(C11)),SQRT(RAND()*((D11)-(C11))/((E11)-(C11))),1-SQRT(RAND()*((E11)-(D11))/((E11)-(C11))))</f>
        <v>6.3741450263686784E-3</v>
      </c>
      <c r="G671" s="67">
        <f ca="1">(C12)+(E12-C12)*IF(RAND()&lt;((D12)-(C12))/((E12)-(C12)),SQRT(RAND()*((D12)-(C12))/((E12)-(C12))),1-SQRT(RAND()*((E12)-(D12))/((E12)-(C12))))</f>
        <v>0.1859201968207736</v>
      </c>
      <c r="H671" s="68">
        <f t="shared" ca="1" si="20"/>
        <v>275201827.85626757</v>
      </c>
      <c r="I671" s="69">
        <f t="shared" ca="1" si="21"/>
        <v>307.82283498770522</v>
      </c>
    </row>
    <row r="672" spans="1:9" ht="16.05" customHeight="1" x14ac:dyDescent="0.3">
      <c r="A672" s="70">
        <v>656</v>
      </c>
      <c r="B672" s="71">
        <f ca="1">(C7)+(E7-C7)*IF(RAND()&lt;((D7)-(C7))/((E7)-(C7)),SQRT(RAND()*((D7)-(C7))/((E7)-(C7))),1-SQRT(RAND()*((E7)-(D7))/((E7)-(C7))))</f>
        <v>0.22219345626408701</v>
      </c>
      <c r="C672" s="71">
        <f ca="1">(C8)+(E8-C8)*IF(RAND()&lt;((D8)-(C8))/((E8)-(C8)),SQRT(RAND()*((D8)-(C8))/((E8)-(C8))),1-SQRT(RAND()*((E8)-(D8))/((E8)-(C8))))</f>
        <v>0.68249392716745827</v>
      </c>
      <c r="D672" s="72">
        <f ca="1">(C9)+(E9-C9)*IF(RAND()&lt;((D9)-(C9))/((E9)-(C9)),SQRT(RAND()*((D9)-(C9))/((E9)-(C9))),1-SQRT(RAND()*((E9)-(D9))/((E9)-(C9))))</f>
        <v>1259722.917301568</v>
      </c>
      <c r="E672" s="72">
        <f ca="1">(C10)+(E10-C10)*IF(RAND()&lt;((D10)-(C10))/((E10)-(C10)),SQRT(RAND()*((D10)-(C10))/((E10)-(C10))),1-SQRT(RAND()*((E10)-(D10))/((E10)-(C10))))</f>
        <v>3163421.8042034367</v>
      </c>
      <c r="F672" s="71">
        <f ca="1">(C11)+(E11-C11)*IF(RAND()&lt;((D11)-(C11))/((E11)-(C11)),SQRT(RAND()*((D11)-(C11))/((E11)-(C11))),1-SQRT(RAND()*((E11)-(D11))/((E11)-(C11))))</f>
        <v>1.8326020771115628E-2</v>
      </c>
      <c r="G672" s="71">
        <f ca="1">(C12)+(E12-C12)*IF(RAND()&lt;((D12)-(C12))/((E12)-(C12)),SQRT(RAND()*((D12)-(C12))/((E12)-(C12))),1-SQRT(RAND()*((E12)-(D12))/((E12)-(C12))))</f>
        <v>0.15764496317109727</v>
      </c>
      <c r="H672" s="72">
        <f t="shared" ca="1" si="20"/>
        <v>284003172.63814515</v>
      </c>
      <c r="I672" s="73">
        <f t="shared" ca="1" si="21"/>
        <v>298.68327462413987</v>
      </c>
    </row>
    <row r="673" spans="1:9" ht="16.05" customHeight="1" x14ac:dyDescent="0.3">
      <c r="A673" s="66">
        <v>657</v>
      </c>
      <c r="B673" s="67">
        <f ca="1">(C7)+(E7-C7)*IF(RAND()&lt;((D7)-(C7))/((E7)-(C7)),SQRT(RAND()*((D7)-(C7))/((E7)-(C7))),1-SQRT(RAND()*((E7)-(D7))/((E7)-(C7))))</f>
        <v>0.26055285372266046</v>
      </c>
      <c r="C673" s="67">
        <f ca="1">(C8)+(E8-C8)*IF(RAND()&lt;((D8)-(C8))/((E8)-(C8)),SQRT(RAND()*((D8)-(C8))/((E8)-(C8))),1-SQRT(RAND()*((E8)-(D8))/((E8)-(C8))))</f>
        <v>0.69575534811121365</v>
      </c>
      <c r="D673" s="68">
        <f ca="1">(C9)+(E9-C9)*IF(RAND()&lt;((D9)-(C9))/((E9)-(C9)),SQRT(RAND()*((D9)-(C9))/((E9)-(C9))),1-SQRT(RAND()*((E9)-(D9))/((E9)-(C9))))</f>
        <v>1305280.8024543738</v>
      </c>
      <c r="E673" s="68">
        <f ca="1">(C10)+(E10-C10)*IF(RAND()&lt;((D10)-(C10))/((E10)-(C10)),SQRT(RAND()*((D10)-(C10))/((E10)-(C10))),1-SQRT(RAND()*((E10)-(D10))/((E10)-(C10))))</f>
        <v>4503990.3050563429</v>
      </c>
      <c r="F673" s="67">
        <f ca="1">(C11)+(E11-C11)*IF(RAND()&lt;((D11)-(C11))/((E11)-(C11)),SQRT(RAND()*((D11)-(C11))/((E11)-(C11))),1-SQRT(RAND()*((E11)-(D11))/((E11)-(C11))))</f>
        <v>1.3637067140037443E-2</v>
      </c>
      <c r="G673" s="67">
        <f ca="1">(C12)+(E12-C12)*IF(RAND()&lt;((D12)-(C12))/((E12)-(C12)),SQRT(RAND()*((D12)-(C12))/((E12)-(C12))),1-SQRT(RAND()*((E12)-(D12))/((E12)-(C12))))</f>
        <v>0.14111960553742769</v>
      </c>
      <c r="H673" s="68">
        <f t="shared" ca="1" si="20"/>
        <v>277274500.18092567</v>
      </c>
      <c r="I673" s="69">
        <f t="shared" ca="1" si="21"/>
        <v>281.50511478290252</v>
      </c>
    </row>
    <row r="674" spans="1:9" ht="16.05" customHeight="1" x14ac:dyDescent="0.3">
      <c r="A674" s="70">
        <v>658</v>
      </c>
      <c r="B674" s="71">
        <f ca="1">(C7)+(E7-C7)*IF(RAND()&lt;((D7)-(C7))/((E7)-(C7)),SQRT(RAND()*((D7)-(C7))/((E7)-(C7))),1-SQRT(RAND()*((E7)-(D7))/((E7)-(C7))))</f>
        <v>0.26932092748632758</v>
      </c>
      <c r="C674" s="71">
        <f ca="1">(C8)+(E8-C8)*IF(RAND()&lt;((D8)-(C8))/((E8)-(C8)),SQRT(RAND()*((D8)-(C8))/((E8)-(C8))),1-SQRT(RAND()*((E8)-(D8))/((E8)-(C8))))</f>
        <v>0.59881776010699206</v>
      </c>
      <c r="D674" s="72">
        <f ca="1">(C9)+(E9-C9)*IF(RAND()&lt;((D9)-(C9))/((E9)-(C9)),SQRT(RAND()*((D9)-(C9))/((E9)-(C9))),1-SQRT(RAND()*((E9)-(D9))/((E9)-(C9))))</f>
        <v>1164580.0838636737</v>
      </c>
      <c r="E674" s="72">
        <f ca="1">(C10)+(E10-C10)*IF(RAND()&lt;((D10)-(C10))/((E10)-(C10)),SQRT(RAND()*((D10)-(C10))/((E10)-(C10))),1-SQRT(RAND()*((E10)-(D10))/((E10)-(C10))))</f>
        <v>4260945.9631603463</v>
      </c>
      <c r="F674" s="71">
        <f ca="1">(C11)+(E11-C11)*IF(RAND()&lt;((D11)-(C11))/((E11)-(C11)),SQRT(RAND()*((D11)-(C11))/((E11)-(C11))),1-SQRT(RAND()*((E11)-(D11))/((E11)-(C11))))</f>
        <v>3.9721749130952099E-3</v>
      </c>
      <c r="G674" s="71">
        <f ca="1">(C12)+(E12-C12)*IF(RAND()&lt;((D12)-(C12))/((E12)-(C12)),SQRT(RAND()*((D12)-(C12))/((E12)-(C12))),1-SQRT(RAND()*((E12)-(D12))/((E12)-(C12))))</f>
        <v>0.11745047684846056</v>
      </c>
      <c r="H674" s="72">
        <f t="shared" ca="1" si="20"/>
        <v>186812034.6929515</v>
      </c>
      <c r="I674" s="73">
        <f t="shared" ca="1" si="21"/>
        <v>212.89973147202164</v>
      </c>
    </row>
    <row r="675" spans="1:9" ht="16.05" customHeight="1" x14ac:dyDescent="0.3">
      <c r="A675" s="66">
        <v>659</v>
      </c>
      <c r="B675" s="67">
        <f ca="1">(C7)+(E7-C7)*IF(RAND()&lt;((D7)-(C7))/((E7)-(C7)),SQRT(RAND()*((D7)-(C7))/((E7)-(C7))),1-SQRT(RAND()*((E7)-(D7))/((E7)-(C7))))</f>
        <v>0.23258915574011768</v>
      </c>
      <c r="C675" s="67">
        <f ca="1">(C8)+(E8-C8)*IF(RAND()&lt;((D8)-(C8))/((E8)-(C8)),SQRT(RAND()*((D8)-(C8))/((E8)-(C8))),1-SQRT(RAND()*((E8)-(D8))/((E8)-(C8))))</f>
        <v>0.73308511538077259</v>
      </c>
      <c r="D675" s="68">
        <f ca="1">(C9)+(E9-C9)*IF(RAND()&lt;((D9)-(C9))/((E9)-(C9)),SQRT(RAND()*((D9)-(C9))/((E9)-(C9))),1-SQRT(RAND()*((E9)-(D9))/((E9)-(C9))))</f>
        <v>1326987.7432230939</v>
      </c>
      <c r="E675" s="68">
        <f ca="1">(C10)+(E10-C10)*IF(RAND()&lt;((D10)-(C10))/((E10)-(C10)),SQRT(RAND()*((D10)-(C10))/((E10)-(C10))),1-SQRT(RAND()*((E10)-(D10))/((E10)-(C10))))</f>
        <v>2620181.6345161675</v>
      </c>
      <c r="F675" s="67">
        <f ca="1">(C11)+(E11-C11)*IF(RAND()&lt;((D11)-(C11))/((E11)-(C11)),SQRT(RAND()*((D11)-(C11))/((E11)-(C11))),1-SQRT(RAND()*((E11)-(D11))/((E11)-(C11))))</f>
        <v>1.2525555792497286E-2</v>
      </c>
      <c r="G675" s="67">
        <f ca="1">(C12)+(E12-C12)*IF(RAND()&lt;((D12)-(C12))/((E12)-(C12)),SQRT(RAND()*((D12)-(C12))/((E12)-(C12))),1-SQRT(RAND()*((E12)-(D12))/((E12)-(C12))))</f>
        <v>0.13934795545024961</v>
      </c>
      <c r="H675" s="68">
        <f t="shared" ca="1" si="20"/>
        <v>264650425.61074749</v>
      </c>
      <c r="I675" s="69">
        <f t="shared" ca="1" si="21"/>
        <v>264.37384953028925</v>
      </c>
    </row>
    <row r="676" spans="1:9" ht="16.05" customHeight="1" x14ac:dyDescent="0.3">
      <c r="A676" s="70">
        <v>660</v>
      </c>
      <c r="B676" s="71">
        <f ca="1">(C7)+(E7-C7)*IF(RAND()&lt;((D7)-(C7))/((E7)-(C7)),SQRT(RAND()*((D7)-(C7))/((E7)-(C7))),1-SQRT(RAND()*((E7)-(D7))/((E7)-(C7))))</f>
        <v>0.26141019416177419</v>
      </c>
      <c r="C676" s="71">
        <f ca="1">(C8)+(E8-C8)*IF(RAND()&lt;((D8)-(C8))/((E8)-(C8)),SQRT(RAND()*((D8)-(C8))/((E8)-(C8))),1-SQRT(RAND()*((E8)-(D8))/((E8)-(C8))))</f>
        <v>0.88531109736647839</v>
      </c>
      <c r="D676" s="72">
        <f ca="1">(C9)+(E9-C9)*IF(RAND()&lt;((D9)-(C9))/((E9)-(C9)),SQRT(RAND()*((D9)-(C9))/((E9)-(C9))),1-SQRT(RAND()*((E9)-(D9))/((E9)-(C9))))</f>
        <v>1347570.4404687383</v>
      </c>
      <c r="E676" s="72">
        <f ca="1">(C10)+(E10-C10)*IF(RAND()&lt;((D10)-(C10))/((E10)-(C10)),SQRT(RAND()*((D10)-(C10))/((E10)-(C10))),1-SQRT(RAND()*((E10)-(D10))/((E10)-(C10))))</f>
        <v>3730659.9270461546</v>
      </c>
      <c r="F676" s="71">
        <f ca="1">(C11)+(E11-C11)*IF(RAND()&lt;((D11)-(C11))/((E11)-(C11)),SQRT(RAND()*((D11)-(C11))/((E11)-(C11))),1-SQRT(RAND()*((E11)-(D11))/((E11)-(C11))))</f>
        <v>7.3334815280440245E-3</v>
      </c>
      <c r="G676" s="71">
        <f ca="1">(C12)+(E12-C12)*IF(RAND()&lt;((D12)-(C12))/((E12)-(C12)),SQRT(RAND()*((D12)-(C12))/((E12)-(C12))),1-SQRT(RAND()*((E12)-(D12))/((E12)-(C12))))</f>
        <v>0.17314248317192024</v>
      </c>
      <c r="H676" s="72">
        <f t="shared" ca="1" si="20"/>
        <v>289225754.71840459</v>
      </c>
      <c r="I676" s="73">
        <f t="shared" ca="1" si="21"/>
        <v>284.41003476003959</v>
      </c>
    </row>
    <row r="677" spans="1:9" ht="16.05" customHeight="1" x14ac:dyDescent="0.3">
      <c r="A677" s="66">
        <v>661</v>
      </c>
      <c r="B677" s="67">
        <f ca="1">(C7)+(E7-C7)*IF(RAND()&lt;((D7)-(C7))/((E7)-(C7)),SQRT(RAND()*((D7)-(C7))/((E7)-(C7))),1-SQRT(RAND()*((E7)-(D7))/((E7)-(C7))))</f>
        <v>0.28259376060393615</v>
      </c>
      <c r="C677" s="67">
        <f ca="1">(C8)+(E8-C8)*IF(RAND()&lt;((D8)-(C8))/((E8)-(C8)),SQRT(RAND()*((D8)-(C8))/((E8)-(C8))),1-SQRT(RAND()*((E8)-(D8))/((E8)-(C8))))</f>
        <v>0.63367328322183092</v>
      </c>
      <c r="D677" s="68">
        <f ca="1">(C9)+(E9-C9)*IF(RAND()&lt;((D9)-(C9))/((E9)-(C9)),SQRT(RAND()*((D9)-(C9))/((E9)-(C9))),1-SQRT(RAND()*((E9)-(D9))/((E9)-(C9))))</f>
        <v>1188386.5286898268</v>
      </c>
      <c r="E677" s="68">
        <f ca="1">(C10)+(E10-C10)*IF(RAND()&lt;((D10)-(C10))/((E10)-(C10)),SQRT(RAND()*((D10)-(C10))/((E10)-(C10))),1-SQRT(RAND()*((E10)-(D10))/((E10)-(C10))))</f>
        <v>4096832.4084849656</v>
      </c>
      <c r="F677" s="67">
        <f ca="1">(C11)+(E11-C11)*IF(RAND()&lt;((D11)-(C11))/((E11)-(C11)),SQRT(RAND()*((D11)-(C11))/((E11)-(C11))),1-SQRT(RAND()*((E11)-(D11))/((E11)-(C11))))</f>
        <v>1.4016724933032187E-2</v>
      </c>
      <c r="G677" s="67">
        <f ca="1">(C12)+(E12-C12)*IF(RAND()&lt;((D12)-(C12))/((E12)-(C12)),SQRT(RAND()*((D12)-(C12))/((E12)-(C12))),1-SQRT(RAND()*((E12)-(D12))/((E12)-(C12))))</f>
        <v>0.16702332510194451</v>
      </c>
      <c r="H677" s="68">
        <f t="shared" ca="1" si="20"/>
        <v>279271870.18712586</v>
      </c>
      <c r="I677" s="69">
        <f t="shared" ca="1" si="21"/>
        <v>311.28217713072871</v>
      </c>
    </row>
    <row r="678" spans="1:9" ht="16.05" customHeight="1" x14ac:dyDescent="0.3">
      <c r="A678" s="70">
        <v>662</v>
      </c>
      <c r="B678" s="71">
        <f ca="1">(C7)+(E7-C7)*IF(RAND()&lt;((D7)-(C7))/((E7)-(C7)),SQRT(RAND()*((D7)-(C7))/((E7)-(C7))),1-SQRT(RAND()*((E7)-(D7))/((E7)-(C7))))</f>
        <v>0.25364742562618126</v>
      </c>
      <c r="C678" s="71">
        <f ca="1">(C8)+(E8-C8)*IF(RAND()&lt;((D8)-(C8))/((E8)-(C8)),SQRT(RAND()*((D8)-(C8))/((E8)-(C8))),1-SQRT(RAND()*((E8)-(D8))/((E8)-(C8))))</f>
        <v>0.67908427548949224</v>
      </c>
      <c r="D678" s="72">
        <f ca="1">(C9)+(E9-C9)*IF(RAND()&lt;((D9)-(C9))/((E9)-(C9)),SQRT(RAND()*((D9)-(C9))/((E9)-(C9))),1-SQRT(RAND()*((E9)-(D9))/((E9)-(C9))))</f>
        <v>1265127.9869397245</v>
      </c>
      <c r="E678" s="72">
        <f ca="1">(C10)+(E10-C10)*IF(RAND()&lt;((D10)-(C10))/((E10)-(C10)),SQRT(RAND()*((D10)-(C10))/((E10)-(C10))),1-SQRT(RAND()*((E10)-(D10))/((E10)-(C10))))</f>
        <v>4054941.9582016799</v>
      </c>
      <c r="F678" s="71">
        <f ca="1">(C11)+(E11-C11)*IF(RAND()&lt;((D11)-(C11))/((E11)-(C11)),SQRT(RAND()*((D11)-(C11))/((E11)-(C11))),1-SQRT(RAND()*((E11)-(D11))/((E11)-(C11))))</f>
        <v>2.4574774878733139E-2</v>
      </c>
      <c r="G678" s="71">
        <f ca="1">(C12)+(E12-C12)*IF(RAND()&lt;((D12)-(C12))/((E12)-(C12)),SQRT(RAND()*((D12)-(C12))/((E12)-(C12))),1-SQRT(RAND()*((E12)-(D12))/((E12)-(C12))))</f>
        <v>0.13544039636274596</v>
      </c>
      <c r="H678" s="72">
        <f t="shared" ca="1" si="20"/>
        <v>348133959.8821609</v>
      </c>
      <c r="I678" s="73">
        <f t="shared" ca="1" si="21"/>
        <v>364.27381309778082</v>
      </c>
    </row>
    <row r="679" spans="1:9" ht="16.05" customHeight="1" x14ac:dyDescent="0.3">
      <c r="A679" s="66">
        <v>663</v>
      </c>
      <c r="B679" s="67">
        <f ca="1">(C7)+(E7-C7)*IF(RAND()&lt;((D7)-(C7))/((E7)-(C7)),SQRT(RAND()*((D7)-(C7))/((E7)-(C7))),1-SQRT(RAND()*((E7)-(D7))/((E7)-(C7))))</f>
        <v>0.23078544380124941</v>
      </c>
      <c r="C679" s="67">
        <f ca="1">(C8)+(E8-C8)*IF(RAND()&lt;((D8)-(C8))/((E8)-(C8)),SQRT(RAND()*((D8)-(C8))/((E8)-(C8))),1-SQRT(RAND()*((E8)-(D8))/((E8)-(C8))))</f>
        <v>0.64977174764195711</v>
      </c>
      <c r="D679" s="68">
        <f ca="1">(C9)+(E9-C9)*IF(RAND()&lt;((D9)-(C9))/((E9)-(C9)),SQRT(RAND()*((D9)-(C9))/((E9)-(C9))),1-SQRT(RAND()*((E9)-(D9))/((E9)-(C9))))</f>
        <v>1147406.0719654902</v>
      </c>
      <c r="E679" s="68">
        <f ca="1">(C10)+(E10-C10)*IF(RAND()&lt;((D10)-(C10))/((E10)-(C10)),SQRT(RAND()*((D10)-(C10))/((E10)-(C10))),1-SQRT(RAND()*((E10)-(D10))/((E10)-(C10))))</f>
        <v>3722369.3224462774</v>
      </c>
      <c r="F679" s="67">
        <f ca="1">(C11)+(E11-C11)*IF(RAND()&lt;((D11)-(C11))/((E11)-(C11)),SQRT(RAND()*((D11)-(C11))/((E11)-(C11))),1-SQRT(RAND()*((E11)-(D11))/((E11)-(C11))))</f>
        <v>1.1353026774909715E-2</v>
      </c>
      <c r="G679" s="67">
        <f ca="1">(C12)+(E12-C12)*IF(RAND()&lt;((D12)-(C12))/((E12)-(C12)),SQRT(RAND()*((D12)-(C12))/((E12)-(C12))),1-SQRT(RAND()*((E12)-(D12))/((E12)-(C12))))</f>
        <v>0.13212824739047557</v>
      </c>
      <c r="H679" s="68">
        <f t="shared" ca="1" si="20"/>
        <v>229831675.39307818</v>
      </c>
      <c r="I679" s="69">
        <f t="shared" ca="1" si="21"/>
        <v>265.51933659540265</v>
      </c>
    </row>
    <row r="680" spans="1:9" ht="16.05" customHeight="1" x14ac:dyDescent="0.3">
      <c r="A680" s="70">
        <v>664</v>
      </c>
      <c r="B680" s="71">
        <f ca="1">(C7)+(E7-C7)*IF(RAND()&lt;((D7)-(C7))/((E7)-(C7)),SQRT(RAND()*((D7)-(C7))/((E7)-(C7))),1-SQRT(RAND()*((E7)-(D7))/((E7)-(C7))))</f>
        <v>0.31738488630702755</v>
      </c>
      <c r="C680" s="71">
        <f ca="1">(C8)+(E8-C8)*IF(RAND()&lt;((D8)-(C8))/((E8)-(C8)),SQRT(RAND()*((D8)-(C8))/((E8)-(C8))),1-SQRT(RAND()*((E8)-(D8))/((E8)-(C8))))</f>
        <v>0.74933314468990797</v>
      </c>
      <c r="D680" s="72">
        <f ca="1">(C9)+(E9-C9)*IF(RAND()&lt;((D9)-(C9))/((E9)-(C9)),SQRT(RAND()*((D9)-(C9))/((E9)-(C9))),1-SQRT(RAND()*((E9)-(D9))/((E9)-(C9))))</f>
        <v>1327686.3348829155</v>
      </c>
      <c r="E680" s="72">
        <f ca="1">(C10)+(E10-C10)*IF(RAND()&lt;((D10)-(C10))/((E10)-(C10)),SQRT(RAND()*((D10)-(C10))/((E10)-(C10))),1-SQRT(RAND()*((E10)-(D10))/((E10)-(C10))))</f>
        <v>3027090.5307116886</v>
      </c>
      <c r="F680" s="71">
        <f ca="1">(C11)+(E11-C11)*IF(RAND()&lt;((D11)-(C11))/((E11)-(C11)),SQRT(RAND()*((D11)-(C11))/((E11)-(C11))),1-SQRT(RAND()*((E11)-(D11))/((E11)-(C11))))</f>
        <v>9.4676751595049718E-3</v>
      </c>
      <c r="G680" s="71">
        <f ca="1">(C12)+(E12-C12)*IF(RAND()&lt;((D12)-(C12))/((E12)-(C12)),SQRT(RAND()*((D12)-(C12))/((E12)-(C12))),1-SQRT(RAND()*((E12)-(D12))/((E12)-(C12))))</f>
        <v>0.13360335393642028</v>
      </c>
      <c r="H680" s="72">
        <f t="shared" ca="1" si="20"/>
        <v>314276981.33697355</v>
      </c>
      <c r="I680" s="73">
        <f t="shared" ca="1" si="21"/>
        <v>313.53684251875865</v>
      </c>
    </row>
    <row r="681" spans="1:9" ht="16.05" customHeight="1" x14ac:dyDescent="0.3">
      <c r="A681" s="66">
        <v>665</v>
      </c>
      <c r="B681" s="67">
        <f ca="1">(C7)+(E7-C7)*IF(RAND()&lt;((D7)-(C7))/((E7)-(C7)),SQRT(RAND()*((D7)-(C7))/((E7)-(C7))),1-SQRT(RAND()*((E7)-(D7))/((E7)-(C7))))</f>
        <v>0.21872477712709257</v>
      </c>
      <c r="C681" s="67">
        <f ca="1">(C8)+(E8-C8)*IF(RAND()&lt;((D8)-(C8))/((E8)-(C8)),SQRT(RAND()*((D8)-(C8))/((E8)-(C8))),1-SQRT(RAND()*((E8)-(D8))/((E8)-(C8))))</f>
        <v>0.63609104945781292</v>
      </c>
      <c r="D681" s="68">
        <f ca="1">(C9)+(E9-C9)*IF(RAND()&lt;((D9)-(C9))/((E9)-(C9)),SQRT(RAND()*((D9)-(C9))/((E9)-(C9))),1-SQRT(RAND()*((E9)-(D9))/((E9)-(C9))))</f>
        <v>1240247.6322288129</v>
      </c>
      <c r="E681" s="68">
        <f ca="1">(C10)+(E10-C10)*IF(RAND()&lt;((D10)-(C10))/((E10)-(C10)),SQRT(RAND()*((D10)-(C10))/((E10)-(C10))),1-SQRT(RAND()*((E10)-(D10))/((E10)-(C10))))</f>
        <v>3982543.6703239912</v>
      </c>
      <c r="F681" s="67">
        <f ca="1">(C11)+(E11-C11)*IF(RAND()&lt;((D11)-(C11))/((E11)-(C11)),SQRT(RAND()*((D11)-(C11))/((E11)-(C11))),1-SQRT(RAND()*((E11)-(D11))/((E11)-(C11))))</f>
        <v>1.8259999412830741E-2</v>
      </c>
      <c r="G681" s="67">
        <f ca="1">(C12)+(E12-C12)*IF(RAND()&lt;((D12)-(C12))/((E12)-(C12)),SQRT(RAND()*((D12)-(C12))/((E12)-(C12))),1-SQRT(RAND()*((E12)-(D12))/((E12)-(C12))))</f>
        <v>0.15299000125648357</v>
      </c>
      <c r="H681" s="68">
        <f t="shared" ca="1" si="20"/>
        <v>266823274.26682612</v>
      </c>
      <c r="I681" s="69">
        <f t="shared" ca="1" si="21"/>
        <v>285.08210752581226</v>
      </c>
    </row>
    <row r="682" spans="1:9" ht="16.05" customHeight="1" x14ac:dyDescent="0.3">
      <c r="A682" s="70">
        <v>666</v>
      </c>
      <c r="B682" s="71">
        <f ca="1">(C7)+(E7-C7)*IF(RAND()&lt;((D7)-(C7))/((E7)-(C7)),SQRT(RAND()*((D7)-(C7))/((E7)-(C7))),1-SQRT(RAND()*((E7)-(D7))/((E7)-(C7))))</f>
        <v>0.27307272847776853</v>
      </c>
      <c r="C682" s="71">
        <f ca="1">(C8)+(E8-C8)*IF(RAND()&lt;((D8)-(C8))/((E8)-(C8)),SQRT(RAND()*((D8)-(C8))/((E8)-(C8))),1-SQRT(RAND()*((E8)-(D8))/((E8)-(C8))))</f>
        <v>0.61877709852444018</v>
      </c>
      <c r="D682" s="72">
        <f ca="1">(C9)+(E9-C9)*IF(RAND()&lt;((D9)-(C9))/((E9)-(C9)),SQRT(RAND()*((D9)-(C9))/((E9)-(C9))),1-SQRT(RAND()*((E9)-(D9))/((E9)-(C9))))</f>
        <v>1087670.1173996746</v>
      </c>
      <c r="E682" s="72">
        <f ca="1">(C10)+(E10-C10)*IF(RAND()&lt;((D10)-(C10))/((E10)-(C10)),SQRT(RAND()*((D10)-(C10))/((E10)-(C10))),1-SQRT(RAND()*((E10)-(D10))/((E10)-(C10))))</f>
        <v>3695157.4883758617</v>
      </c>
      <c r="F682" s="71">
        <f ca="1">(C11)+(E11-C11)*IF(RAND()&lt;((D11)-(C11))/((E11)-(C11)),SQRT(RAND()*((D11)-(C11))/((E11)-(C11))),1-SQRT(RAND()*((E11)-(D11))/((E11)-(C11))))</f>
        <v>1.4666280469668763E-2</v>
      </c>
      <c r="G682" s="71">
        <f ca="1">(C12)+(E12-C12)*IF(RAND()&lt;((D12)-(C12))/((E12)-(C12)),SQRT(RAND()*((D12)-(C12))/((E12)-(C12))),1-SQRT(RAND()*((E12)-(D12))/((E12)-(C12))))</f>
        <v>0.15494835834266185</v>
      </c>
      <c r="H682" s="72">
        <f t="shared" ca="1" si="20"/>
        <v>274594116.27755493</v>
      </c>
      <c r="I682" s="73">
        <f t="shared" ca="1" si="21"/>
        <v>334.31166117649684</v>
      </c>
    </row>
    <row r="683" spans="1:9" ht="16.05" customHeight="1" x14ac:dyDescent="0.3">
      <c r="A683" s="66">
        <v>667</v>
      </c>
      <c r="B683" s="67">
        <f ca="1">(C7)+(E7-C7)*IF(RAND()&lt;((D7)-(C7))/((E7)-(C7)),SQRT(RAND()*((D7)-(C7))/((E7)-(C7))),1-SQRT(RAND()*((E7)-(D7))/((E7)-(C7))))</f>
        <v>0.29906677800525483</v>
      </c>
      <c r="C683" s="67">
        <f ca="1">(C8)+(E8-C8)*IF(RAND()&lt;((D8)-(C8))/((E8)-(C8)),SQRT(RAND()*((D8)-(C8))/((E8)-(C8))),1-SQRT(RAND()*((E8)-(D8))/((E8)-(C8))))</f>
        <v>0.6017519555750942</v>
      </c>
      <c r="D683" s="68">
        <f ca="1">(C9)+(E9-C9)*IF(RAND()&lt;((D9)-(C9))/((E9)-(C9)),SQRT(RAND()*((D9)-(C9))/((E9)-(C9))),1-SQRT(RAND()*((E9)-(D9))/((E9)-(C9))))</f>
        <v>1283801.9554942152</v>
      </c>
      <c r="E683" s="68">
        <f ca="1">(C10)+(E10-C10)*IF(RAND()&lt;((D10)-(C10))/((E10)-(C10)),SQRT(RAND()*((D10)-(C10))/((E10)-(C10))),1-SQRT(RAND()*((E10)-(D10))/((E10)-(C10))))</f>
        <v>3304513.2456723554</v>
      </c>
      <c r="F683" s="67">
        <f ca="1">(C11)+(E11-C11)*IF(RAND()&lt;((D11)-(C11))/((E11)-(C11)),SQRT(RAND()*((D11)-(C11))/((E11)-(C11))),1-SQRT(RAND()*((E11)-(D11))/((E11)-(C11))))</f>
        <v>1.169868290818109E-2</v>
      </c>
      <c r="G683" s="67">
        <f ca="1">(C12)+(E12-C12)*IF(RAND()&lt;((D12)-(C12))/((E12)-(C12)),SQRT(RAND()*((D12)-(C12))/((E12)-(C12))),1-SQRT(RAND()*((E12)-(D12))/((E12)-(C12))))</f>
        <v>0.13722141704528862</v>
      </c>
      <c r="H683" s="68">
        <f t="shared" ca="1" si="20"/>
        <v>266419483.57911837</v>
      </c>
      <c r="I683" s="69">
        <f t="shared" ca="1" si="21"/>
        <v>275.04028959560725</v>
      </c>
    </row>
    <row r="684" spans="1:9" ht="16.05" customHeight="1" x14ac:dyDescent="0.3">
      <c r="A684" s="70">
        <v>668</v>
      </c>
      <c r="B684" s="71">
        <f ca="1">(C7)+(E7-C7)*IF(RAND()&lt;((D7)-(C7))/((E7)-(C7)),SQRT(RAND()*((D7)-(C7))/((E7)-(C7))),1-SQRT(RAND()*((E7)-(D7))/((E7)-(C7))))</f>
        <v>0.24886433375861999</v>
      </c>
      <c r="C684" s="71">
        <f ca="1">(C8)+(E8-C8)*IF(RAND()&lt;((D8)-(C8))/((E8)-(C8)),SQRT(RAND()*((D8)-(C8))/((E8)-(C8))),1-SQRT(RAND()*((E8)-(D8))/((E8)-(C8))))</f>
        <v>0.60611423871331027</v>
      </c>
      <c r="D684" s="72">
        <f ca="1">(C9)+(E9-C9)*IF(RAND()&lt;((D9)-(C9))/((E9)-(C9)),SQRT(RAND()*((D9)-(C9))/((E9)-(C9))),1-SQRT(RAND()*((E9)-(D9))/((E9)-(C9))))</f>
        <v>1292860.5813765132</v>
      </c>
      <c r="E684" s="72">
        <f ca="1">(C10)+(E10-C10)*IF(RAND()&lt;((D10)-(C10))/((E10)-(C10)),SQRT(RAND()*((D10)-(C10))/((E10)-(C10))),1-SQRT(RAND()*((E10)-(D10))/((E10)-(C10))))</f>
        <v>3058217.6425012434</v>
      </c>
      <c r="F684" s="71">
        <f ca="1">(C11)+(E11-C11)*IF(RAND()&lt;((D11)-(C11))/((E11)-(C11)),SQRT(RAND()*((D11)-(C11))/((E11)-(C11))),1-SQRT(RAND()*((E11)-(D11))/((E11)-(C11))))</f>
        <v>7.2197477044174951E-3</v>
      </c>
      <c r="G684" s="71">
        <f ca="1">(C12)+(E12-C12)*IF(RAND()&lt;((D12)-(C12))/((E12)-(C12)),SQRT(RAND()*((D12)-(C12))/((E12)-(C12))),1-SQRT(RAND()*((E12)-(D12))/((E12)-(C12))))</f>
        <v>0.16271698854194755</v>
      </c>
      <c r="H684" s="72">
        <f t="shared" ca="1" si="20"/>
        <v>203331246.79523283</v>
      </c>
      <c r="I684" s="73">
        <f t="shared" ca="1" si="21"/>
        <v>208.75926149109986</v>
      </c>
    </row>
    <row r="685" spans="1:9" ht="16.05" customHeight="1" x14ac:dyDescent="0.3">
      <c r="A685" s="66">
        <v>669</v>
      </c>
      <c r="B685" s="67">
        <f ca="1">(C7)+(E7-C7)*IF(RAND()&lt;((D7)-(C7))/((E7)-(C7)),SQRT(RAND()*((D7)-(C7))/((E7)-(C7))),1-SQRT(RAND()*((E7)-(D7))/((E7)-(C7))))</f>
        <v>0.29837222661948515</v>
      </c>
      <c r="C685" s="67">
        <f ca="1">(C8)+(E8-C8)*IF(RAND()&lt;((D8)-(C8))/((E8)-(C8)),SQRT(RAND()*((D8)-(C8))/((E8)-(C8))),1-SQRT(RAND()*((E8)-(D8))/((E8)-(C8))))</f>
        <v>0.59812696592860626</v>
      </c>
      <c r="D685" s="68">
        <f ca="1">(C9)+(E9-C9)*IF(RAND()&lt;((D9)-(C9))/((E9)-(C9)),SQRT(RAND()*((D9)-(C9))/((E9)-(C9))),1-SQRT(RAND()*((E9)-(D9))/((E9)-(C9))))</f>
        <v>1154103.8602956415</v>
      </c>
      <c r="E685" s="68">
        <f ca="1">(C10)+(E10-C10)*IF(RAND()&lt;((D10)-(C10))/((E10)-(C10)),SQRT(RAND()*((D10)-(C10))/((E10)-(C10))),1-SQRT(RAND()*((E10)-(D10))/((E10)-(C10))))</f>
        <v>3390119.3126153024</v>
      </c>
      <c r="F685" s="67">
        <f ca="1">(C11)+(E11-C11)*IF(RAND()&lt;((D11)-(C11))/((E11)-(C11)),SQRT(RAND()*((D11)-(C11))/((E11)-(C11))),1-SQRT(RAND()*((E11)-(D11))/((E11)-(C11))))</f>
        <v>1.2103370380198156E-2</v>
      </c>
      <c r="G685" s="67">
        <f ca="1">(C12)+(E12-C12)*IF(RAND()&lt;((D12)-(C12))/((E12)-(C12)),SQRT(RAND()*((D12)-(C12))/((E12)-(C12))),1-SQRT(RAND()*((E12)-(D12))/((E12)-(C12))))</f>
        <v>0.14266326232364207</v>
      </c>
      <c r="H685" s="68">
        <f t="shared" ca="1" si="20"/>
        <v>267514125.62852728</v>
      </c>
      <c r="I685" s="69">
        <f t="shared" ca="1" si="21"/>
        <v>307.05209707287742</v>
      </c>
    </row>
    <row r="686" spans="1:9" ht="16.05" customHeight="1" x14ac:dyDescent="0.3">
      <c r="A686" s="70">
        <v>670</v>
      </c>
      <c r="B686" s="71">
        <f ca="1">(C7)+(E7-C7)*IF(RAND()&lt;((D7)-(C7))/((E7)-(C7)),SQRT(RAND()*((D7)-(C7))/((E7)-(C7))),1-SQRT(RAND()*((E7)-(D7))/((E7)-(C7))))</f>
        <v>0.21692847867307141</v>
      </c>
      <c r="C686" s="71">
        <f ca="1">(C8)+(E8-C8)*IF(RAND()&lt;((D8)-(C8))/((E8)-(C8)),SQRT(RAND()*((D8)-(C8))/((E8)-(C8))),1-SQRT(RAND()*((E8)-(D8))/((E8)-(C8))))</f>
        <v>0.82486913307846454</v>
      </c>
      <c r="D686" s="72">
        <f ca="1">(C9)+(E9-C9)*IF(RAND()&lt;((D9)-(C9))/((E9)-(C9)),SQRT(RAND()*((D9)-(C9))/((E9)-(C9))),1-SQRT(RAND()*((E9)-(D9))/((E9)-(C9))))</f>
        <v>1338424.668405615</v>
      </c>
      <c r="E686" s="72">
        <f ca="1">(C10)+(E10-C10)*IF(RAND()&lt;((D10)-(C10))/((E10)-(C10)),SQRT(RAND()*((D10)-(C10))/((E10)-(C10))),1-SQRT(RAND()*((E10)-(D10))/((E10)-(C10))))</f>
        <v>3676446.4746724805</v>
      </c>
      <c r="F686" s="71">
        <f ca="1">(C11)+(E11-C11)*IF(RAND()&lt;((D11)-(C11))/((E11)-(C11)),SQRT(RAND()*((D11)-(C11))/((E11)-(C11))),1-SQRT(RAND()*((E11)-(D11))/((E11)-(C11))))</f>
        <v>1.5846990472137331E-2</v>
      </c>
      <c r="G686" s="71">
        <f ca="1">(C12)+(E12-C12)*IF(RAND()&lt;((D12)-(C12))/((E12)-(C12)),SQRT(RAND()*((D12)-(C12))/((E12)-(C12))),1-SQRT(RAND()*((E12)-(D12))/((E12)-(C12))))</f>
        <v>0.16622606961313457</v>
      </c>
      <c r="H686" s="72">
        <f t="shared" ca="1" si="20"/>
        <v>293779315.32213348</v>
      </c>
      <c r="I686" s="73">
        <f t="shared" ca="1" si="21"/>
        <v>290.83189433471233</v>
      </c>
    </row>
    <row r="687" spans="1:9" ht="16.05" customHeight="1" x14ac:dyDescent="0.3">
      <c r="A687" s="66">
        <v>671</v>
      </c>
      <c r="B687" s="67">
        <f ca="1">(C7)+(E7-C7)*IF(RAND()&lt;((D7)-(C7))/((E7)-(C7)),SQRT(RAND()*((D7)-(C7))/((E7)-(C7))),1-SQRT(RAND()*((E7)-(D7))/((E7)-(C7))))</f>
        <v>0.27035997010701268</v>
      </c>
      <c r="C687" s="67">
        <f ca="1">(C8)+(E8-C8)*IF(RAND()&lt;((D8)-(C8))/((E8)-(C8)),SQRT(RAND()*((D8)-(C8))/((E8)-(C8))),1-SQRT(RAND()*((E8)-(D8))/((E8)-(C8))))</f>
        <v>0.64865071818627384</v>
      </c>
      <c r="D687" s="68">
        <f ca="1">(C9)+(E9-C9)*IF(RAND()&lt;((D9)-(C9))/((E9)-(C9)),SQRT(RAND()*((D9)-(C9))/((E9)-(C9))),1-SQRT(RAND()*((E9)-(D9))/((E9)-(C9))))</f>
        <v>1341527.7697228156</v>
      </c>
      <c r="E687" s="68">
        <f ca="1">(C10)+(E10-C10)*IF(RAND()&lt;((D10)-(C10))/((E10)-(C10)),SQRT(RAND()*((D10)-(C10))/((E10)-(C10))),1-SQRT(RAND()*((E10)-(D10))/((E10)-(C10))))</f>
        <v>3362061.397376542</v>
      </c>
      <c r="F687" s="67">
        <f ca="1">(C11)+(E11-C11)*IF(RAND()&lt;((D11)-(C11))/((E11)-(C11)),SQRT(RAND()*((D11)-(C11))/((E11)-(C11))),1-SQRT(RAND()*((E11)-(D11))/((E11)-(C11))))</f>
        <v>4.0784887155018087E-3</v>
      </c>
      <c r="G687" s="67">
        <f ca="1">(C12)+(E12-C12)*IF(RAND()&lt;((D12)-(C12))/((E12)-(C12)),SQRT(RAND()*((D12)-(C12))/((E12)-(C12))),1-SQRT(RAND()*((E12)-(D12))/((E12)-(C12))))</f>
        <v>0.14975112096942525</v>
      </c>
      <c r="H687" s="68">
        <f t="shared" ca="1" si="20"/>
        <v>206144677.67673057</v>
      </c>
      <c r="I687" s="69">
        <f t="shared" ca="1" si="21"/>
        <v>204.00001972282865</v>
      </c>
    </row>
    <row r="688" spans="1:9" ht="16.05" customHeight="1" x14ac:dyDescent="0.3">
      <c r="A688" s="70">
        <v>672</v>
      </c>
      <c r="B688" s="71">
        <f ca="1">(C7)+(E7-C7)*IF(RAND()&lt;((D7)-(C7))/((E7)-(C7)),SQRT(RAND()*((D7)-(C7))/((E7)-(C7))),1-SQRT(RAND()*((E7)-(D7))/((E7)-(C7))))</f>
        <v>0.29303387465922326</v>
      </c>
      <c r="C688" s="71">
        <f ca="1">(C8)+(E8-C8)*IF(RAND()&lt;((D8)-(C8))/((E8)-(C8)),SQRT(RAND()*((D8)-(C8))/((E8)-(C8))),1-SQRT(RAND()*((E8)-(D8))/((E8)-(C8))))</f>
        <v>0.69443470482393954</v>
      </c>
      <c r="D688" s="72">
        <f ca="1">(C9)+(E9-C9)*IF(RAND()&lt;((D9)-(C9))/((E9)-(C9)),SQRT(RAND()*((D9)-(C9))/((E9)-(C9))),1-SQRT(RAND()*((E9)-(D9))/((E9)-(C9))))</f>
        <v>1307774.4332539116</v>
      </c>
      <c r="E688" s="72">
        <f ca="1">(C10)+(E10-C10)*IF(RAND()&lt;((D10)-(C10))/((E10)-(C10)),SQRT(RAND()*((D10)-(C10))/((E10)-(C10))),1-SQRT(RAND()*((E10)-(D10))/((E10)-(C10))))</f>
        <v>3052598.0544594284</v>
      </c>
      <c r="F688" s="71">
        <f ca="1">(C11)+(E11-C11)*IF(RAND()&lt;((D11)-(C11))/((E11)-(C11)),SQRT(RAND()*((D11)-(C11))/((E11)-(C11))),1-SQRT(RAND()*((E11)-(D11))/((E11)-(C11))))</f>
        <v>7.8474405439482326E-3</v>
      </c>
      <c r="G688" s="71">
        <f ca="1">(C12)+(E12-C12)*IF(RAND()&lt;((D12)-(C12))/((E12)-(C12)),SQRT(RAND()*((D12)-(C12))/((E12)-(C12))),1-SQRT(RAND()*((E12)-(D12))/((E12)-(C12))))</f>
        <v>0.18782505058098148</v>
      </c>
      <c r="H688" s="72">
        <f t="shared" ca="1" si="20"/>
        <v>265151892.30005705</v>
      </c>
      <c r="I688" s="73">
        <f t="shared" ca="1" si="21"/>
        <v>268.74431488448948</v>
      </c>
    </row>
    <row r="689" spans="1:9" ht="16.05" customHeight="1" x14ac:dyDescent="0.3">
      <c r="A689" s="66">
        <v>673</v>
      </c>
      <c r="B689" s="67">
        <f ca="1">(C7)+(E7-C7)*IF(RAND()&lt;((D7)-(C7))/((E7)-(C7)),SQRT(RAND()*((D7)-(C7))/((E7)-(C7))),1-SQRT(RAND()*((E7)-(D7))/((E7)-(C7))))</f>
        <v>0.2598649847404142</v>
      </c>
      <c r="C689" s="67">
        <f ca="1">(C8)+(E8-C8)*IF(RAND()&lt;((D8)-(C8))/((E8)-(C8)),SQRT(RAND()*((D8)-(C8))/((E8)-(C8))),1-SQRT(RAND()*((E8)-(D8))/((E8)-(C8))))</f>
        <v>0.62174098334695649</v>
      </c>
      <c r="D689" s="68">
        <f ca="1">(C9)+(E9-C9)*IF(RAND()&lt;((D9)-(C9))/((E9)-(C9)),SQRT(RAND()*((D9)-(C9))/((E9)-(C9))),1-SQRT(RAND()*((E9)-(D9))/((E9)-(C9))))</f>
        <v>1267055.6461138322</v>
      </c>
      <c r="E689" s="68">
        <f ca="1">(C10)+(E10-C10)*IF(RAND()&lt;((D10)-(C10))/((E10)-(C10)),SQRT(RAND()*((D10)-(C10))/((E10)-(C10))),1-SQRT(RAND()*((E10)-(D10))/((E10)-(C10))))</f>
        <v>3090059.1462087361</v>
      </c>
      <c r="F689" s="67">
        <f ca="1">(C11)+(E11-C11)*IF(RAND()&lt;((D11)-(C11))/((E11)-(C11)),SQRT(RAND()*((D11)-(C11))/((E11)-(C11))),1-SQRT(RAND()*((E11)-(D11))/((E11)-(C11))))</f>
        <v>1.3173813089367995E-2</v>
      </c>
      <c r="G689" s="67">
        <f ca="1">(C12)+(E12-C12)*IF(RAND()&lt;((D12)-(C12))/((E12)-(C12)),SQRT(RAND()*((D12)-(C12))/((E12)-(C12))),1-SQRT(RAND()*((E12)-(D12))/((E12)-(C12))))</f>
        <v>0.16100352568453011</v>
      </c>
      <c r="H689" s="68">
        <f t="shared" ca="1" si="20"/>
        <v>257882883.42845401</v>
      </c>
      <c r="I689" s="69">
        <f t="shared" ca="1" si="21"/>
        <v>269.77150248159251</v>
      </c>
    </row>
    <row r="690" spans="1:9" ht="16.05" customHeight="1" x14ac:dyDescent="0.3">
      <c r="A690" s="70">
        <v>674</v>
      </c>
      <c r="B690" s="71">
        <f ca="1">(C7)+(E7-C7)*IF(RAND()&lt;((D7)-(C7))/((E7)-(C7)),SQRT(RAND()*((D7)-(C7))/((E7)-(C7))),1-SQRT(RAND()*((E7)-(D7))/((E7)-(C7))))</f>
        <v>0.21279253653589303</v>
      </c>
      <c r="C690" s="71">
        <f ca="1">(C8)+(E8-C8)*IF(RAND()&lt;((D8)-(C8))/((E8)-(C8)),SQRT(RAND()*((D8)-(C8))/((E8)-(C8))),1-SQRT(RAND()*((E8)-(D8))/((E8)-(C8))))</f>
        <v>0.72705828394857142</v>
      </c>
      <c r="D690" s="72">
        <f ca="1">(C9)+(E9-C9)*IF(RAND()&lt;((D9)-(C9))/((E9)-(C9)),SQRT(RAND()*((D9)-(C9))/((E9)-(C9))),1-SQRT(RAND()*((E9)-(D9))/((E9)-(C9))))</f>
        <v>1175907.0285244985</v>
      </c>
      <c r="E690" s="72">
        <f ca="1">(C10)+(E10-C10)*IF(RAND()&lt;((D10)-(C10))/((E10)-(C10)),SQRT(RAND()*((D10)-(C10))/((E10)-(C10))),1-SQRT(RAND()*((E10)-(D10))/((E10)-(C10))))</f>
        <v>3196320.3019989366</v>
      </c>
      <c r="F690" s="71">
        <f ca="1">(C11)+(E11-C11)*IF(RAND()&lt;((D11)-(C11))/((E11)-(C11)),SQRT(RAND()*((D11)-(C11))/((E11)-(C11))),1-SQRT(RAND()*((E11)-(D11))/((E11)-(C11))))</f>
        <v>1.8339160483822056E-2</v>
      </c>
      <c r="G690" s="71">
        <f ca="1">(C12)+(E12-C12)*IF(RAND()&lt;((D12)-(C12))/((E12)-(C12)),SQRT(RAND()*((D12)-(C12))/((E12)-(C12))),1-SQRT(RAND()*((E12)-(D12))/((E12)-(C12))))</f>
        <v>0.14008505247762565</v>
      </c>
      <c r="H690" s="72">
        <f t="shared" ca="1" si="20"/>
        <v>287393758.12238163</v>
      </c>
      <c r="I690" s="73">
        <f t="shared" ca="1" si="21"/>
        <v>323.68184241619355</v>
      </c>
    </row>
    <row r="691" spans="1:9" ht="16.05" customHeight="1" x14ac:dyDescent="0.3">
      <c r="A691" s="66">
        <v>675</v>
      </c>
      <c r="B691" s="67">
        <f ca="1">(C7)+(E7-C7)*IF(RAND()&lt;((D7)-(C7))/((E7)-(C7)),SQRT(RAND()*((D7)-(C7))/((E7)-(C7))),1-SQRT(RAND()*((E7)-(D7))/((E7)-(C7))))</f>
        <v>0.27152621899183382</v>
      </c>
      <c r="C691" s="67">
        <f ca="1">(C8)+(E8-C8)*IF(RAND()&lt;((D8)-(C8))/((E8)-(C8)),SQRT(RAND()*((D8)-(C8))/((E8)-(C8))),1-SQRT(RAND()*((E8)-(D8))/((E8)-(C8))))</f>
        <v>0.61459149523924883</v>
      </c>
      <c r="D691" s="68">
        <f ca="1">(C9)+(E9-C9)*IF(RAND()&lt;((D9)-(C9))/((E9)-(C9)),SQRT(RAND()*((D9)-(C9))/((E9)-(C9))),1-SQRT(RAND()*((E9)-(D9))/((E9)-(C9))))</f>
        <v>1164375.0859932392</v>
      </c>
      <c r="E691" s="68">
        <f ca="1">(C10)+(E10-C10)*IF(RAND()&lt;((D10)-(C10))/((E10)-(C10)),SQRT(RAND()*((D10)-(C10))/((E10)-(C10))),1-SQRT(RAND()*((E10)-(D10))/((E10)-(C10))))</f>
        <v>3467289.3509238251</v>
      </c>
      <c r="F691" s="67">
        <f ca="1">(C11)+(E11-C11)*IF(RAND()&lt;((D11)-(C11))/((E11)-(C11)),SQRT(RAND()*((D11)-(C11))/((E11)-(C11))),1-SQRT(RAND()*((E11)-(D11))/((E11)-(C11))))</f>
        <v>1.1854448879837262E-2</v>
      </c>
      <c r="G691" s="67">
        <f ca="1">(C12)+(E12-C12)*IF(RAND()&lt;((D12)-(C12))/((E12)-(C12)),SQRT(RAND()*((D12)-(C12))/((E12)-(C12))),1-SQRT(RAND()*((E12)-(D12))/((E12)-(C12))))</f>
        <v>0.13651493880461638</v>
      </c>
      <c r="H691" s="68">
        <f t="shared" ca="1" si="20"/>
        <v>252808795.65259212</v>
      </c>
      <c r="I691" s="69">
        <f t="shared" ca="1" si="21"/>
        <v>287.69716664429529</v>
      </c>
    </row>
    <row r="692" spans="1:9" ht="16.05" customHeight="1" x14ac:dyDescent="0.3">
      <c r="A692" s="70">
        <v>676</v>
      </c>
      <c r="B692" s="71">
        <f ca="1">(C7)+(E7-C7)*IF(RAND()&lt;((D7)-(C7))/((E7)-(C7)),SQRT(RAND()*((D7)-(C7))/((E7)-(C7))),1-SQRT(RAND()*((E7)-(D7))/((E7)-(C7))))</f>
        <v>0.25728834662024924</v>
      </c>
      <c r="C692" s="71">
        <f ca="1">(C8)+(E8-C8)*IF(RAND()&lt;((D8)-(C8))/((E8)-(C8)),SQRT(RAND()*((D8)-(C8))/((E8)-(C8))),1-SQRT(RAND()*((E8)-(D8))/((E8)-(C8))))</f>
        <v>0.60466817000310069</v>
      </c>
      <c r="D692" s="72">
        <f ca="1">(C9)+(E9-C9)*IF(RAND()&lt;((D9)-(C9))/((E9)-(C9)),SQRT(RAND()*((D9)-(C9))/((E9)-(C9))),1-SQRT(RAND()*((E9)-(D9))/((E9)-(C9))))</f>
        <v>1284753.5943354189</v>
      </c>
      <c r="E692" s="72">
        <f ca="1">(C10)+(E10-C10)*IF(RAND()&lt;((D10)-(C10))/((E10)-(C10)),SQRT(RAND()*((D10)-(C10))/((E10)-(C10))),1-SQRT(RAND()*((E10)-(D10))/((E10)-(C10))))</f>
        <v>3253842.6064693104</v>
      </c>
      <c r="F692" s="71">
        <f ca="1">(C11)+(E11-C11)*IF(RAND()&lt;((D11)-(C11))/((E11)-(C11)),SQRT(RAND()*((D11)-(C11))/((E11)-(C11))),1-SQRT(RAND()*((E11)-(D11))/((E11)-(C11))))</f>
        <v>1.3755915039541858E-2</v>
      </c>
      <c r="G692" s="71">
        <f ca="1">(C12)+(E12-C12)*IF(RAND()&lt;((D12)-(C12))/((E12)-(C12)),SQRT(RAND()*((D12)-(C12))/((E12)-(C12))),1-SQRT(RAND()*((E12)-(D12))/((E12)-(C12))))</f>
        <v>0.16499651175519092</v>
      </c>
      <c r="H692" s="72">
        <f t="shared" ca="1" si="20"/>
        <v>254923829.52447549</v>
      </c>
      <c r="I692" s="73">
        <f t="shared" ca="1" si="21"/>
        <v>263.03556994403698</v>
      </c>
    </row>
    <row r="693" spans="1:9" ht="16.05" customHeight="1" x14ac:dyDescent="0.3">
      <c r="A693" s="66">
        <v>677</v>
      </c>
      <c r="B693" s="67">
        <f ca="1">(C7)+(E7-C7)*IF(RAND()&lt;((D7)-(C7))/((E7)-(C7)),SQRT(RAND()*((D7)-(C7))/((E7)-(C7))),1-SQRT(RAND()*((E7)-(D7))/((E7)-(C7))))</f>
        <v>0.26559998109331207</v>
      </c>
      <c r="C693" s="67">
        <f ca="1">(C8)+(E8-C8)*IF(RAND()&lt;((D8)-(C8))/((E8)-(C8)),SQRT(RAND()*((D8)-(C8))/((E8)-(C8))),1-SQRT(RAND()*((E8)-(D8))/((E8)-(C8))))</f>
        <v>0.79634373763483812</v>
      </c>
      <c r="D693" s="68">
        <f ca="1">(C9)+(E9-C9)*IF(RAND()&lt;((D9)-(C9))/((E9)-(C9)),SQRT(RAND()*((D9)-(C9))/((E9)-(C9))),1-SQRT(RAND()*((E9)-(D9))/((E9)-(C9))))</f>
        <v>1276872.2963881821</v>
      </c>
      <c r="E693" s="68">
        <f ca="1">(C10)+(E10-C10)*IF(RAND()&lt;((D10)-(C10))/((E10)-(C10)),SQRT(RAND()*((D10)-(C10))/((E10)-(C10))),1-SQRT(RAND()*((E10)-(D10))/((E10)-(C10))))</f>
        <v>3654604.1192139611</v>
      </c>
      <c r="F693" s="67">
        <f ca="1">(C11)+(E11-C11)*IF(RAND()&lt;((D11)-(C11))/((E11)-(C11)),SQRT(RAND()*((D11)-(C11))/((E11)-(C11))),1-SQRT(RAND()*((E11)-(D11))/((E11)-(C11))))</f>
        <v>1.0671760698876561E-2</v>
      </c>
      <c r="G693" s="67">
        <f ca="1">(C12)+(E12-C12)*IF(RAND()&lt;((D12)-(C12))/((E12)-(C12)),SQRT(RAND()*((D12)-(C12))/((E12)-(C12))),1-SQRT(RAND()*((E12)-(D12))/((E12)-(C12))))</f>
        <v>0.17007247628433128</v>
      </c>
      <c r="H693" s="68">
        <f t="shared" ca="1" si="20"/>
        <v>292006736.98852128</v>
      </c>
      <c r="I693" s="69">
        <f t="shared" ca="1" si="21"/>
        <v>302.95698914681822</v>
      </c>
    </row>
    <row r="694" spans="1:9" ht="16.05" customHeight="1" x14ac:dyDescent="0.3">
      <c r="A694" s="70">
        <v>678</v>
      </c>
      <c r="B694" s="71">
        <f ca="1">(C7)+(E7-C7)*IF(RAND()&lt;((D7)-(C7))/((E7)-(C7)),SQRT(RAND()*((D7)-(C7))/((E7)-(C7))),1-SQRT(RAND()*((E7)-(D7))/((E7)-(C7))))</f>
        <v>0.30607503562125205</v>
      </c>
      <c r="C694" s="71">
        <f ca="1">(C8)+(E8-C8)*IF(RAND()&lt;((D8)-(C8))/((E8)-(C8)),SQRT(RAND()*((D8)-(C8))/((E8)-(C8))),1-SQRT(RAND()*((E8)-(D8))/((E8)-(C8))))</f>
        <v>0.69596024052449823</v>
      </c>
      <c r="D694" s="72">
        <f ca="1">(C9)+(E9-C9)*IF(RAND()&lt;((D9)-(C9))/((E9)-(C9)),SQRT(RAND()*((D9)-(C9))/((E9)-(C9))),1-SQRT(RAND()*((E9)-(D9))/((E9)-(C9))))</f>
        <v>1240416.8023458063</v>
      </c>
      <c r="E694" s="72">
        <f ca="1">(C10)+(E10-C10)*IF(RAND()&lt;((D10)-(C10))/((E10)-(C10)),SQRT(RAND()*((D10)-(C10))/((E10)-(C10))),1-SQRT(RAND()*((E10)-(D10))/((E10)-(C10))))</f>
        <v>4973574.7520434856</v>
      </c>
      <c r="F694" s="71">
        <f ca="1">(C11)+(E11-C11)*IF(RAND()&lt;((D11)-(C11))/((E11)-(C11)),SQRT(RAND()*((D11)-(C11))/((E11)-(C11))),1-SQRT(RAND()*((E11)-(D11))/((E11)-(C11))))</f>
        <v>1.0255744739062479E-2</v>
      </c>
      <c r="G694" s="71">
        <f ca="1">(C12)+(E12-C12)*IF(RAND()&lt;((D12)-(C12))/((E12)-(C12)),SQRT(RAND()*((D12)-(C12))/((E12)-(C12))),1-SQRT(RAND()*((E12)-(D12))/((E12)-(C12))))</f>
        <v>0.17302850390974289</v>
      </c>
      <c r="H694" s="72">
        <f t="shared" ca="1" si="20"/>
        <v>285680333.56127489</v>
      </c>
      <c r="I694" s="73">
        <f t="shared" ca="1" si="21"/>
        <v>305.09491241380482</v>
      </c>
    </row>
    <row r="695" spans="1:9" ht="16.05" customHeight="1" x14ac:dyDescent="0.3">
      <c r="A695" s="66">
        <v>679</v>
      </c>
      <c r="B695" s="67">
        <f ca="1">(C7)+(E7-C7)*IF(RAND()&lt;((D7)-(C7))/((E7)-(C7)),SQRT(RAND()*((D7)-(C7))/((E7)-(C7))),1-SQRT(RAND()*((E7)-(D7))/((E7)-(C7))))</f>
        <v>0.27023973940481238</v>
      </c>
      <c r="C695" s="67">
        <f ca="1">(C8)+(E8-C8)*IF(RAND()&lt;((D8)-(C8))/((E8)-(C8)),SQRT(RAND()*((D8)-(C8))/((E8)-(C8))),1-SQRT(RAND()*((E8)-(D8))/((E8)-(C8))))</f>
        <v>0.61234979642524856</v>
      </c>
      <c r="D695" s="68">
        <f ca="1">(C9)+(E9-C9)*IF(RAND()&lt;((D9)-(C9))/((E9)-(C9)),SQRT(RAND()*((D9)-(C9))/((E9)-(C9))),1-SQRT(RAND()*((E9)-(D9))/((E9)-(C9))))</f>
        <v>1204333.0521397572</v>
      </c>
      <c r="E695" s="68">
        <f ca="1">(C10)+(E10-C10)*IF(RAND()&lt;((D10)-(C10))/((E10)-(C10)),SQRT(RAND()*((D10)-(C10))/((E10)-(C10))),1-SQRT(RAND()*((E10)-(D10))/((E10)-(C10))))</f>
        <v>3393661.6924993172</v>
      </c>
      <c r="F695" s="67">
        <f ca="1">(C11)+(E11-C11)*IF(RAND()&lt;((D11)-(C11))/((E11)-(C11)),SQRT(RAND()*((D11)-(C11))/((E11)-(C11))),1-SQRT(RAND()*((E11)-(D11))/((E11)-(C11))))</f>
        <v>1.3138002004530917E-2</v>
      </c>
      <c r="G695" s="67">
        <f ca="1">(C12)+(E12-C12)*IF(RAND()&lt;((D12)-(C12))/((E12)-(C12)),SQRT(RAND()*((D12)-(C12))/((E12)-(C12))),1-SQRT(RAND()*((E12)-(D12))/((E12)-(C12))))</f>
        <v>0.15799313554925332</v>
      </c>
      <c r="H695" s="68">
        <f t="shared" ca="1" si="20"/>
        <v>260792910.0478856</v>
      </c>
      <c r="I695" s="69">
        <f t="shared" ca="1" si="21"/>
        <v>286.93978207340086</v>
      </c>
    </row>
    <row r="696" spans="1:9" ht="16.05" customHeight="1" x14ac:dyDescent="0.3">
      <c r="A696" s="70">
        <v>680</v>
      </c>
      <c r="B696" s="71">
        <f ca="1">(C7)+(E7-C7)*IF(RAND()&lt;((D7)-(C7))/((E7)-(C7)),SQRT(RAND()*((D7)-(C7))/((E7)-(C7))),1-SQRT(RAND()*((E7)-(D7))/((E7)-(C7))))</f>
        <v>0.21199529939105641</v>
      </c>
      <c r="C696" s="71">
        <f ca="1">(C8)+(E8-C8)*IF(RAND()&lt;((D8)-(C8))/((E8)-(C8)),SQRT(RAND()*((D8)-(C8))/((E8)-(C8))),1-SQRT(RAND()*((E8)-(D8))/((E8)-(C8))))</f>
        <v>0.64521932174206076</v>
      </c>
      <c r="D696" s="72">
        <f ca="1">(C9)+(E9-C9)*IF(RAND()&lt;((D9)-(C9))/((E9)-(C9)),SQRT(RAND()*((D9)-(C9))/((E9)-(C9))),1-SQRT(RAND()*((E9)-(D9))/((E9)-(C9))))</f>
        <v>1300072.6195406504</v>
      </c>
      <c r="E696" s="72">
        <f ca="1">(C10)+(E10-C10)*IF(RAND()&lt;((D10)-(C10))/((E10)-(C10)),SQRT(RAND()*((D10)-(C10))/((E10)-(C10))),1-SQRT(RAND()*((E10)-(D10))/((E10)-(C10))))</f>
        <v>3124125.5068790708</v>
      </c>
      <c r="F696" s="71">
        <f ca="1">(C11)+(E11-C11)*IF(RAND()&lt;((D11)-(C11))/((E11)-(C11)),SQRT(RAND()*((D11)-(C11))/((E11)-(C11))),1-SQRT(RAND()*((E11)-(D11))/((E11)-(C11))))</f>
        <v>1.7639239553568789E-2</v>
      </c>
      <c r="G696" s="71">
        <f ca="1">(C12)+(E12-C12)*IF(RAND()&lt;((D12)-(C12))/((E12)-(C12)),SQRT(RAND()*((D12)-(C12))/((E12)-(C12))),1-SQRT(RAND()*((E12)-(D12))/((E12)-(C12))))</f>
        <v>0.12023641201626335</v>
      </c>
      <c r="H696" s="72">
        <f t="shared" ca="1" si="20"/>
        <v>262985394.9900977</v>
      </c>
      <c r="I696" s="73">
        <f t="shared" ca="1" si="21"/>
        <v>268.13056254779434</v>
      </c>
    </row>
    <row r="697" spans="1:9" ht="16.05" customHeight="1" x14ac:dyDescent="0.3">
      <c r="A697" s="66">
        <v>681</v>
      </c>
      <c r="B697" s="67">
        <f ca="1">(C7)+(E7-C7)*IF(RAND()&lt;((D7)-(C7))/((E7)-(C7)),SQRT(RAND()*((D7)-(C7))/((E7)-(C7))),1-SQRT(RAND()*((E7)-(D7))/((E7)-(C7))))</f>
        <v>0.26912631078962479</v>
      </c>
      <c r="C697" s="67">
        <f ca="1">(C8)+(E8-C8)*IF(RAND()&lt;((D8)-(C8))/((E8)-(C8)),SQRT(RAND()*((D8)-(C8))/((E8)-(C8))),1-SQRT(RAND()*((E8)-(D8))/((E8)-(C8))))</f>
        <v>0.66132957195249198</v>
      </c>
      <c r="D697" s="68">
        <f ca="1">(C9)+(E9-C9)*IF(RAND()&lt;((D9)-(C9))/((E9)-(C9)),SQRT(RAND()*((D9)-(C9))/((E9)-(C9))),1-SQRT(RAND()*((E9)-(D9))/((E9)-(C9))))</f>
        <v>1269053.8216518583</v>
      </c>
      <c r="E697" s="68">
        <f ca="1">(C10)+(E10-C10)*IF(RAND()&lt;((D10)-(C10))/((E10)-(C10)),SQRT(RAND()*((D10)-(C10))/((E10)-(C10))),1-SQRT(RAND()*((E10)-(D10))/((E10)-(C10))))</f>
        <v>3797514.3184408778</v>
      </c>
      <c r="F697" s="67">
        <f ca="1">(C11)+(E11-C11)*IF(RAND()&lt;((D11)-(C11))/((E11)-(C11)),SQRT(RAND()*((D11)-(C11))/((E11)-(C11))),1-SQRT(RAND()*((E11)-(D11))/((E11)-(C11))))</f>
        <v>2.229599297334196E-2</v>
      </c>
      <c r="G697" s="67">
        <f ca="1">(C12)+(E12-C12)*IF(RAND()&lt;((D12)-(C12))/((E12)-(C12)),SQRT(RAND()*((D12)-(C12))/((E12)-(C12))),1-SQRT(RAND()*((E12)-(D12))/((E12)-(C12))))</f>
        <v>0.13610441312899665</v>
      </c>
      <c r="H697" s="68">
        <f t="shared" ca="1" si="20"/>
        <v>338895897.5806548</v>
      </c>
      <c r="I697" s="69">
        <f t="shared" ca="1" si="21"/>
        <v>353.54945433989838</v>
      </c>
    </row>
    <row r="698" spans="1:9" ht="16.05" customHeight="1" x14ac:dyDescent="0.3">
      <c r="A698" s="70">
        <v>682</v>
      </c>
      <c r="B698" s="71">
        <f ca="1">(C7)+(E7-C7)*IF(RAND()&lt;((D7)-(C7))/((E7)-(C7)),SQRT(RAND()*((D7)-(C7))/((E7)-(C7))),1-SQRT(RAND()*((E7)-(D7))/((E7)-(C7))))</f>
        <v>0.33500577079121002</v>
      </c>
      <c r="C698" s="71">
        <f ca="1">(C8)+(E8-C8)*IF(RAND()&lt;((D8)-(C8))/((E8)-(C8)),SQRT(RAND()*((D8)-(C8))/((E8)-(C8))),1-SQRT(RAND()*((E8)-(D8))/((E8)-(C8))))</f>
        <v>0.6397968182782815</v>
      </c>
      <c r="D698" s="72">
        <f ca="1">(C9)+(E9-C9)*IF(RAND()&lt;((D9)-(C9))/((E9)-(C9)),SQRT(RAND()*((D9)-(C9))/((E9)-(C9))),1-SQRT(RAND()*((E9)-(D9))/((E9)-(C9))))</f>
        <v>1216453.1971271441</v>
      </c>
      <c r="E698" s="72">
        <f ca="1">(C10)+(E10-C10)*IF(RAND()&lt;((D10)-(C10))/((E10)-(C10)),SQRT(RAND()*((D10)-(C10))/((E10)-(C10))),1-SQRT(RAND()*((E10)-(D10))/((E10)-(C10))))</f>
        <v>3456960.3366685314</v>
      </c>
      <c r="F698" s="71">
        <f ca="1">(C11)+(E11-C11)*IF(RAND()&lt;((D11)-(C11))/((E11)-(C11)),SQRT(RAND()*((D11)-(C11))/((E11)-(C11))),1-SQRT(RAND()*((E11)-(D11))/((E11)-(C11))))</f>
        <v>1.5190292042653339E-2</v>
      </c>
      <c r="G698" s="71">
        <f ca="1">(C12)+(E12-C12)*IF(RAND()&lt;((D12)-(C12))/((E12)-(C12)),SQRT(RAND()*((D12)-(C12))/((E12)-(C12))),1-SQRT(RAND()*((E12)-(D12))/((E12)-(C12))))</f>
        <v>0.15302582348992722</v>
      </c>
      <c r="H698" s="72">
        <f t="shared" ca="1" si="20"/>
        <v>328504968.65375888</v>
      </c>
      <c r="I698" s="73">
        <f t="shared" ca="1" si="21"/>
        <v>357.51346888537159</v>
      </c>
    </row>
    <row r="699" spans="1:9" ht="16.05" customHeight="1" x14ac:dyDescent="0.3">
      <c r="A699" s="66">
        <v>683</v>
      </c>
      <c r="B699" s="67">
        <f ca="1">(C7)+(E7-C7)*IF(RAND()&lt;((D7)-(C7))/((E7)-(C7)),SQRT(RAND()*((D7)-(C7))/((E7)-(C7))),1-SQRT(RAND()*((E7)-(D7))/((E7)-(C7))))</f>
        <v>0.22798220868397989</v>
      </c>
      <c r="C699" s="67">
        <f ca="1">(C8)+(E8-C8)*IF(RAND()&lt;((D8)-(C8))/((E8)-(C8)),SQRT(RAND()*((D8)-(C8))/((E8)-(C8))),1-SQRT(RAND()*((E8)-(D8))/((E8)-(C8))))</f>
        <v>0.71827229723558417</v>
      </c>
      <c r="D699" s="68">
        <f ca="1">(C9)+(E9-C9)*IF(RAND()&lt;((D9)-(C9))/((E9)-(C9)),SQRT(RAND()*((D9)-(C9))/((E9)-(C9))),1-SQRT(RAND()*((E9)-(D9))/((E9)-(C9))))</f>
        <v>1274696.8409943096</v>
      </c>
      <c r="E699" s="68">
        <f ca="1">(C10)+(E10-C10)*IF(RAND()&lt;((D10)-(C10))/((E10)-(C10)),SQRT(RAND()*((D10)-(C10))/((E10)-(C10))),1-SQRT(RAND()*((E10)-(D10))/((E10)-(C10))))</f>
        <v>2910527.4646275458</v>
      </c>
      <c r="F699" s="67">
        <f ca="1">(C11)+(E11-C11)*IF(RAND()&lt;((D11)-(C11))/((E11)-(C11)),SQRT(RAND()*((D11)-(C11))/((E11)-(C11))),1-SQRT(RAND()*((E11)-(D11))/((E11)-(C11))))</f>
        <v>1.504726427146248E-2</v>
      </c>
      <c r="G699" s="67">
        <f ca="1">(C12)+(E12-C12)*IF(RAND()&lt;((D12)-(C12))/((E12)-(C12)),SQRT(RAND()*((D12)-(C12))/((E12)-(C12))),1-SQRT(RAND()*((E12)-(D12))/((E12)-(C12))))</f>
        <v>0.15262917774185172</v>
      </c>
      <c r="H699" s="68">
        <f t="shared" ca="1" si="20"/>
        <v>274454479.78079998</v>
      </c>
      <c r="I699" s="69">
        <f t="shared" ca="1" si="21"/>
        <v>285.30965102926541</v>
      </c>
    </row>
    <row r="700" spans="1:9" ht="16.05" customHeight="1" x14ac:dyDescent="0.3">
      <c r="A700" s="70">
        <v>684</v>
      </c>
      <c r="B700" s="71">
        <f ca="1">(C7)+(E7-C7)*IF(RAND()&lt;((D7)-(C7))/((E7)-(C7)),SQRT(RAND()*((D7)-(C7))/((E7)-(C7))),1-SQRT(RAND()*((E7)-(D7))/((E7)-(C7))))</f>
        <v>0.25666436962810546</v>
      </c>
      <c r="C700" s="71">
        <f ca="1">(C8)+(E8-C8)*IF(RAND()&lt;((D8)-(C8))/((E8)-(C8)),SQRT(RAND()*((D8)-(C8))/((E8)-(C8))),1-SQRT(RAND()*((E8)-(D8))/((E8)-(C8))))</f>
        <v>0.64327465620113577</v>
      </c>
      <c r="D700" s="72">
        <f ca="1">(C9)+(E9-C9)*IF(RAND()&lt;((D9)-(C9))/((E9)-(C9)),SQRT(RAND()*((D9)-(C9))/((E9)-(C9))),1-SQRT(RAND()*((E9)-(D9))/((E9)-(C9))))</f>
        <v>1190340.1055177213</v>
      </c>
      <c r="E700" s="72">
        <f ca="1">(C10)+(E10-C10)*IF(RAND()&lt;((D10)-(C10))/((E10)-(C10)),SQRT(RAND()*((D10)-(C10))/((E10)-(C10))),1-SQRT(RAND()*((E10)-(D10))/((E10)-(C10))))</f>
        <v>3266541.9947254239</v>
      </c>
      <c r="F700" s="71">
        <f ca="1">(C11)+(E11-C11)*IF(RAND()&lt;((D11)-(C11))/((E11)-(C11)),SQRT(RAND()*((D11)-(C11))/((E11)-(C11))),1-SQRT(RAND()*((E11)-(D11))/((E11)-(C11))))</f>
        <v>1.6367713921873972E-2</v>
      </c>
      <c r="G700" s="71">
        <f ca="1">(C12)+(E12-C12)*IF(RAND()&lt;((D12)-(C12))/((E12)-(C12)),SQRT(RAND()*((D12)-(C12))/((E12)-(C12))),1-SQRT(RAND()*((E12)-(D12))/((E12)-(C12))))</f>
        <v>0.16518087252731953</v>
      </c>
      <c r="H700" s="72">
        <f t="shared" ca="1" si="20"/>
        <v>284191144.32521474</v>
      </c>
      <c r="I700" s="73">
        <f t="shared" ca="1" si="21"/>
        <v>316.22439800744519</v>
      </c>
    </row>
    <row r="701" spans="1:9" ht="16.05" customHeight="1" x14ac:dyDescent="0.3">
      <c r="A701" s="66">
        <v>685</v>
      </c>
      <c r="B701" s="67">
        <f ca="1">(C7)+(E7-C7)*IF(RAND()&lt;((D7)-(C7))/((E7)-(C7)),SQRT(RAND()*((D7)-(C7))/((E7)-(C7))),1-SQRT(RAND()*((E7)-(D7))/((E7)-(C7))))</f>
        <v>0.27868964380332756</v>
      </c>
      <c r="C701" s="67">
        <f ca="1">(C8)+(E8-C8)*IF(RAND()&lt;((D8)-(C8))/((E8)-(C8)),SQRT(RAND()*((D8)-(C8))/((E8)-(C8))),1-SQRT(RAND()*((E8)-(D8))/((E8)-(C8))))</f>
        <v>0.75887113820508967</v>
      </c>
      <c r="D701" s="68">
        <f ca="1">(C9)+(E9-C9)*IF(RAND()&lt;((D9)-(C9))/((E9)-(C9)),SQRT(RAND()*((D9)-(C9))/((E9)-(C9))),1-SQRT(RAND()*((E9)-(D9))/((E9)-(C9))))</f>
        <v>1321547.1084695866</v>
      </c>
      <c r="E701" s="68">
        <f ca="1">(C10)+(E10-C10)*IF(RAND()&lt;((D10)-(C10))/((E10)-(C10)),SQRT(RAND()*((D10)-(C10))/((E10)-(C10))),1-SQRT(RAND()*((E10)-(D10))/((E10)-(C10))))</f>
        <v>3252068.6508634146</v>
      </c>
      <c r="F701" s="67">
        <f ca="1">(C11)+(E11-C11)*IF(RAND()&lt;((D11)-(C11))/((E11)-(C11)),SQRT(RAND()*((D11)-(C11))/((E11)-(C11))),1-SQRT(RAND()*((E11)-(D11))/((E11)-(C11))))</f>
        <v>1.0720633691186084E-2</v>
      </c>
      <c r="G701" s="67">
        <f ca="1">(C12)+(E12-C12)*IF(RAND()&lt;((D12)-(C12))/((E12)-(C12)),SQRT(RAND()*((D12)-(C12))/((E12)-(C12))),1-SQRT(RAND()*((E12)-(D12))/((E12)-(C12))))</f>
        <v>0.13999474285263322</v>
      </c>
      <c r="H701" s="68">
        <f t="shared" ca="1" si="20"/>
        <v>293819680.05073768</v>
      </c>
      <c r="I701" s="69">
        <f t="shared" ca="1" si="21"/>
        <v>294.56956813832829</v>
      </c>
    </row>
    <row r="702" spans="1:9" ht="16.05" customHeight="1" x14ac:dyDescent="0.3">
      <c r="A702" s="70">
        <v>686</v>
      </c>
      <c r="B702" s="71">
        <f ca="1">(C7)+(E7-C7)*IF(RAND()&lt;((D7)-(C7))/((E7)-(C7)),SQRT(RAND()*((D7)-(C7))/((E7)-(C7))),1-SQRT(RAND()*((E7)-(D7))/((E7)-(C7))))</f>
        <v>0.26358017785814125</v>
      </c>
      <c r="C702" s="71">
        <f ca="1">(C8)+(E8-C8)*IF(RAND()&lt;((D8)-(C8))/((E8)-(C8)),SQRT(RAND()*((D8)-(C8))/((E8)-(C8))),1-SQRT(RAND()*((E8)-(D8))/((E8)-(C8))))</f>
        <v>0.69548702718833111</v>
      </c>
      <c r="D702" s="72">
        <f ca="1">(C9)+(E9-C9)*IF(RAND()&lt;((D9)-(C9))/((E9)-(C9)),SQRT(RAND()*((D9)-(C9))/((E9)-(C9))),1-SQRT(RAND()*((E9)-(D9))/((E9)-(C9))))</f>
        <v>1156741.6981888865</v>
      </c>
      <c r="E702" s="72">
        <f ca="1">(C10)+(E10-C10)*IF(RAND()&lt;((D10)-(C10))/((E10)-(C10)),SQRT(RAND()*((D10)-(C10))/((E10)-(C10))),1-SQRT(RAND()*((E10)-(D10))/((E10)-(C10))))</f>
        <v>4523683.3666326944</v>
      </c>
      <c r="F702" s="71">
        <f ca="1">(C11)+(E11-C11)*IF(RAND()&lt;((D11)-(C11))/((E11)-(C11)),SQRT(RAND()*((D11)-(C11))/((E11)-(C11))),1-SQRT(RAND()*((E11)-(D11))/((E11)-(C11))))</f>
        <v>1.2201731115694251E-2</v>
      </c>
      <c r="G702" s="71">
        <f ca="1">(C12)+(E12-C12)*IF(RAND()&lt;((D12)-(C12))/((E12)-(C12)),SQRT(RAND()*((D12)-(C12))/((E12)-(C12))),1-SQRT(RAND()*((E12)-(D12))/((E12)-(C12))))</f>
        <v>0.15082128386035357</v>
      </c>
      <c r="H702" s="72">
        <f t="shared" ca="1" si="20"/>
        <v>269203214.10527313</v>
      </c>
      <c r="I702" s="73">
        <f t="shared" ca="1" si="21"/>
        <v>308.28090385432756</v>
      </c>
    </row>
    <row r="703" spans="1:9" ht="16.05" customHeight="1" x14ac:dyDescent="0.3">
      <c r="A703" s="66">
        <v>687</v>
      </c>
      <c r="B703" s="67">
        <f ca="1">(C7)+(E7-C7)*IF(RAND()&lt;((D7)-(C7))/((E7)-(C7)),SQRT(RAND()*((D7)-(C7))/((E7)-(C7))),1-SQRT(RAND()*((E7)-(D7))/((E7)-(C7))))</f>
        <v>0.25239536126762563</v>
      </c>
      <c r="C703" s="67">
        <f ca="1">(C8)+(E8-C8)*IF(RAND()&lt;((D8)-(C8))/((E8)-(C8)),SQRT(RAND()*((D8)-(C8))/((E8)-(C8))),1-SQRT(RAND()*((E8)-(D8))/((E8)-(C8))))</f>
        <v>0.67662018002240853</v>
      </c>
      <c r="D703" s="68">
        <f ca="1">(C9)+(E9-C9)*IF(RAND()&lt;((D9)-(C9))/((E9)-(C9)),SQRT(RAND()*((D9)-(C9))/((E9)-(C9))),1-SQRT(RAND()*((E9)-(D9))/((E9)-(C9))))</f>
        <v>1379976.7065012772</v>
      </c>
      <c r="E703" s="68">
        <f ca="1">(C10)+(E10-C10)*IF(RAND()&lt;((D10)-(C10))/((E10)-(C10)),SQRT(RAND()*((D10)-(C10))/((E10)-(C10))),1-SQRT(RAND()*((E10)-(D10))/((E10)-(C10))))</f>
        <v>3391600.8257887121</v>
      </c>
      <c r="F703" s="67">
        <f ca="1">(C11)+(E11-C11)*IF(RAND()&lt;((D11)-(C11))/((E11)-(C11)),SQRT(RAND()*((D11)-(C11))/((E11)-(C11))),1-SQRT(RAND()*((E11)-(D11))/((E11)-(C11))))</f>
        <v>9.7189074904212476E-3</v>
      </c>
      <c r="G703" s="67">
        <f ca="1">(C12)+(E12-C12)*IF(RAND()&lt;((D12)-(C12))/((E12)-(C12)),SQRT(RAND()*((D12)-(C12))/((E12)-(C12))),1-SQRT(RAND()*((E12)-(D12))/((E12)-(C12))))</f>
        <v>0.17152068981147289</v>
      </c>
      <c r="H703" s="68">
        <f t="shared" ca="1" si="20"/>
        <v>241707455.15216124</v>
      </c>
      <c r="I703" s="69">
        <f t="shared" ca="1" si="21"/>
        <v>232.34396578968671</v>
      </c>
    </row>
    <row r="704" spans="1:9" ht="16.05" customHeight="1" x14ac:dyDescent="0.3">
      <c r="A704" s="70">
        <v>688</v>
      </c>
      <c r="B704" s="71">
        <f ca="1">(C7)+(E7-C7)*IF(RAND()&lt;((D7)-(C7))/((E7)-(C7)),SQRT(RAND()*((D7)-(C7))/((E7)-(C7))),1-SQRT(RAND()*((E7)-(D7))/((E7)-(C7))))</f>
        <v>0.2078940555495318</v>
      </c>
      <c r="C704" s="71">
        <f ca="1">(C8)+(E8-C8)*IF(RAND()&lt;((D8)-(C8))/((E8)-(C8)),SQRT(RAND()*((D8)-(C8))/((E8)-(C8))),1-SQRT(RAND()*((E8)-(D8))/((E8)-(C8))))</f>
        <v>0.63039477590504611</v>
      </c>
      <c r="D704" s="72">
        <f ca="1">(C9)+(E9-C9)*IF(RAND()&lt;((D9)-(C9))/((E9)-(C9)),SQRT(RAND()*((D9)-(C9))/((E9)-(C9))),1-SQRT(RAND()*((E9)-(D9))/((E9)-(C9))))</f>
        <v>1276894.1637397171</v>
      </c>
      <c r="E704" s="72">
        <f ca="1">(C10)+(E10-C10)*IF(RAND()&lt;((D10)-(C10))/((E10)-(C10)),SQRT(RAND()*((D10)-(C10))/((E10)-(C10))),1-SQRT(RAND()*((E10)-(D10))/((E10)-(C10))))</f>
        <v>2876013.7529988419</v>
      </c>
      <c r="F704" s="71">
        <f ca="1">(C11)+(E11-C11)*IF(RAND()&lt;((D11)-(C11))/((E11)-(C11)),SQRT(RAND()*((D11)-(C11))/((E11)-(C11))),1-SQRT(RAND()*((E11)-(D11))/((E11)-(C11))))</f>
        <v>1.8274099521005956E-2</v>
      </c>
      <c r="G704" s="71">
        <f ca="1">(C12)+(E12-C12)*IF(RAND()&lt;((D12)-(C12))/((E12)-(C12)),SQRT(RAND()*((D12)-(C12))/((E12)-(C12))),1-SQRT(RAND()*((E12)-(D12))/((E12)-(C12))))</f>
        <v>0.13480063649100493</v>
      </c>
      <c r="H704" s="72">
        <f t="shared" ca="1" si="20"/>
        <v>262299354.73856303</v>
      </c>
      <c r="I704" s="73">
        <f t="shared" ca="1" si="21"/>
        <v>272.26512749544281</v>
      </c>
    </row>
    <row r="705" spans="1:9" ht="16.05" customHeight="1" x14ac:dyDescent="0.3">
      <c r="A705" s="66">
        <v>689</v>
      </c>
      <c r="B705" s="67">
        <f ca="1">(C7)+(E7-C7)*IF(RAND()&lt;((D7)-(C7))/((E7)-(C7)),SQRT(RAND()*((D7)-(C7))/((E7)-(C7))),1-SQRT(RAND()*((E7)-(D7))/((E7)-(C7))))</f>
        <v>0.28071765304216606</v>
      </c>
      <c r="C705" s="67">
        <f ca="1">(C8)+(E8-C8)*IF(RAND()&lt;((D8)-(C8))/((E8)-(C8)),SQRT(RAND()*((D8)-(C8))/((E8)-(C8))),1-SQRT(RAND()*((E8)-(D8))/((E8)-(C8))))</f>
        <v>0.63886727392885478</v>
      </c>
      <c r="D705" s="68">
        <f ca="1">(C9)+(E9-C9)*IF(RAND()&lt;((D9)-(C9))/((E9)-(C9)),SQRT(RAND()*((D9)-(C9))/((E9)-(C9))),1-SQRT(RAND()*((E9)-(D9))/((E9)-(C9))))</f>
        <v>1330115.3235699777</v>
      </c>
      <c r="E705" s="68">
        <f ca="1">(C10)+(E10-C10)*IF(RAND()&lt;((D10)-(C10))/((E10)-(C10)),SQRT(RAND()*((D10)-(C10))/((E10)-(C10))),1-SQRT(RAND()*((E10)-(D10))/((E10)-(C10))))</f>
        <v>3686506.5689461641</v>
      </c>
      <c r="F705" s="67">
        <f ca="1">(C11)+(E11-C11)*IF(RAND()&lt;((D11)-(C11))/((E11)-(C11)),SQRT(RAND()*((D11)-(C11))/((E11)-(C11))),1-SQRT(RAND()*((E11)-(D11))/((E11)-(C11))))</f>
        <v>8.4564811637650988E-3</v>
      </c>
      <c r="G705" s="67">
        <f ca="1">(C12)+(E12-C12)*IF(RAND()&lt;((D12)-(C12))/((E12)-(C12)),SQRT(RAND()*((D12)-(C12))/((E12)-(C12))),1-SQRT(RAND()*((E12)-(D12))/((E12)-(C12))))</f>
        <v>0.11891339729649264</v>
      </c>
      <c r="H705" s="68">
        <f t="shared" ca="1" si="20"/>
        <v>240846545.0242258</v>
      </c>
      <c r="I705" s="69">
        <f t="shared" ca="1" si="21"/>
        <v>240.15057858128705</v>
      </c>
    </row>
    <row r="706" spans="1:9" ht="16.05" customHeight="1" x14ac:dyDescent="0.3">
      <c r="A706" s="70">
        <v>690</v>
      </c>
      <c r="B706" s="71">
        <f ca="1">(C7)+(E7-C7)*IF(RAND()&lt;((D7)-(C7))/((E7)-(C7)),SQRT(RAND()*((D7)-(C7))/((E7)-(C7))),1-SQRT(RAND()*((E7)-(D7))/((E7)-(C7))))</f>
        <v>0.33936424169273705</v>
      </c>
      <c r="C706" s="71">
        <f ca="1">(C8)+(E8-C8)*IF(RAND()&lt;((D8)-(C8))/((E8)-(C8)),SQRT(RAND()*((D8)-(C8))/((E8)-(C8))),1-SQRT(RAND()*((E8)-(D8))/((E8)-(C8))))</f>
        <v>0.63670812703233881</v>
      </c>
      <c r="D706" s="72">
        <f ca="1">(C9)+(E9-C9)*IF(RAND()&lt;((D9)-(C9))/((E9)-(C9)),SQRT(RAND()*((D9)-(C9))/((E9)-(C9))),1-SQRT(RAND()*((E9)-(D9))/((E9)-(C9))))</f>
        <v>1308289.0212445152</v>
      </c>
      <c r="E706" s="72">
        <f ca="1">(C10)+(E10-C10)*IF(RAND()&lt;((D10)-(C10))/((E10)-(C10)),SQRT(RAND()*((D10)-(C10))/((E10)-(C10))),1-SQRT(RAND()*((E10)-(D10))/((E10)-(C10))))</f>
        <v>5260322.4979435755</v>
      </c>
      <c r="F706" s="71">
        <f ca="1">(C11)+(E11-C11)*IF(RAND()&lt;((D11)-(C11))/((E11)-(C11)),SQRT(RAND()*((D11)-(C11))/((E11)-(C11))),1-SQRT(RAND()*((E11)-(D11))/((E11)-(C11))))</f>
        <v>9.8275222245289076E-3</v>
      </c>
      <c r="G706" s="71">
        <f ca="1">(C12)+(E12-C12)*IF(RAND()&lt;((D12)-(C12))/((E12)-(C12)),SQRT(RAND()*((D12)-(C12))/((E12)-(C12))),1-SQRT(RAND()*((E12)-(D12))/((E12)-(C12))))</f>
        <v>0.13229632863217486</v>
      </c>
      <c r="H706" s="72">
        <f t="shared" ca="1" si="20"/>
        <v>284763750.72665495</v>
      </c>
      <c r="I706" s="73">
        <f t="shared" ca="1" si="21"/>
        <v>288.41136089150865</v>
      </c>
    </row>
    <row r="707" spans="1:9" ht="16.05" customHeight="1" x14ac:dyDescent="0.3">
      <c r="A707" s="66">
        <v>691</v>
      </c>
      <c r="B707" s="67">
        <f ca="1">(C7)+(E7-C7)*IF(RAND()&lt;((D7)-(C7))/((E7)-(C7)),SQRT(RAND()*((D7)-(C7))/((E7)-(C7))),1-SQRT(RAND()*((E7)-(D7))/((E7)-(C7))))</f>
        <v>0.33444864888057524</v>
      </c>
      <c r="C707" s="67">
        <f ca="1">(C8)+(E8-C8)*IF(RAND()&lt;((D8)-(C8))/((E8)-(C8)),SQRT(RAND()*((D8)-(C8))/((E8)-(C8))),1-SQRT(RAND()*((E8)-(D8))/((E8)-(C8))))</f>
        <v>0.83125698275913118</v>
      </c>
      <c r="D707" s="68">
        <f ca="1">(C9)+(E9-C9)*IF(RAND()&lt;((D9)-(C9))/((E9)-(C9)),SQRT(RAND()*((D9)-(C9))/((E9)-(C9))),1-SQRT(RAND()*((E9)-(D9))/((E9)-(C9))))</f>
        <v>1107649.707131532</v>
      </c>
      <c r="E707" s="68">
        <f ca="1">(C10)+(E10-C10)*IF(RAND()&lt;((D10)-(C10))/((E10)-(C10)),SQRT(RAND()*((D10)-(C10))/((E10)-(C10))),1-SQRT(RAND()*((E10)-(D10))/((E10)-(C10))))</f>
        <v>3649898.9057840337</v>
      </c>
      <c r="F707" s="67">
        <f ca="1">(C11)+(E11-C11)*IF(RAND()&lt;((D11)-(C11))/((E11)-(C11)),SQRT(RAND()*((D11)-(C11))/((E11)-(C11))),1-SQRT(RAND()*((E11)-(D11))/((E11)-(C11))))</f>
        <v>6.5955598709561622E-3</v>
      </c>
      <c r="G707" s="67">
        <f ca="1">(C12)+(E12-C12)*IF(RAND()&lt;((D12)-(C12))/((E12)-(C12)),SQRT(RAND()*((D12)-(C12))/((E12)-(C12))),1-SQRT(RAND()*((E12)-(D12))/((E12)-(C12))))</f>
        <v>0.16757526943834394</v>
      </c>
      <c r="H707" s="68">
        <f t="shared" ca="1" si="20"/>
        <v>335126468.89159119</v>
      </c>
      <c r="I707" s="69">
        <f t="shared" ca="1" si="21"/>
        <v>400.3870216030848</v>
      </c>
    </row>
    <row r="708" spans="1:9" ht="16.05" customHeight="1" x14ac:dyDescent="0.3">
      <c r="A708" s="70">
        <v>692</v>
      </c>
      <c r="B708" s="71">
        <f ca="1">(C7)+(E7-C7)*IF(RAND()&lt;((D7)-(C7))/((E7)-(C7)),SQRT(RAND()*((D7)-(C7))/((E7)-(C7))),1-SQRT(RAND()*((E7)-(D7))/((E7)-(C7))))</f>
        <v>0.25950956113803869</v>
      </c>
      <c r="C708" s="71">
        <f ca="1">(C8)+(E8-C8)*IF(RAND()&lt;((D8)-(C8))/((E8)-(C8)),SQRT(RAND()*((D8)-(C8))/((E8)-(C8))),1-SQRT(RAND()*((E8)-(D8))/((E8)-(C8))))</f>
        <v>0.58899291266492726</v>
      </c>
      <c r="D708" s="72">
        <f ca="1">(C9)+(E9-C9)*IF(RAND()&lt;((D9)-(C9))/((E9)-(C9)),SQRT(RAND()*((D9)-(C9))/((E9)-(C9))),1-SQRT(RAND()*((E9)-(D9))/((E9)-(C9))))</f>
        <v>1293974.2004619804</v>
      </c>
      <c r="E708" s="72">
        <f ca="1">(C10)+(E10-C10)*IF(RAND()&lt;((D10)-(C10))/((E10)-(C10)),SQRT(RAND()*((D10)-(C10))/((E10)-(C10))),1-SQRT(RAND()*((E10)-(D10))/((E10)-(C10))))</f>
        <v>2869420.5044042561</v>
      </c>
      <c r="F708" s="71">
        <f ca="1">(C11)+(E11-C11)*IF(RAND()&lt;((D11)-(C11))/((E11)-(C11)),SQRT(RAND()*((D11)-(C11))/((E11)-(C11))),1-SQRT(RAND()*((E11)-(D11))/((E11)-(C11))))</f>
        <v>1.0348709274116581E-2</v>
      </c>
      <c r="G708" s="71">
        <f ca="1">(C12)+(E12-C12)*IF(RAND()&lt;((D12)-(C12))/((E12)-(C12)),SQRT(RAND()*((D12)-(C12))/((E12)-(C12))),1-SQRT(RAND()*((E12)-(D12))/((E12)-(C12))))</f>
        <v>0.14441368935067411</v>
      </c>
      <c r="H708" s="72">
        <f t="shared" ca="1" si="20"/>
        <v>228815383.38223499</v>
      </c>
      <c r="I708" s="73">
        <f t="shared" ca="1" si="21"/>
        <v>234.557492784402</v>
      </c>
    </row>
    <row r="709" spans="1:9" ht="16.05" customHeight="1" x14ac:dyDescent="0.3">
      <c r="A709" s="66">
        <v>693</v>
      </c>
      <c r="B709" s="67">
        <f ca="1">(C7)+(E7-C7)*IF(RAND()&lt;((D7)-(C7))/((E7)-(C7)),SQRT(RAND()*((D7)-(C7))/((E7)-(C7))),1-SQRT(RAND()*((E7)-(D7))/((E7)-(C7))))</f>
        <v>0.24910500349456</v>
      </c>
      <c r="C709" s="67">
        <f ca="1">(C8)+(E8-C8)*IF(RAND()&lt;((D8)-(C8))/((E8)-(C8)),SQRT(RAND()*((D8)-(C8))/((E8)-(C8))),1-SQRT(RAND()*((E8)-(D8))/((E8)-(C8))))</f>
        <v>0.81487222408275195</v>
      </c>
      <c r="D709" s="68">
        <f ca="1">(C9)+(E9-C9)*IF(RAND()&lt;((D9)-(C9))/((E9)-(C9)),SQRT(RAND()*((D9)-(C9))/((E9)-(C9))),1-SQRT(RAND()*((E9)-(D9))/((E9)-(C9))))</f>
        <v>1304330.9274633452</v>
      </c>
      <c r="E709" s="68">
        <f ca="1">(C10)+(E10-C10)*IF(RAND()&lt;((D10)-(C10))/((E10)-(C10)),SQRT(RAND()*((D10)-(C10))/((E10)-(C10))),1-SQRT(RAND()*((E10)-(D10))/((E10)-(C10))))</f>
        <v>4199055.332800664</v>
      </c>
      <c r="F709" s="67">
        <f ca="1">(C11)+(E11-C11)*IF(RAND()&lt;((D11)-(C11))/((E11)-(C11)),SQRT(RAND()*((D11)-(C11))/((E11)-(C11))),1-SQRT(RAND()*((E11)-(D11))/((E11)-(C11))))</f>
        <v>1.5563093578959559E-2</v>
      </c>
      <c r="G709" s="67">
        <f ca="1">(C12)+(E12-C12)*IF(RAND()&lt;((D12)-(C12))/((E12)-(C12)),SQRT(RAND()*((D12)-(C12))/((E12)-(C12))),1-SQRT(RAND()*((E12)-(D12))/((E12)-(C12))))</f>
        <v>0.14146269724670041</v>
      </c>
      <c r="H709" s="68">
        <f t="shared" ca="1" si="20"/>
        <v>315949819.22881359</v>
      </c>
      <c r="I709" s="69">
        <f t="shared" ca="1" si="21"/>
        <v>320.81906447493782</v>
      </c>
    </row>
    <row r="710" spans="1:9" ht="16.05" customHeight="1" x14ac:dyDescent="0.3">
      <c r="A710" s="70">
        <v>694</v>
      </c>
      <c r="B710" s="71">
        <f ca="1">(C7)+(E7-C7)*IF(RAND()&lt;((D7)-(C7))/((E7)-(C7)),SQRT(RAND()*((D7)-(C7))/((E7)-(C7))),1-SQRT(RAND()*((E7)-(D7))/((E7)-(C7))))</f>
        <v>0.29102589391399636</v>
      </c>
      <c r="C710" s="71">
        <f ca="1">(C8)+(E8-C8)*IF(RAND()&lt;((D8)-(C8))/((E8)-(C8)),SQRT(RAND()*((D8)-(C8))/((E8)-(C8))),1-SQRT(RAND()*((E8)-(D8))/((E8)-(C8))))</f>
        <v>0.72427329691940856</v>
      </c>
      <c r="D710" s="72">
        <f ca="1">(C9)+(E9-C9)*IF(RAND()&lt;((D9)-(C9))/((E9)-(C9)),SQRT(RAND()*((D9)-(C9))/((E9)-(C9))),1-SQRT(RAND()*((E9)-(D9))/((E9)-(C9))))</f>
        <v>1296333.3867078701</v>
      </c>
      <c r="E710" s="72">
        <f ca="1">(C10)+(E10-C10)*IF(RAND()&lt;((D10)-(C10))/((E10)-(C10)),SQRT(RAND()*((D10)-(C10))/((E10)-(C10))),1-SQRT(RAND()*((E10)-(D10))/((E10)-(C10))))</f>
        <v>4662139.0905674323</v>
      </c>
      <c r="F710" s="71">
        <f ca="1">(C11)+(E11-C11)*IF(RAND()&lt;((D11)-(C11))/((E11)-(C11)),SQRT(RAND()*((D11)-(C11))/((E11)-(C11))),1-SQRT(RAND()*((E11)-(D11))/((E11)-(C11))))</f>
        <v>8.3124683979885292E-3</v>
      </c>
      <c r="G710" s="71">
        <f ca="1">(C12)+(E12-C12)*IF(RAND()&lt;((D12)-(C12))/((E12)-(C12)),SQRT(RAND()*((D12)-(C12))/((E12)-(C12))),1-SQRT(RAND()*((E12)-(D12))/((E12)-(C12))))</f>
        <v>0.13835499388646891</v>
      </c>
      <c r="H710" s="72">
        <f t="shared" ca="1" si="20"/>
        <v>270348854.19337952</v>
      </c>
      <c r="I710" s="73">
        <f t="shared" ca="1" si="21"/>
        <v>276.3923111462359</v>
      </c>
    </row>
    <row r="711" spans="1:9" ht="16.05" customHeight="1" x14ac:dyDescent="0.3">
      <c r="A711" s="66">
        <v>695</v>
      </c>
      <c r="B711" s="67">
        <f ca="1">(C7)+(E7-C7)*IF(RAND()&lt;((D7)-(C7))/((E7)-(C7)),SQRT(RAND()*((D7)-(C7))/((E7)-(C7))),1-SQRT(RAND()*((E7)-(D7))/((E7)-(C7))))</f>
        <v>0.23361463393036838</v>
      </c>
      <c r="C711" s="67">
        <f ca="1">(C8)+(E8-C8)*IF(RAND()&lt;((D8)-(C8))/((E8)-(C8)),SQRT(RAND()*((D8)-(C8))/((E8)-(C8))),1-SQRT(RAND()*((E8)-(D8))/((E8)-(C8))))</f>
        <v>0.71576846435167529</v>
      </c>
      <c r="D711" s="68">
        <f ca="1">(C9)+(E9-C9)*IF(RAND()&lt;((D9)-(C9))/((E9)-(C9)),SQRT(RAND()*((D9)-(C9))/((E9)-(C9))),1-SQRT(RAND()*((E9)-(D9))/((E9)-(C9))))</f>
        <v>1186454.11169165</v>
      </c>
      <c r="E711" s="68">
        <f ca="1">(C10)+(E10-C10)*IF(RAND()&lt;((D10)-(C10))/((E10)-(C10)),SQRT(RAND()*((D10)-(C10))/((E10)-(C10))),1-SQRT(RAND()*((E10)-(D10))/((E10)-(C10))))</f>
        <v>3709351.7512974003</v>
      </c>
      <c r="F711" s="67">
        <f ca="1">(C11)+(E11-C11)*IF(RAND()&lt;((D11)-(C11))/((E11)-(C11)),SQRT(RAND()*((D11)-(C11))/((E11)-(C11))),1-SQRT(RAND()*((E11)-(D11))/((E11)-(C11))))</f>
        <v>8.7938229386502146E-3</v>
      </c>
      <c r="G711" s="67">
        <f ca="1">(C12)+(E12-C12)*IF(RAND()&lt;((D12)-(C12))/((E12)-(C12)),SQRT(RAND()*((D12)-(C12))/((E12)-(C12))),1-SQRT(RAND()*((E12)-(D12))/((E12)-(C12))))</f>
        <v>0.17620954450127713</v>
      </c>
      <c r="H711" s="68">
        <f t="shared" ca="1" si="20"/>
        <v>230144419.22511822</v>
      </c>
      <c r="I711" s="69">
        <f t="shared" ca="1" si="21"/>
        <v>257.17177350116731</v>
      </c>
    </row>
    <row r="712" spans="1:9" ht="16.05" customHeight="1" x14ac:dyDescent="0.3">
      <c r="A712" s="70">
        <v>696</v>
      </c>
      <c r="B712" s="71">
        <f ca="1">(C7)+(E7-C7)*IF(RAND()&lt;((D7)-(C7))/((E7)-(C7)),SQRT(RAND()*((D7)-(C7))/((E7)-(C7))),1-SQRT(RAND()*((E7)-(D7))/((E7)-(C7))))</f>
        <v>0.2754718379721004</v>
      </c>
      <c r="C712" s="71">
        <f ca="1">(C8)+(E8-C8)*IF(RAND()&lt;((D8)-(C8))/((E8)-(C8)),SQRT(RAND()*((D8)-(C8))/((E8)-(C8))),1-SQRT(RAND()*((E8)-(D8))/((E8)-(C8))))</f>
        <v>0.63341972784062328</v>
      </c>
      <c r="D712" s="72">
        <f ca="1">(C9)+(E9-C9)*IF(RAND()&lt;((D9)-(C9))/((E9)-(C9)),SQRT(RAND()*((D9)-(C9))/((E9)-(C9))),1-SQRT(RAND()*((E9)-(D9))/((E9)-(C9))))</f>
        <v>1173054.5516056959</v>
      </c>
      <c r="E712" s="72">
        <f ca="1">(C10)+(E10-C10)*IF(RAND()&lt;((D10)-(C10))/((E10)-(C10)),SQRT(RAND()*((D10)-(C10))/((E10)-(C10))),1-SQRT(RAND()*((E10)-(D10))/((E10)-(C10))))</f>
        <v>3980785.4813060481</v>
      </c>
      <c r="F712" s="71">
        <f ca="1">(C11)+(E11-C11)*IF(RAND()&lt;((D11)-(C11))/((E11)-(C11)),SQRT(RAND()*((D11)-(C11))/((E11)-(C11))),1-SQRT(RAND()*((E11)-(D11))/((E11)-(C11))))</f>
        <v>7.9853950053552971E-3</v>
      </c>
      <c r="G712" s="71">
        <f ca="1">(C12)+(E12-C12)*IF(RAND()&lt;((D12)-(C12))/((E12)-(C12)),SQRT(RAND()*((D12)-(C12))/((E12)-(C12))),1-SQRT(RAND()*((E12)-(D12))/((E12)-(C12))))</f>
        <v>0.15218495934913528</v>
      </c>
      <c r="H712" s="72">
        <f t="shared" ca="1" si="20"/>
        <v>231209129.53427133</v>
      </c>
      <c r="I712" s="73">
        <f t="shared" ca="1" si="21"/>
        <v>261.29149177045588</v>
      </c>
    </row>
    <row r="713" spans="1:9" ht="16.05" customHeight="1" x14ac:dyDescent="0.3">
      <c r="A713" s="66">
        <v>697</v>
      </c>
      <c r="B713" s="67">
        <f ca="1">(C7)+(E7-C7)*IF(RAND()&lt;((D7)-(C7))/((E7)-(C7)),SQRT(RAND()*((D7)-(C7))/((E7)-(C7))),1-SQRT(RAND()*((E7)-(D7))/((E7)-(C7))))</f>
        <v>0.28185255894778694</v>
      </c>
      <c r="C713" s="67">
        <f ca="1">(C8)+(E8-C8)*IF(RAND()&lt;((D8)-(C8))/((E8)-(C8)),SQRT(RAND()*((D8)-(C8))/((E8)-(C8))),1-SQRT(RAND()*((E8)-(D8))/((E8)-(C8))))</f>
        <v>0.65099936504304223</v>
      </c>
      <c r="D713" s="68">
        <f ca="1">(C9)+(E9-C9)*IF(RAND()&lt;((D9)-(C9))/((E9)-(C9)),SQRT(RAND()*((D9)-(C9))/((E9)-(C9))),1-SQRT(RAND()*((E9)-(D9))/((E9)-(C9))))</f>
        <v>1245746.5288375928</v>
      </c>
      <c r="E713" s="68">
        <f ca="1">(C10)+(E10-C10)*IF(RAND()&lt;((D10)-(C10))/((E10)-(C10)),SQRT(RAND()*((D10)-(C10))/((E10)-(C10))),1-SQRT(RAND()*((E10)-(D10))/((E10)-(C10))))</f>
        <v>4173294.6028650966</v>
      </c>
      <c r="F713" s="67">
        <f ca="1">(C11)+(E11-C11)*IF(RAND()&lt;((D11)-(C11))/((E11)-(C11)),SQRT(RAND()*((D11)-(C11))/((E11)-(C11))),1-SQRT(RAND()*((E11)-(D11))/((E11)-(C11))))</f>
        <v>4.6745352028498069E-3</v>
      </c>
      <c r="G713" s="67">
        <f ca="1">(C12)+(E12-C12)*IF(RAND()&lt;((D12)-(C12))/((E12)-(C12)),SQRT(RAND()*((D12)-(C12))/((E12)-(C12))),1-SQRT(RAND()*((E12)-(D12))/((E12)-(C12))))</f>
        <v>0.15749467013800122</v>
      </c>
      <c r="H713" s="68">
        <f t="shared" ca="1" si="20"/>
        <v>216297860.95315588</v>
      </c>
      <c r="I713" s="69">
        <f t="shared" ca="1" si="21"/>
        <v>230.33359631472965</v>
      </c>
    </row>
    <row r="714" spans="1:9" ht="16.05" customHeight="1" x14ac:dyDescent="0.3">
      <c r="A714" s="70">
        <v>698</v>
      </c>
      <c r="B714" s="71">
        <f ca="1">(C7)+(E7-C7)*IF(RAND()&lt;((D7)-(C7))/((E7)-(C7)),SQRT(RAND()*((D7)-(C7))/((E7)-(C7))),1-SQRT(RAND()*((E7)-(D7))/((E7)-(C7))))</f>
        <v>0.24424868077720024</v>
      </c>
      <c r="C714" s="71">
        <f ca="1">(C8)+(E8-C8)*IF(RAND()&lt;((D8)-(C8))/((E8)-(C8)),SQRT(RAND()*((D8)-(C8))/((E8)-(C8))),1-SQRT(RAND()*((E8)-(D8))/((E8)-(C8))))</f>
        <v>0.60285996955169274</v>
      </c>
      <c r="D714" s="72">
        <f ca="1">(C9)+(E9-C9)*IF(RAND()&lt;((D9)-(C9))/((E9)-(C9)),SQRT(RAND()*((D9)-(C9))/((E9)-(C9))),1-SQRT(RAND()*((E9)-(D9))/((E9)-(C9))))</f>
        <v>1258584.3213717404</v>
      </c>
      <c r="E714" s="72">
        <f ca="1">(C10)+(E10-C10)*IF(RAND()&lt;((D10)-(C10))/((E10)-(C10)),SQRT(RAND()*((D10)-(C10))/((E10)-(C10))),1-SQRT(RAND()*((E10)-(D10))/((E10)-(C10))))</f>
        <v>3731087.875586045</v>
      </c>
      <c r="F714" s="71">
        <f ca="1">(C11)+(E11-C11)*IF(RAND()&lt;((D11)-(C11))/((E11)-(C11)),SQRT(RAND()*((D11)-(C11))/((E11)-(C11))),1-SQRT(RAND()*((E11)-(D11))/((E11)-(C11))))</f>
        <v>7.1651902988460713E-3</v>
      </c>
      <c r="G714" s="71">
        <f ca="1">(C12)+(E12-C12)*IF(RAND()&lt;((D12)-(C12))/((E12)-(C12)),SQRT(RAND()*((D12)-(C12))/((E12)-(C12))),1-SQRT(RAND()*((E12)-(D12))/((E12)-(C12))))</f>
        <v>0.14514455122725262</v>
      </c>
      <c r="H714" s="72">
        <f t="shared" ca="1" si="20"/>
        <v>196512596.79006797</v>
      </c>
      <c r="I714" s="73">
        <f t="shared" ca="1" si="21"/>
        <v>207.26278909202108</v>
      </c>
    </row>
    <row r="715" spans="1:9" ht="16.05" customHeight="1" x14ac:dyDescent="0.3">
      <c r="A715" s="66">
        <v>699</v>
      </c>
      <c r="B715" s="67">
        <f ca="1">(C7)+(E7-C7)*IF(RAND()&lt;((D7)-(C7))/((E7)-(C7)),SQRT(RAND()*((D7)-(C7))/((E7)-(C7))),1-SQRT(RAND()*((E7)-(D7))/((E7)-(C7))))</f>
        <v>0.20748123257907411</v>
      </c>
      <c r="C715" s="67">
        <f ca="1">(C8)+(E8-C8)*IF(RAND()&lt;((D8)-(C8))/((E8)-(C8)),SQRT(RAND()*((D8)-(C8))/((E8)-(C8))),1-SQRT(RAND()*((E8)-(D8))/((E8)-(C8))))</f>
        <v>0.52717876048714019</v>
      </c>
      <c r="D715" s="68">
        <f ca="1">(C9)+(E9-C9)*IF(RAND()&lt;((D9)-(C9))/((E9)-(C9)),SQRT(RAND()*((D9)-(C9))/((E9)-(C9))),1-SQRT(RAND()*((E9)-(D9))/((E9)-(C9))))</f>
        <v>1132727.5886281794</v>
      </c>
      <c r="E715" s="68">
        <f ca="1">(C10)+(E10-C10)*IF(RAND()&lt;((D10)-(C10))/((E10)-(C10)),SQRT(RAND()*((D10)-(C10))/((E10)-(C10))),1-SQRT(RAND()*((E10)-(D10))/((E10)-(C10))))</f>
        <v>3204353.2081200723</v>
      </c>
      <c r="F715" s="67">
        <f ca="1">(C11)+(E11-C11)*IF(RAND()&lt;((D11)-(C11))/((E11)-(C11)),SQRT(RAND()*((D11)-(C11))/((E11)-(C11))),1-SQRT(RAND()*((E11)-(D11))/((E11)-(C11))))</f>
        <v>1.3127074361754533E-2</v>
      </c>
      <c r="G715" s="67">
        <f ca="1">(C12)+(E12-C12)*IF(RAND()&lt;((D12)-(C12))/((E12)-(C12)),SQRT(RAND()*((D12)-(C12))/((E12)-(C12))),1-SQRT(RAND()*((E12)-(D12))/((E12)-(C12))))</f>
        <v>0.15703004495780953</v>
      </c>
      <c r="H715" s="68">
        <f t="shared" ca="1" si="20"/>
        <v>200467264.32127967</v>
      </c>
      <c r="I715" s="69">
        <f t="shared" ca="1" si="21"/>
        <v>234.75004285223466</v>
      </c>
    </row>
    <row r="716" spans="1:9" ht="16.05" customHeight="1" x14ac:dyDescent="0.3">
      <c r="A716" s="70">
        <v>700</v>
      </c>
      <c r="B716" s="71">
        <f ca="1">(C7)+(E7-C7)*IF(RAND()&lt;((D7)-(C7))/((E7)-(C7)),SQRT(RAND()*((D7)-(C7))/((E7)-(C7))),1-SQRT(RAND()*((E7)-(D7))/((E7)-(C7))))</f>
        <v>0.29957053509179099</v>
      </c>
      <c r="C716" s="71">
        <f ca="1">(C8)+(E8-C8)*IF(RAND()&lt;((D8)-(C8))/((E8)-(C8)),SQRT(RAND()*((D8)-(C8))/((E8)-(C8))),1-SQRT(RAND()*((E8)-(D8))/((E8)-(C8))))</f>
        <v>0.69610841921243027</v>
      </c>
      <c r="D716" s="72">
        <f ca="1">(C9)+(E9-C9)*IF(RAND()&lt;((D9)-(C9))/((E9)-(C9)),SQRT(RAND()*((D9)-(C9))/((E9)-(C9))),1-SQRT(RAND()*((E9)-(D9))/((E9)-(C9))))</f>
        <v>1211874.4107729809</v>
      </c>
      <c r="E716" s="72">
        <f ca="1">(C10)+(E10-C10)*IF(RAND()&lt;((D10)-(C10))/((E10)-(C10)),SQRT(RAND()*((D10)-(C10))/((E10)-(C10))),1-SQRT(RAND()*((E10)-(D10))/((E10)-(C10))))</f>
        <v>2729188.1855616895</v>
      </c>
      <c r="F716" s="71">
        <f ca="1">(C11)+(E11-C11)*IF(RAND()&lt;((D11)-(C11))/((E11)-(C11)),SQRT(RAND()*((D11)-(C11))/((E11)-(C11))),1-SQRT(RAND()*((E11)-(D11))/((E11)-(C11))))</f>
        <v>1.3731387069137225E-2</v>
      </c>
      <c r="G716" s="71">
        <f ca="1">(C12)+(E12-C12)*IF(RAND()&lt;((D12)-(C12))/((E12)-(C12)),SQRT(RAND()*((D12)-(C12))/((E12)-(C12))),1-SQRT(RAND()*((E12)-(D12))/((E12)-(C12))))</f>
        <v>0.15823893477647452</v>
      </c>
      <c r="H716" s="72">
        <f t="shared" ca="1" si="20"/>
        <v>314426120.31042206</v>
      </c>
      <c r="I716" s="73">
        <f t="shared" ca="1" si="21"/>
        <v>343.53604263929867</v>
      </c>
    </row>
    <row r="717" spans="1:9" ht="16.05" customHeight="1" x14ac:dyDescent="0.3">
      <c r="A717" s="66">
        <v>701</v>
      </c>
      <c r="B717" s="67">
        <f ca="1">(C7)+(E7-C7)*IF(RAND()&lt;((D7)-(C7))/((E7)-(C7)),SQRT(RAND()*((D7)-(C7))/((E7)-(C7))),1-SQRT(RAND()*((E7)-(D7))/((E7)-(C7))))</f>
        <v>0.33424316208872373</v>
      </c>
      <c r="C717" s="67">
        <f ca="1">(C8)+(E8-C8)*IF(RAND()&lt;((D8)-(C8))/((E8)-(C8)),SQRT(RAND()*((D8)-(C8))/((E8)-(C8))),1-SQRT(RAND()*((E8)-(D8))/((E8)-(C8))))</f>
        <v>0.66855899602282176</v>
      </c>
      <c r="D717" s="68">
        <f ca="1">(C9)+(E9-C9)*IF(RAND()&lt;((D9)-(C9))/((E9)-(C9)),SQRT(RAND()*((D9)-(C9))/((E9)-(C9))),1-SQRT(RAND()*((E9)-(D9))/((E9)-(C9))))</f>
        <v>1199830.8836576145</v>
      </c>
      <c r="E717" s="68">
        <f ca="1">(C10)+(E10-C10)*IF(RAND()&lt;((D10)-(C10))/((E10)-(C10)),SQRT(RAND()*((D10)-(C10))/((E10)-(C10))),1-SQRT(RAND()*((E10)-(D10))/((E10)-(C10))))</f>
        <v>3320835.0141892582</v>
      </c>
      <c r="F717" s="67">
        <f ca="1">(C11)+(E11-C11)*IF(RAND()&lt;((D11)-(C11))/((E11)-(C11)),SQRT(RAND()*((D11)-(C11))/((E11)-(C11))),1-SQRT(RAND()*((E11)-(D11))/((E11)-(C11))))</f>
        <v>1.8854345792359815E-2</v>
      </c>
      <c r="G717" s="67">
        <f ca="1">(C12)+(E12-C12)*IF(RAND()&lt;((D12)-(C12))/((E12)-(C12)),SQRT(RAND()*((D12)-(C12))/((E12)-(C12))),1-SQRT(RAND()*((E12)-(D12))/((E12)-(C12))))</f>
        <v>0.14971264656140537</v>
      </c>
      <c r="H717" s="68">
        <f t="shared" ca="1" si="20"/>
        <v>365411800.12132478</v>
      </c>
      <c r="I717" s="69">
        <f t="shared" ca="1" si="21"/>
        <v>403.02023396142522</v>
      </c>
    </row>
    <row r="718" spans="1:9" ht="16.05" customHeight="1" x14ac:dyDescent="0.3">
      <c r="A718" s="70">
        <v>702</v>
      </c>
      <c r="B718" s="71">
        <f ca="1">(C7)+(E7-C7)*IF(RAND()&lt;((D7)-(C7))/((E7)-(C7)),SQRT(RAND()*((D7)-(C7))/((E7)-(C7))),1-SQRT(RAND()*((E7)-(D7))/((E7)-(C7))))</f>
        <v>0.28802739521481802</v>
      </c>
      <c r="C718" s="71">
        <f ca="1">(C8)+(E8-C8)*IF(RAND()&lt;((D8)-(C8))/((E8)-(C8)),SQRT(RAND()*((D8)-(C8))/((E8)-(C8))),1-SQRT(RAND()*((E8)-(D8))/((E8)-(C8))))</f>
        <v>0.83564349937789828</v>
      </c>
      <c r="D718" s="72">
        <f ca="1">(C9)+(E9-C9)*IF(RAND()&lt;((D9)-(C9))/((E9)-(C9)),SQRT(RAND()*((D9)-(C9))/((E9)-(C9))),1-SQRT(RAND()*((E9)-(D9))/((E9)-(C9))))</f>
        <v>1245970.609146904</v>
      </c>
      <c r="E718" s="72">
        <f ca="1">(C10)+(E10-C10)*IF(RAND()&lt;((D10)-(C10))/((E10)-(C10)),SQRT(RAND()*((D10)-(C10))/((E10)-(C10))),1-SQRT(RAND()*((E10)-(D10))/((E10)-(C10))))</f>
        <v>3913840.7728415723</v>
      </c>
      <c r="F718" s="71">
        <f ca="1">(C11)+(E11-C11)*IF(RAND()&lt;((D11)-(C11))/((E11)-(C11)),SQRT(RAND()*((D11)-(C11))/((E11)-(C11))),1-SQRT(RAND()*((E11)-(D11))/((E11)-(C11))))</f>
        <v>8.1158992005828118E-3</v>
      </c>
      <c r="G718" s="71">
        <f ca="1">(C12)+(E12-C12)*IF(RAND()&lt;((D12)-(C12))/((E12)-(C12)),SQRT(RAND()*((D12)-(C12))/((E12)-(C12))),1-SQRT(RAND()*((E12)-(D12))/((E12)-(C12))))</f>
        <v>0.13119674829235314</v>
      </c>
      <c r="H718" s="72">
        <f t="shared" ca="1" si="20"/>
        <v>304353424.54995668</v>
      </c>
      <c r="I718" s="73">
        <f t="shared" ca="1" si="21"/>
        <v>323.50823520053211</v>
      </c>
    </row>
    <row r="719" spans="1:9" ht="16.05" customHeight="1" x14ac:dyDescent="0.3">
      <c r="A719" s="66">
        <v>703</v>
      </c>
      <c r="B719" s="67">
        <f ca="1">(C7)+(E7-C7)*IF(RAND()&lt;((D7)-(C7))/((E7)-(C7)),SQRT(RAND()*((D7)-(C7))/((E7)-(C7))),1-SQRT(RAND()*((E7)-(D7))/((E7)-(C7))))</f>
        <v>0.28736369844710946</v>
      </c>
      <c r="C719" s="67">
        <f ca="1">(C8)+(E8-C8)*IF(RAND()&lt;((D8)-(C8))/((E8)-(C8)),SQRT(RAND()*((D8)-(C8))/((E8)-(C8))),1-SQRT(RAND()*((E8)-(D8))/((E8)-(C8))))</f>
        <v>0.69888633283033996</v>
      </c>
      <c r="D719" s="68">
        <f ca="1">(C9)+(E9-C9)*IF(RAND()&lt;((D9)-(C9))/((E9)-(C9)),SQRT(RAND()*((D9)-(C9))/((E9)-(C9))),1-SQRT(RAND()*((E9)-(D9))/((E9)-(C9))))</f>
        <v>1180038.3758443275</v>
      </c>
      <c r="E719" s="68">
        <f ca="1">(C10)+(E10-C10)*IF(RAND()&lt;((D10)-(C10))/((E10)-(C10)),SQRT(RAND()*((D10)-(C10))/((E10)-(C10))),1-SQRT(RAND()*((E10)-(D10))/((E10)-(C10))))</f>
        <v>3075001.6719061816</v>
      </c>
      <c r="F719" s="67">
        <f ca="1">(C11)+(E11-C11)*IF(RAND()&lt;((D11)-(C11))/((E11)-(C11)),SQRT(RAND()*((D11)-(C11))/((E11)-(C11))),1-SQRT(RAND()*((E11)-(D11))/((E11)-(C11))))</f>
        <v>1.475673549985969E-2</v>
      </c>
      <c r="G719" s="67">
        <f ca="1">(C12)+(E12-C12)*IF(RAND()&lt;((D12)-(C12))/((E12)-(C12)),SQRT(RAND()*((D12)-(C12))/((E12)-(C12))),1-SQRT(RAND()*((E12)-(D12))/((E12)-(C12))))</f>
        <v>0.15282553308680549</v>
      </c>
      <c r="H719" s="68">
        <f t="shared" ca="1" si="20"/>
        <v>312171482.61487859</v>
      </c>
      <c r="I719" s="69">
        <f t="shared" ca="1" si="21"/>
        <v>350.2485323047631</v>
      </c>
    </row>
    <row r="720" spans="1:9" ht="16.05" customHeight="1" x14ac:dyDescent="0.3">
      <c r="A720" s="70">
        <v>704</v>
      </c>
      <c r="B720" s="71">
        <f ca="1">(C7)+(E7-C7)*IF(RAND()&lt;((D7)-(C7))/((E7)-(C7)),SQRT(RAND()*((D7)-(C7))/((E7)-(C7))),1-SQRT(RAND()*((E7)-(D7))/((E7)-(C7))))</f>
        <v>0.21488004081615941</v>
      </c>
      <c r="C720" s="71">
        <f ca="1">(C8)+(E8-C8)*IF(RAND()&lt;((D8)-(C8))/((E8)-(C8)),SQRT(RAND()*((D8)-(C8))/((E8)-(C8))),1-SQRT(RAND()*((E8)-(D8))/((E8)-(C8))))</f>
        <v>0.80322352824928578</v>
      </c>
      <c r="D720" s="72">
        <f ca="1">(C9)+(E9-C9)*IF(RAND()&lt;((D9)-(C9))/((E9)-(C9)),SQRT(RAND()*((D9)-(C9))/((E9)-(C9))),1-SQRT(RAND()*((E9)-(D9))/((E9)-(C9))))</f>
        <v>1136113.1246117314</v>
      </c>
      <c r="E720" s="72">
        <f ca="1">(C10)+(E10-C10)*IF(RAND()&lt;((D10)-(C10))/((E10)-(C10)),SQRT(RAND()*((D10)-(C10))/((E10)-(C10))),1-SQRT(RAND()*((E10)-(D10))/((E10)-(C10))))</f>
        <v>4831095.8490604758</v>
      </c>
      <c r="F720" s="71">
        <f ca="1">(C11)+(E11-C11)*IF(RAND()&lt;((D11)-(C11))/((E11)-(C11)),SQRT(RAND()*((D11)-(C11))/((E11)-(C11))),1-SQRT(RAND()*((E11)-(D11))/((E11)-(C11))))</f>
        <v>1.5513915774619993E-2</v>
      </c>
      <c r="G720" s="71">
        <f ca="1">(C12)+(E12-C12)*IF(RAND()&lt;((D12)-(C12))/((E12)-(C12)),SQRT(RAND()*((D12)-(C12))/((E12)-(C12))),1-SQRT(RAND()*((E12)-(D12))/((E12)-(C12))))</f>
        <v>0.14971681440859319</v>
      </c>
      <c r="H720" s="72">
        <f t="shared" ca="1" si="20"/>
        <v>280301957.33612609</v>
      </c>
      <c r="I720" s="73">
        <f t="shared" ca="1" si="21"/>
        <v>326.73970742415815</v>
      </c>
    </row>
    <row r="721" spans="1:9" ht="16.05" customHeight="1" x14ac:dyDescent="0.3">
      <c r="A721" s="66">
        <v>705</v>
      </c>
      <c r="B721" s="67">
        <f ca="1">(C7)+(E7-C7)*IF(RAND()&lt;((D7)-(C7))/((E7)-(C7)),SQRT(RAND()*((D7)-(C7))/((E7)-(C7))),1-SQRT(RAND()*((E7)-(D7))/((E7)-(C7))))</f>
        <v>0.27804035865413201</v>
      </c>
      <c r="C721" s="67">
        <f ca="1">(C8)+(E8-C8)*IF(RAND()&lt;((D8)-(C8))/((E8)-(C8)),SQRT(RAND()*((D8)-(C8))/((E8)-(C8))),1-SQRT(RAND()*((E8)-(D8))/((E8)-(C8))))</f>
        <v>0.69008126052214047</v>
      </c>
      <c r="D721" s="68">
        <f ca="1">(C9)+(E9-C9)*IF(RAND()&lt;((D9)-(C9))/((E9)-(C9)),SQRT(RAND()*((D9)-(C9))/((E9)-(C9))),1-SQRT(RAND()*((E9)-(D9))/((E9)-(C9))))</f>
        <v>1242350.8013116042</v>
      </c>
      <c r="E721" s="68">
        <f ca="1">(C10)+(E10-C10)*IF(RAND()&lt;((D10)-(C10))/((E10)-(C10)),SQRT(RAND()*((D10)-(C10))/((E10)-(C10))),1-SQRT(RAND()*((E10)-(D10))/((E10)-(C10))))</f>
        <v>3469046.0289101545</v>
      </c>
      <c r="F721" s="67">
        <f ca="1">(C11)+(E11-C11)*IF(RAND()&lt;((D11)-(C11))/((E11)-(C11)),SQRT(RAND()*((D11)-(C11))/((E11)-(C11))),1-SQRT(RAND()*((E11)-(D11))/((E11)-(C11))))</f>
        <v>1.4316580125197098E-2</v>
      </c>
      <c r="G721" s="67">
        <f ca="1">(C12)+(E12-C12)*IF(RAND()&lt;((D12)-(C12))/((E12)-(C12)),SQRT(RAND()*((D12)-(C12))/((E12)-(C12))),1-SQRT(RAND()*((E12)-(D12))/((E12)-(C12))))</f>
        <v>0.15412281046290549</v>
      </c>
      <c r="H721" s="68">
        <f t="shared" ref="H721:H784" ca="1" si="22">-D721+($L$1*B721*C721+$M$1*F721-E721)*(1-(1+$N$1)^-5)/$N$1</f>
        <v>297685974.47846651</v>
      </c>
      <c r="I721" s="69">
        <f t="shared" ref="I721:I784" ca="1" si="23">($L$1*B721*C721+$M$1*F721-E721)*5/D721</f>
        <v>317.36824680977918</v>
      </c>
    </row>
    <row r="722" spans="1:9" ht="16.05" customHeight="1" x14ac:dyDescent="0.3">
      <c r="A722" s="70">
        <v>706</v>
      </c>
      <c r="B722" s="71">
        <f ca="1">(C7)+(E7-C7)*IF(RAND()&lt;((D7)-(C7))/((E7)-(C7)),SQRT(RAND()*((D7)-(C7))/((E7)-(C7))),1-SQRT(RAND()*((E7)-(D7))/((E7)-(C7))))</f>
        <v>0.24271094560236106</v>
      </c>
      <c r="C722" s="71">
        <f ca="1">(C8)+(E8-C8)*IF(RAND()&lt;((D8)-(C8))/((E8)-(C8)),SQRT(RAND()*((D8)-(C8))/((E8)-(C8))),1-SQRT(RAND()*((E8)-(D8))/((E8)-(C8))))</f>
        <v>0.61513131186748315</v>
      </c>
      <c r="D722" s="72">
        <f ca="1">(C9)+(E9-C9)*IF(RAND()&lt;((D9)-(C9))/((E9)-(C9)),SQRT(RAND()*((D9)-(C9))/((E9)-(C9))),1-SQRT(RAND()*((E9)-(D9))/((E9)-(C9))))</f>
        <v>1159248.7299120123</v>
      </c>
      <c r="E722" s="72">
        <f ca="1">(C10)+(E10-C10)*IF(RAND()&lt;((D10)-(C10))/((E10)-(C10)),SQRT(RAND()*((D10)-(C10))/((E10)-(C10))),1-SQRT(RAND()*((E10)-(D10))/((E10)-(C10))))</f>
        <v>3764694.8827639725</v>
      </c>
      <c r="F722" s="71">
        <f ca="1">(C11)+(E11-C11)*IF(RAND()&lt;((D11)-(C11))/((E11)-(C11)),SQRT(RAND()*((D11)-(C11))/((E11)-(C11))),1-SQRT(RAND()*((E11)-(D11))/((E11)-(C11))))</f>
        <v>1.4041779427370161E-2</v>
      </c>
      <c r="G722" s="71">
        <f ca="1">(C12)+(E12-C12)*IF(RAND()&lt;((D12)-(C12))/((E12)-(C12)),SQRT(RAND()*((D12)-(C12))/((E12)-(C12))),1-SQRT(RAND()*((E12)-(D12))/((E12)-(C12))))</f>
        <v>0.1328554297252085</v>
      </c>
      <c r="H722" s="72">
        <f t="shared" ca="1" si="22"/>
        <v>248349182.24409798</v>
      </c>
      <c r="I722" s="73">
        <f t="shared" ca="1" si="23"/>
        <v>283.8894442135346</v>
      </c>
    </row>
    <row r="723" spans="1:9" ht="16.05" customHeight="1" x14ac:dyDescent="0.3">
      <c r="A723" s="66">
        <v>707</v>
      </c>
      <c r="B723" s="67">
        <f ca="1">(C7)+(E7-C7)*IF(RAND()&lt;((D7)-(C7))/((E7)-(C7)),SQRT(RAND()*((D7)-(C7))/((E7)-(C7))),1-SQRT(RAND()*((E7)-(D7))/((E7)-(C7))))</f>
        <v>0.32364700002525049</v>
      </c>
      <c r="C723" s="67">
        <f ca="1">(C8)+(E8-C8)*IF(RAND()&lt;((D8)-(C8))/((E8)-(C8)),SQRT(RAND()*((D8)-(C8))/((E8)-(C8))),1-SQRT(RAND()*((E8)-(D8))/((E8)-(C8))))</f>
        <v>0.76641378107183966</v>
      </c>
      <c r="D723" s="68">
        <f ca="1">(C9)+(E9-C9)*IF(RAND()&lt;((D9)-(C9))/((E9)-(C9)),SQRT(RAND()*((D9)-(C9))/((E9)-(C9))),1-SQRT(RAND()*((E9)-(D9))/((E9)-(C9))))</f>
        <v>1325510.7142413107</v>
      </c>
      <c r="E723" s="68">
        <f ca="1">(C10)+(E10-C10)*IF(RAND()&lt;((D10)-(C10))/((E10)-(C10)),SQRT(RAND()*((D10)-(C10))/((E10)-(C10))),1-SQRT(RAND()*((E10)-(D10))/((E10)-(C10))))</f>
        <v>4890229.0801912099</v>
      </c>
      <c r="F723" s="67">
        <f ca="1">(C11)+(E11-C11)*IF(RAND()&lt;((D11)-(C11))/((E11)-(C11)),SQRT(RAND()*((D11)-(C11))/((E11)-(C11))),1-SQRT(RAND()*((E11)-(D11))/((E11)-(C11))))</f>
        <v>1.1528480872917414E-2</v>
      </c>
      <c r="G723" s="67">
        <f ca="1">(C12)+(E12-C12)*IF(RAND()&lt;((D12)-(C12))/((E12)-(C12)),SQRT(RAND()*((D12)-(C12))/((E12)-(C12))),1-SQRT(RAND()*((E12)-(D12))/((E12)-(C12))))</f>
        <v>0.14168065027267504</v>
      </c>
      <c r="H723" s="68">
        <f t="shared" ca="1" si="22"/>
        <v>333210045.76363397</v>
      </c>
      <c r="I723" s="69">
        <f t="shared" ca="1" si="23"/>
        <v>332.88918786915883</v>
      </c>
    </row>
    <row r="724" spans="1:9" ht="16.05" customHeight="1" x14ac:dyDescent="0.3">
      <c r="A724" s="70">
        <v>708</v>
      </c>
      <c r="B724" s="71">
        <f ca="1">(C7)+(E7-C7)*IF(RAND()&lt;((D7)-(C7))/((E7)-(C7)),SQRT(RAND()*((D7)-(C7))/((E7)-(C7))),1-SQRT(RAND()*((E7)-(D7))/((E7)-(C7))))</f>
        <v>0.26966912620606998</v>
      </c>
      <c r="C724" s="71">
        <f ca="1">(C8)+(E8-C8)*IF(RAND()&lt;((D8)-(C8))/((E8)-(C8)),SQRT(RAND()*((D8)-(C8))/((E8)-(C8))),1-SQRT(RAND()*((E8)-(D8))/((E8)-(C8))))</f>
        <v>0.62328662051684225</v>
      </c>
      <c r="D724" s="72">
        <f ca="1">(C9)+(E9-C9)*IF(RAND()&lt;((D9)-(C9))/((E9)-(C9)),SQRT(RAND()*((D9)-(C9))/((E9)-(C9))),1-SQRT(RAND()*((E9)-(D9))/((E9)-(C9))))</f>
        <v>1233576.1228762623</v>
      </c>
      <c r="E724" s="72">
        <f ca="1">(C10)+(E10-C10)*IF(RAND()&lt;((D10)-(C10))/((E10)-(C10)),SQRT(RAND()*((D10)-(C10))/((E10)-(C10))),1-SQRT(RAND()*((E10)-(D10))/((E10)-(C10))))</f>
        <v>3856059.4595241873</v>
      </c>
      <c r="F724" s="71">
        <f ca="1">(C11)+(E11-C11)*IF(RAND()&lt;((D11)-(C11))/((E11)-(C11)),SQRT(RAND()*((D11)-(C11))/((E11)-(C11))),1-SQRT(RAND()*((E11)-(D11))/((E11)-(C11))))</f>
        <v>1.3117155808509974E-2</v>
      </c>
      <c r="G724" s="71">
        <f ca="1">(C12)+(E12-C12)*IF(RAND()&lt;((D12)-(C12))/((E12)-(C12)),SQRT(RAND()*((D12)-(C12))/((E12)-(C12))),1-SQRT(RAND()*((E12)-(D12))/((E12)-(C12))))</f>
        <v>0.16389391483281998</v>
      </c>
      <c r="H724" s="72">
        <f t="shared" ca="1" si="22"/>
        <v>261688940.92253491</v>
      </c>
      <c r="I724" s="73">
        <f t="shared" ca="1" si="23"/>
        <v>281.12694609828355</v>
      </c>
    </row>
    <row r="725" spans="1:9" ht="16.05" customHeight="1" x14ac:dyDescent="0.3">
      <c r="A725" s="66">
        <v>709</v>
      </c>
      <c r="B725" s="67">
        <f ca="1">(C7)+(E7-C7)*IF(RAND()&lt;((D7)-(C7))/((E7)-(C7)),SQRT(RAND()*((D7)-(C7))/((E7)-(C7))),1-SQRT(RAND()*((E7)-(D7))/((E7)-(C7))))</f>
        <v>0.35862909791826297</v>
      </c>
      <c r="C725" s="67">
        <f ca="1">(C8)+(E8-C8)*IF(RAND()&lt;((D8)-(C8))/((E8)-(C8)),SQRT(RAND()*((D8)-(C8))/((E8)-(C8))),1-SQRT(RAND()*((E8)-(D8))/((E8)-(C8))))</f>
        <v>0.5996708617012666</v>
      </c>
      <c r="D725" s="68">
        <f ca="1">(C9)+(E9-C9)*IF(RAND()&lt;((D9)-(C9))/((E9)-(C9)),SQRT(RAND()*((D9)-(C9))/((E9)-(C9))),1-SQRT(RAND()*((E9)-(D9))/((E9)-(C9))))</f>
        <v>1184844.6579411761</v>
      </c>
      <c r="E725" s="68">
        <f ca="1">(C10)+(E10-C10)*IF(RAND()&lt;((D10)-(C10))/((E10)-(C10)),SQRT(RAND()*((D10)-(C10))/((E10)-(C10))),1-SQRT(RAND()*((E10)-(D10))/((E10)-(C10))))</f>
        <v>3753448.9919712469</v>
      </c>
      <c r="F725" s="67">
        <f ca="1">(C11)+(E11-C11)*IF(RAND()&lt;((D11)-(C11))/((E11)-(C11)),SQRT(RAND()*((D11)-(C11))/((E11)-(C11))),1-SQRT(RAND()*((E11)-(D11))/((E11)-(C11))))</f>
        <v>1.5841754960244994E-2</v>
      </c>
      <c r="G725" s="67">
        <f ca="1">(C12)+(E12-C12)*IF(RAND()&lt;((D12)-(C12))/((E12)-(C12)),SQRT(RAND()*((D12)-(C12))/((E12)-(C12))),1-SQRT(RAND()*((E12)-(D12))/((E12)-(C12))))</f>
        <v>0.16607639720728709</v>
      </c>
      <c r="H725" s="68">
        <f t="shared" ca="1" si="22"/>
        <v>332902144.26409733</v>
      </c>
      <c r="I725" s="69">
        <f t="shared" ca="1" si="23"/>
        <v>371.91080473399563</v>
      </c>
    </row>
    <row r="726" spans="1:9" ht="16.05" customHeight="1" x14ac:dyDescent="0.3">
      <c r="A726" s="70">
        <v>710</v>
      </c>
      <c r="B726" s="71">
        <f ca="1">(C7)+(E7-C7)*IF(RAND()&lt;((D7)-(C7))/((E7)-(C7)),SQRT(RAND()*((D7)-(C7))/((E7)-(C7))),1-SQRT(RAND()*((E7)-(D7))/((E7)-(C7))))</f>
        <v>0.3292209488514124</v>
      </c>
      <c r="C726" s="71">
        <f ca="1">(C8)+(E8-C8)*IF(RAND()&lt;((D8)-(C8))/((E8)-(C8)),SQRT(RAND()*((D8)-(C8))/((E8)-(C8))),1-SQRT(RAND()*((E8)-(D8))/((E8)-(C8))))</f>
        <v>0.69299183184508339</v>
      </c>
      <c r="D726" s="72">
        <f ca="1">(C9)+(E9-C9)*IF(RAND()&lt;((D9)-(C9))/((E9)-(C9)),SQRT(RAND()*((D9)-(C9))/((E9)-(C9))),1-SQRT(RAND()*((E9)-(D9))/((E9)-(C9))))</f>
        <v>1273483.3680776895</v>
      </c>
      <c r="E726" s="72">
        <f ca="1">(C10)+(E10-C10)*IF(RAND()&lt;((D10)-(C10))/((E10)-(C10)),SQRT(RAND()*((D10)-(C10))/((E10)-(C10))),1-SQRT(RAND()*((E10)-(D10))/((E10)-(C10))))</f>
        <v>5274804.7719697617</v>
      </c>
      <c r="F726" s="71">
        <f ca="1">(C11)+(E11-C11)*IF(RAND()&lt;((D11)-(C11))/((E11)-(C11)),SQRT(RAND()*((D11)-(C11))/((E11)-(C11))),1-SQRT(RAND()*((E11)-(D11))/((E11)-(C11))))</f>
        <v>1.6719826424994682E-2</v>
      </c>
      <c r="G726" s="71">
        <f ca="1">(C12)+(E12-C12)*IF(RAND()&lt;((D12)-(C12))/((E12)-(C12)),SQRT(RAND()*((D12)-(C12))/((E12)-(C12))),1-SQRT(RAND()*((E12)-(D12))/((E12)-(C12))))</f>
        <v>0.17048569822279705</v>
      </c>
      <c r="H726" s="72">
        <f t="shared" ca="1" si="22"/>
        <v>347623164.25072849</v>
      </c>
      <c r="I726" s="73">
        <f t="shared" ca="1" si="23"/>
        <v>361.36340295713308</v>
      </c>
    </row>
    <row r="727" spans="1:9" ht="16.05" customHeight="1" x14ac:dyDescent="0.3">
      <c r="A727" s="66">
        <v>711</v>
      </c>
      <c r="B727" s="67">
        <f ca="1">(C7)+(E7-C7)*IF(RAND()&lt;((D7)-(C7))/((E7)-(C7)),SQRT(RAND()*((D7)-(C7))/((E7)-(C7))),1-SQRT(RAND()*((E7)-(D7))/((E7)-(C7))))</f>
        <v>0.22599599765334227</v>
      </c>
      <c r="C727" s="67">
        <f ca="1">(C8)+(E8-C8)*IF(RAND()&lt;((D8)-(C8))/((E8)-(C8)),SQRT(RAND()*((D8)-(C8))/((E8)-(C8))),1-SQRT(RAND()*((E8)-(D8))/((E8)-(C8))))</f>
        <v>0.68679690677685212</v>
      </c>
      <c r="D727" s="68">
        <f ca="1">(C9)+(E9-C9)*IF(RAND()&lt;((D9)-(C9))/((E9)-(C9)),SQRT(RAND()*((D9)-(C9))/((E9)-(C9))),1-SQRT(RAND()*((E9)-(D9))/((E9)-(C9))))</f>
        <v>1347306.8712728685</v>
      </c>
      <c r="E727" s="68">
        <f ca="1">(C10)+(E10-C10)*IF(RAND()&lt;((D10)-(C10))/((E10)-(C10)),SQRT(RAND()*((D10)-(C10))/((E10)-(C10))),1-SQRT(RAND()*((E10)-(D10))/((E10)-(C10))))</f>
        <v>3817394.2897159769</v>
      </c>
      <c r="F727" s="67">
        <f ca="1">(C11)+(E11-C11)*IF(RAND()&lt;((D11)-(C11))/((E11)-(C11)),SQRT(RAND()*((D11)-(C11))/((E11)-(C11))),1-SQRT(RAND()*((E11)-(D11))/((E11)-(C11))))</f>
        <v>1.7726585837091424E-2</v>
      </c>
      <c r="G727" s="67">
        <f ca="1">(C12)+(E12-C12)*IF(RAND()&lt;((D12)-(C12))/((E12)-(C12)),SQRT(RAND()*((D12)-(C12))/((E12)-(C12))),1-SQRT(RAND()*((E12)-(D12))/((E12)-(C12))))</f>
        <v>0.16845513094916176</v>
      </c>
      <c r="H727" s="68">
        <f t="shared" ca="1" si="22"/>
        <v>280991466.72762024</v>
      </c>
      <c r="I727" s="69">
        <f t="shared" ca="1" si="23"/>
        <v>276.40420602806205</v>
      </c>
    </row>
    <row r="728" spans="1:9" ht="16.05" customHeight="1" x14ac:dyDescent="0.3">
      <c r="A728" s="70">
        <v>712</v>
      </c>
      <c r="B728" s="71">
        <f ca="1">(C7)+(E7-C7)*IF(RAND()&lt;((D7)-(C7))/((E7)-(C7)),SQRT(RAND()*((D7)-(C7))/((E7)-(C7))),1-SQRT(RAND()*((E7)-(D7))/((E7)-(C7))))</f>
        <v>0.2624964095468949</v>
      </c>
      <c r="C728" s="71">
        <f ca="1">(C8)+(E8-C8)*IF(RAND()&lt;((D8)-(C8))/((E8)-(C8)),SQRT(RAND()*((D8)-(C8))/((E8)-(C8))),1-SQRT(RAND()*((E8)-(D8))/((E8)-(C8))))</f>
        <v>0.72555998163658453</v>
      </c>
      <c r="D728" s="72">
        <f ca="1">(C9)+(E9-C9)*IF(RAND()&lt;((D9)-(C9))/((E9)-(C9)),SQRT(RAND()*((D9)-(C9))/((E9)-(C9))),1-SQRT(RAND()*((E9)-(D9))/((E9)-(C9))))</f>
        <v>1146696.1122268473</v>
      </c>
      <c r="E728" s="72">
        <f ca="1">(C10)+(E10-C10)*IF(RAND()&lt;((D10)-(C10))/((E10)-(C10)),SQRT(RAND()*((D10)-(C10))/((E10)-(C10))),1-SQRT(RAND()*((E10)-(D10))/((E10)-(C10))))</f>
        <v>3191090.4077584129</v>
      </c>
      <c r="F728" s="71">
        <f ca="1">(C11)+(E11-C11)*IF(RAND()&lt;((D11)-(C11))/((E11)-(C11)),SQRT(RAND()*((D11)-(C11))/((E11)-(C11))),1-SQRT(RAND()*((E11)-(D11))/((E11)-(C11))))</f>
        <v>2.0029035387141653E-2</v>
      </c>
      <c r="G728" s="71">
        <f ca="1">(C12)+(E12-C12)*IF(RAND()&lt;((D12)-(C12))/((E12)-(C12)),SQRT(RAND()*((D12)-(C12))/((E12)-(C12))),1-SQRT(RAND()*((E12)-(D12))/((E12)-(C12))))</f>
        <v>0.15618403051731736</v>
      </c>
      <c r="H728" s="72">
        <f t="shared" ca="1" si="22"/>
        <v>338527967.02474517</v>
      </c>
      <c r="I728" s="73">
        <f t="shared" ca="1" si="23"/>
        <v>390.71084077945574</v>
      </c>
    </row>
    <row r="729" spans="1:9" ht="16.05" customHeight="1" x14ac:dyDescent="0.3">
      <c r="A729" s="66">
        <v>713</v>
      </c>
      <c r="B729" s="67">
        <f ca="1">(C7)+(E7-C7)*IF(RAND()&lt;((D7)-(C7))/((E7)-(C7)),SQRT(RAND()*((D7)-(C7))/((E7)-(C7))),1-SQRT(RAND()*((E7)-(D7))/((E7)-(C7))))</f>
        <v>0.28911117599451996</v>
      </c>
      <c r="C729" s="67">
        <f ca="1">(C8)+(E8-C8)*IF(RAND()&lt;((D8)-(C8))/((E8)-(C8)),SQRT(RAND()*((D8)-(C8))/((E8)-(C8))),1-SQRT(RAND()*((E8)-(D8))/((E8)-(C8))))</f>
        <v>0.66710848347784624</v>
      </c>
      <c r="D729" s="68">
        <f ca="1">(C9)+(E9-C9)*IF(RAND()&lt;((D9)-(C9))/((E9)-(C9)),SQRT(RAND()*((D9)-(C9))/((E9)-(C9))),1-SQRT(RAND()*((E9)-(D9))/((E9)-(C9))))</f>
        <v>1316307.8547286941</v>
      </c>
      <c r="E729" s="68">
        <f ca="1">(C10)+(E10-C10)*IF(RAND()&lt;((D10)-(C10))/((E10)-(C10)),SQRT(RAND()*((D10)-(C10))/((E10)-(C10))),1-SQRT(RAND()*((E10)-(D10))/((E10)-(C10))))</f>
        <v>2866227.3592769494</v>
      </c>
      <c r="F729" s="67">
        <f ca="1">(C11)+(E11-C11)*IF(RAND()&lt;((D11)-(C11))/((E11)-(C11)),SQRT(RAND()*((D11)-(C11))/((E11)-(C11))),1-SQRT(RAND()*((E11)-(D11))/((E11)-(C11))))</f>
        <v>1.291631167471319E-2</v>
      </c>
      <c r="G729" s="67">
        <f ca="1">(C12)+(E12-C12)*IF(RAND()&lt;((D12)-(C12))/((E12)-(C12)),SQRT(RAND()*((D12)-(C12))/((E12)-(C12))),1-SQRT(RAND()*((E12)-(D12))/((E12)-(C12))))</f>
        <v>0.16920558240873929</v>
      </c>
      <c r="H729" s="68">
        <f t="shared" ca="1" si="22"/>
        <v>290876379.32770342</v>
      </c>
      <c r="I729" s="69">
        <f t="shared" ca="1" si="23"/>
        <v>292.78749081558743</v>
      </c>
    </row>
    <row r="730" spans="1:9" ht="16.05" customHeight="1" x14ac:dyDescent="0.3">
      <c r="A730" s="70">
        <v>714</v>
      </c>
      <c r="B730" s="71">
        <f ca="1">(C7)+(E7-C7)*IF(RAND()&lt;((D7)-(C7))/((E7)-(C7)),SQRT(RAND()*((D7)-(C7))/((E7)-(C7))),1-SQRT(RAND()*((E7)-(D7))/((E7)-(C7))))</f>
        <v>0.29370122153030864</v>
      </c>
      <c r="C730" s="71">
        <f ca="1">(C8)+(E8-C8)*IF(RAND()&lt;((D8)-(C8))/((E8)-(C8)),SQRT(RAND()*((D8)-(C8))/((E8)-(C8))),1-SQRT(RAND()*((E8)-(D8))/((E8)-(C8))))</f>
        <v>0.70398827794979646</v>
      </c>
      <c r="D730" s="72">
        <f ca="1">(C9)+(E9-C9)*IF(RAND()&lt;((D9)-(C9))/((E9)-(C9)),SQRT(RAND()*((D9)-(C9))/((E9)-(C9))),1-SQRT(RAND()*((E9)-(D9))/((E9)-(C9))))</f>
        <v>1248891.9398094723</v>
      </c>
      <c r="E730" s="72">
        <f ca="1">(C10)+(E10-C10)*IF(RAND()&lt;((D10)-(C10))/((E10)-(C10)),SQRT(RAND()*((D10)-(C10))/((E10)-(C10))),1-SQRT(RAND()*((E10)-(D10))/((E10)-(C10))))</f>
        <v>2991976.9805038092</v>
      </c>
      <c r="F730" s="71">
        <f ca="1">(C11)+(E11-C11)*IF(RAND()&lt;((D11)-(C11))/((E11)-(C11)),SQRT(RAND()*((D11)-(C11))/((E11)-(C11))),1-SQRT(RAND()*((E11)-(D11))/((E11)-(C11))))</f>
        <v>5.6898348708713286E-3</v>
      </c>
      <c r="G730" s="71">
        <f ca="1">(C12)+(E12-C12)*IF(RAND()&lt;((D12)-(C12))/((E12)-(C12)),SQRT(RAND()*((D12)-(C12))/((E12)-(C12))),1-SQRT(RAND()*((E12)-(D12))/((E12)-(C12))))</f>
        <v>0.11145455978419921</v>
      </c>
      <c r="H730" s="72">
        <f t="shared" ca="1" si="22"/>
        <v>253424597.51504585</v>
      </c>
      <c r="I730" s="73">
        <f t="shared" ca="1" si="23"/>
        <v>268.967325362221</v>
      </c>
    </row>
    <row r="731" spans="1:9" ht="16.05" customHeight="1" x14ac:dyDescent="0.3">
      <c r="A731" s="66">
        <v>715</v>
      </c>
      <c r="B731" s="67">
        <f ca="1">(C7)+(E7-C7)*IF(RAND()&lt;((D7)-(C7))/((E7)-(C7)),SQRT(RAND()*((D7)-(C7))/((E7)-(C7))),1-SQRT(RAND()*((E7)-(D7))/((E7)-(C7))))</f>
        <v>0.32113931640503324</v>
      </c>
      <c r="C731" s="67">
        <f ca="1">(C8)+(E8-C8)*IF(RAND()&lt;((D8)-(C8))/((E8)-(C8)),SQRT(RAND()*((D8)-(C8))/((E8)-(C8))),1-SQRT(RAND()*((E8)-(D8))/((E8)-(C8))))</f>
        <v>0.7826613754588525</v>
      </c>
      <c r="D731" s="68">
        <f ca="1">(C9)+(E9-C9)*IF(RAND()&lt;((D9)-(C9))/((E9)-(C9)),SQRT(RAND()*((D9)-(C9))/((E9)-(C9))),1-SQRT(RAND()*((E9)-(D9))/((E9)-(C9))))</f>
        <v>1249172.6471241522</v>
      </c>
      <c r="E731" s="68">
        <f ca="1">(C10)+(E10-C10)*IF(RAND()&lt;((D10)-(C10))/((E10)-(C10)),SQRT(RAND()*((D10)-(C10))/((E10)-(C10))),1-SQRT(RAND()*((E10)-(D10))/((E10)-(C10))))</f>
        <v>4653979.9206244275</v>
      </c>
      <c r="F731" s="67">
        <f ca="1">(C11)+(E11-C11)*IF(RAND()&lt;((D11)-(C11))/((E11)-(C11)),SQRT(RAND()*((D11)-(C11))/((E11)-(C11))),1-SQRT(RAND()*((E11)-(D11))/((E11)-(C11))))</f>
        <v>6.2165189348270273E-3</v>
      </c>
      <c r="G731" s="67">
        <f ca="1">(C12)+(E12-C12)*IF(RAND()&lt;((D12)-(C12))/((E12)-(C12)),SQRT(RAND()*((D12)-(C12))/((E12)-(C12))),1-SQRT(RAND()*((E12)-(D12))/((E12)-(C12))))</f>
        <v>0.15455438386041936</v>
      </c>
      <c r="H731" s="68">
        <f t="shared" ca="1" si="22"/>
        <v>299427733.78723282</v>
      </c>
      <c r="I731" s="69">
        <f t="shared" ca="1" si="23"/>
        <v>317.48137710646449</v>
      </c>
    </row>
    <row r="732" spans="1:9" ht="16.05" customHeight="1" x14ac:dyDescent="0.3">
      <c r="A732" s="70">
        <v>716</v>
      </c>
      <c r="B732" s="71">
        <f ca="1">(C7)+(E7-C7)*IF(RAND()&lt;((D7)-(C7))/((E7)-(C7)),SQRT(RAND()*((D7)-(C7))/((E7)-(C7))),1-SQRT(RAND()*((E7)-(D7))/((E7)-(C7))))</f>
        <v>0.2096760349946441</v>
      </c>
      <c r="C732" s="71">
        <f ca="1">(C8)+(E8-C8)*IF(RAND()&lt;((D8)-(C8))/((E8)-(C8)),SQRT(RAND()*((D8)-(C8))/((E8)-(C8))),1-SQRT(RAND()*((E8)-(D8))/((E8)-(C8))))</f>
        <v>0.76702798836039543</v>
      </c>
      <c r="D732" s="72">
        <f ca="1">(C9)+(E9-C9)*IF(RAND()&lt;((D9)-(C9))/((E9)-(C9)),SQRT(RAND()*((D9)-(C9))/((E9)-(C9))),1-SQRT(RAND()*((E9)-(D9))/((E9)-(C9))))</f>
        <v>1181581.5332303243</v>
      </c>
      <c r="E732" s="72">
        <f ca="1">(C10)+(E10-C10)*IF(RAND()&lt;((D10)-(C10))/((E10)-(C10)),SQRT(RAND()*((D10)-(C10))/((E10)-(C10))),1-SQRT(RAND()*((E10)-(D10))/((E10)-(C10))))</f>
        <v>5015092.7475829795</v>
      </c>
      <c r="F732" s="71">
        <f ca="1">(C11)+(E11-C11)*IF(RAND()&lt;((D11)-(C11))/((E11)-(C11)),SQRT(RAND()*((D11)-(C11))/((E11)-(C11))),1-SQRT(RAND()*((E11)-(D11))/((E11)-(C11))))</f>
        <v>1.7420905052858478E-2</v>
      </c>
      <c r="G732" s="71">
        <f ca="1">(C12)+(E12-C12)*IF(RAND()&lt;((D12)-(C12))/((E12)-(C12)),SQRT(RAND()*((D12)-(C12))/((E12)-(C12))),1-SQRT(RAND()*((E12)-(D12))/((E12)-(C12))))</f>
        <v>0.13842342103991218</v>
      </c>
      <c r="H732" s="72">
        <f t="shared" ca="1" si="22"/>
        <v>280518495.40721756</v>
      </c>
      <c r="I732" s="73">
        <f t="shared" ca="1" si="23"/>
        <v>314.45892029733744</v>
      </c>
    </row>
    <row r="733" spans="1:9" ht="16.05" customHeight="1" x14ac:dyDescent="0.3">
      <c r="A733" s="66">
        <v>717</v>
      </c>
      <c r="B733" s="67">
        <f ca="1">(C7)+(E7-C7)*IF(RAND()&lt;((D7)-(C7))/((E7)-(C7)),SQRT(RAND()*((D7)-(C7))/((E7)-(C7))),1-SQRT(RAND()*((E7)-(D7))/((E7)-(C7))))</f>
        <v>0.22571646822977787</v>
      </c>
      <c r="C733" s="67">
        <f ca="1">(C8)+(E8-C8)*IF(RAND()&lt;((D8)-(C8))/((E8)-(C8)),SQRT(RAND()*((D8)-(C8))/((E8)-(C8))),1-SQRT(RAND()*((E8)-(D8))/((E8)-(C8))))</f>
        <v>0.75869033227345106</v>
      </c>
      <c r="D733" s="68">
        <f ca="1">(C9)+(E9-C9)*IF(RAND()&lt;((D9)-(C9))/((E9)-(C9)),SQRT(RAND()*((D9)-(C9))/((E9)-(C9))),1-SQRT(RAND()*((E9)-(D9))/((E9)-(C9))))</f>
        <v>1335683.0032440764</v>
      </c>
      <c r="E733" s="68">
        <f ca="1">(C10)+(E10-C10)*IF(RAND()&lt;((D10)-(C10))/((E10)-(C10)),SQRT(RAND()*((D10)-(C10))/((E10)-(C10))),1-SQRT(RAND()*((E10)-(D10))/((E10)-(C10))))</f>
        <v>3300706.4386561429</v>
      </c>
      <c r="F733" s="67">
        <f ca="1">(C11)+(E11-C11)*IF(RAND()&lt;((D11)-(C11))/((E11)-(C11)),SQRT(RAND()*((D11)-(C11))/((E11)-(C11))),1-SQRT(RAND()*((E11)-(D11))/((E11)-(C11))))</f>
        <v>1.0150662633208924E-2</v>
      </c>
      <c r="G733" s="67">
        <f ca="1">(C12)+(E12-C12)*IF(RAND()&lt;((D12)-(C12))/((E12)-(C12)),SQRT(RAND()*((D12)-(C12))/((E12)-(C12))),1-SQRT(RAND()*((E12)-(D12))/((E12)-(C12))))</f>
        <v>0.13465041853752155</v>
      </c>
      <c r="H733" s="68">
        <f t="shared" ca="1" si="22"/>
        <v>245727291.11319792</v>
      </c>
      <c r="I733" s="69">
        <f t="shared" ca="1" si="23"/>
        <v>243.97476800737971</v>
      </c>
    </row>
    <row r="734" spans="1:9" ht="16.05" customHeight="1" x14ac:dyDescent="0.3">
      <c r="A734" s="70">
        <v>718</v>
      </c>
      <c r="B734" s="71">
        <f ca="1">(C7)+(E7-C7)*IF(RAND()&lt;((D7)-(C7))/((E7)-(C7)),SQRT(RAND()*((D7)-(C7))/((E7)-(C7))),1-SQRT(RAND()*((E7)-(D7))/((E7)-(C7))))</f>
        <v>0.24283533212841438</v>
      </c>
      <c r="C734" s="71">
        <f ca="1">(C8)+(E8-C8)*IF(RAND()&lt;((D8)-(C8))/((E8)-(C8)),SQRT(RAND()*((D8)-(C8))/((E8)-(C8))),1-SQRT(RAND()*((E8)-(D8))/((E8)-(C8))))</f>
        <v>0.63277302530579749</v>
      </c>
      <c r="D734" s="72">
        <f ca="1">(C9)+(E9-C9)*IF(RAND()&lt;((D9)-(C9))/((E9)-(C9)),SQRT(RAND()*((D9)-(C9))/((E9)-(C9))),1-SQRT(RAND()*((E9)-(D9))/((E9)-(C9))))</f>
        <v>1331355.5660576224</v>
      </c>
      <c r="E734" s="72">
        <f ca="1">(C10)+(E10-C10)*IF(RAND()&lt;((D10)-(C10))/((E10)-(C10)),SQRT(RAND()*((D10)-(C10))/((E10)-(C10))),1-SQRT(RAND()*((E10)-(D10))/((E10)-(C10))))</f>
        <v>3578699.4710622802</v>
      </c>
      <c r="F734" s="71">
        <f ca="1">(C11)+(E11-C11)*IF(RAND()&lt;((D11)-(C11))/((E11)-(C11)),SQRT(RAND()*((D11)-(C11))/((E11)-(C11))),1-SQRT(RAND()*((E11)-(D11))/((E11)-(C11))))</f>
        <v>9.2408504661225712E-3</v>
      </c>
      <c r="G734" s="71">
        <f ca="1">(C12)+(E12-C12)*IF(RAND()&lt;((D12)-(C12))/((E12)-(C12)),SQRT(RAND()*((D12)-(C12))/((E12)-(C12))),1-SQRT(RAND()*((E12)-(D12))/((E12)-(C12))))</f>
        <v>0.11822543349238071</v>
      </c>
      <c r="H734" s="72">
        <f t="shared" ca="1" si="22"/>
        <v>218974761.6457212</v>
      </c>
      <c r="I734" s="73">
        <f t="shared" ca="1" si="23"/>
        <v>218.25949508075962</v>
      </c>
    </row>
    <row r="735" spans="1:9" ht="16.05" customHeight="1" x14ac:dyDescent="0.3">
      <c r="A735" s="66">
        <v>719</v>
      </c>
      <c r="B735" s="67">
        <f ca="1">(C7)+(E7-C7)*IF(RAND()&lt;((D7)-(C7))/((E7)-(C7)),SQRT(RAND()*((D7)-(C7))/((E7)-(C7))),1-SQRT(RAND()*((E7)-(D7))/((E7)-(C7))))</f>
        <v>0.28474543746409625</v>
      </c>
      <c r="C735" s="67">
        <f ca="1">(C8)+(E8-C8)*IF(RAND()&lt;((D8)-(C8))/((E8)-(C8)),SQRT(RAND()*((D8)-(C8))/((E8)-(C8))),1-SQRT(RAND()*((E8)-(D8))/((E8)-(C8))))</f>
        <v>0.66959005138545202</v>
      </c>
      <c r="D735" s="68">
        <f ca="1">(C9)+(E9-C9)*IF(RAND()&lt;((D9)-(C9))/((E9)-(C9)),SQRT(RAND()*((D9)-(C9))/((E9)-(C9))),1-SQRT(RAND()*((E9)-(D9))/((E9)-(C9))))</f>
        <v>1176069.3297803104</v>
      </c>
      <c r="E735" s="68">
        <f ca="1">(C10)+(E10-C10)*IF(RAND()&lt;((D10)-(C10))/((E10)-(C10)),SQRT(RAND()*((D10)-(C10))/((E10)-(C10))),1-SQRT(RAND()*((E10)-(D10))/((E10)-(C10))))</f>
        <v>4235210.1756080836</v>
      </c>
      <c r="F735" s="67">
        <f ca="1">(C11)+(E11-C11)*IF(RAND()&lt;((D11)-(C11))/((E11)-(C11)),SQRT(RAND()*((D11)-(C11))/((E11)-(C11))),1-SQRT(RAND()*((E11)-(D11))/((E11)-(C11))))</f>
        <v>1.6388754704287387E-2</v>
      </c>
      <c r="G735" s="67">
        <f ca="1">(C12)+(E12-C12)*IF(RAND()&lt;((D12)-(C12))/((E12)-(C12)),SQRT(RAND()*((D12)-(C12))/((E12)-(C12))),1-SQRT(RAND()*((E12)-(D12))/((E12)-(C12))))</f>
        <v>0.17263893207807843</v>
      </c>
      <c r="H735" s="68">
        <f t="shared" ca="1" si="22"/>
        <v>308490182.63332736</v>
      </c>
      <c r="I735" s="69">
        <f t="shared" ca="1" si="23"/>
        <v>347.29745554319555</v>
      </c>
    </row>
    <row r="736" spans="1:9" ht="16.05" customHeight="1" x14ac:dyDescent="0.3">
      <c r="A736" s="70">
        <v>720</v>
      </c>
      <c r="B736" s="71">
        <f ca="1">(C7)+(E7-C7)*IF(RAND()&lt;((D7)-(C7))/((E7)-(C7)),SQRT(RAND()*((D7)-(C7))/((E7)-(C7))),1-SQRT(RAND()*((E7)-(D7))/((E7)-(C7))))</f>
        <v>0.23031778626929419</v>
      </c>
      <c r="C736" s="71">
        <f ca="1">(C8)+(E8-C8)*IF(RAND()&lt;((D8)-(C8))/((E8)-(C8)),SQRT(RAND()*((D8)-(C8))/((E8)-(C8))),1-SQRT(RAND()*((E8)-(D8))/((E8)-(C8))))</f>
        <v>0.75155790080283769</v>
      </c>
      <c r="D736" s="72">
        <f ca="1">(C9)+(E9-C9)*IF(RAND()&lt;((D9)-(C9))/((E9)-(C9)),SQRT(RAND()*((D9)-(C9))/((E9)-(C9))),1-SQRT(RAND()*((E9)-(D9))/((E9)-(C9))))</f>
        <v>1184607.5914757641</v>
      </c>
      <c r="E736" s="72">
        <f ca="1">(C10)+(E10-C10)*IF(RAND()&lt;((D10)-(C10))/((E10)-(C10)),SQRT(RAND()*((D10)-(C10))/((E10)-(C10))),1-SQRT(RAND()*((E10)-(D10))/((E10)-(C10))))</f>
        <v>5416396.6889569378</v>
      </c>
      <c r="F736" s="71">
        <f ca="1">(C11)+(E11-C11)*IF(RAND()&lt;((D11)-(C11))/((E11)-(C11)),SQRT(RAND()*((D11)-(C11))/((E11)-(C11))),1-SQRT(RAND()*((E11)-(D11))/((E11)-(C11))))</f>
        <v>7.717878725945107E-3</v>
      </c>
      <c r="G736" s="71">
        <f ca="1">(C12)+(E12-C12)*IF(RAND()&lt;((D12)-(C12))/((E12)-(C12)),SQRT(RAND()*((D12)-(C12))/((E12)-(C12))),1-SQRT(RAND()*((E12)-(D12))/((E12)-(C12))))</f>
        <v>0.10656844625127047</v>
      </c>
      <c r="H736" s="72">
        <f t="shared" ca="1" si="22"/>
        <v>222310047.63379046</v>
      </c>
      <c r="I736" s="73">
        <f t="shared" ca="1" si="23"/>
        <v>248.84749787086596</v>
      </c>
    </row>
    <row r="737" spans="1:9" ht="16.05" customHeight="1" x14ac:dyDescent="0.3">
      <c r="A737" s="66">
        <v>721</v>
      </c>
      <c r="B737" s="67">
        <f ca="1">(C7)+(E7-C7)*IF(RAND()&lt;((D7)-(C7))/((E7)-(C7)),SQRT(RAND()*((D7)-(C7))/((E7)-(C7))),1-SQRT(RAND()*((E7)-(D7))/((E7)-(C7))))</f>
        <v>0.27193744661062935</v>
      </c>
      <c r="C737" s="67">
        <f ca="1">(C8)+(E8-C8)*IF(RAND()&lt;((D8)-(C8))/((E8)-(C8)),SQRT(RAND()*((D8)-(C8))/((E8)-(C8))),1-SQRT(RAND()*((E8)-(D8))/((E8)-(C8))))</f>
        <v>0.60047606988044633</v>
      </c>
      <c r="D737" s="68">
        <f ca="1">(C9)+(E9-C9)*IF(RAND()&lt;((D9)-(C9))/((E9)-(C9)),SQRT(RAND()*((D9)-(C9))/((E9)-(C9))),1-SQRT(RAND()*((E9)-(D9))/((E9)-(C9))))</f>
        <v>1093645.7842260192</v>
      </c>
      <c r="E737" s="68">
        <f ca="1">(C10)+(E10-C10)*IF(RAND()&lt;((D10)-(C10))/((E10)-(C10)),SQRT(RAND()*((D10)-(C10))/((E10)-(C10))),1-SQRT(RAND()*((E10)-(D10))/((E10)-(C10))))</f>
        <v>3190387.9335974669</v>
      </c>
      <c r="F737" s="67">
        <f ca="1">(C11)+(E11-C11)*IF(RAND()&lt;((D11)-(C11))/((E11)-(C11)),SQRT(RAND()*((D11)-(C11))/((E11)-(C11))),1-SQRT(RAND()*((E11)-(D11))/((E11)-(C11))))</f>
        <v>9.96958262067036E-3</v>
      </c>
      <c r="G737" s="67">
        <f ca="1">(C12)+(E12-C12)*IF(RAND()&lt;((D12)-(C12))/((E12)-(C12)),SQRT(RAND()*((D12)-(C12))/((E12)-(C12))),1-SQRT(RAND()*((E12)-(D12))/((E12)-(C12))))</f>
        <v>0.14309310165879613</v>
      </c>
      <c r="H737" s="68">
        <f t="shared" ca="1" si="22"/>
        <v>236423713.6162219</v>
      </c>
      <c r="I737" s="69">
        <f t="shared" ca="1" si="23"/>
        <v>286.45692215236164</v>
      </c>
    </row>
    <row r="738" spans="1:9" ht="16.05" customHeight="1" x14ac:dyDescent="0.3">
      <c r="A738" s="70">
        <v>722</v>
      </c>
      <c r="B738" s="71">
        <f ca="1">(C7)+(E7-C7)*IF(RAND()&lt;((D7)-(C7))/((E7)-(C7)),SQRT(RAND()*((D7)-(C7))/((E7)-(C7))),1-SQRT(RAND()*((E7)-(D7))/((E7)-(C7))))</f>
        <v>0.26116273941326884</v>
      </c>
      <c r="C738" s="71">
        <f ca="1">(C8)+(E8-C8)*IF(RAND()&lt;((D8)-(C8))/((E8)-(C8)),SQRT(RAND()*((D8)-(C8))/((E8)-(C8))),1-SQRT(RAND()*((E8)-(D8))/((E8)-(C8))))</f>
        <v>0.79503872848848522</v>
      </c>
      <c r="D738" s="72">
        <f ca="1">(C9)+(E9-C9)*IF(RAND()&lt;((D9)-(C9))/((E9)-(C9)),SQRT(RAND()*((D9)-(C9))/((E9)-(C9))),1-SQRT(RAND()*((E9)-(D9))/((E9)-(C9))))</f>
        <v>1229714.513311696</v>
      </c>
      <c r="E738" s="72">
        <f ca="1">(C10)+(E10-C10)*IF(RAND()&lt;((D10)-(C10))/((E10)-(C10)),SQRT(RAND()*((D10)-(C10))/((E10)-(C10))),1-SQRT(RAND()*((E10)-(D10))/((E10)-(C10))))</f>
        <v>4269702.8019047016</v>
      </c>
      <c r="F738" s="71">
        <f ca="1">(C11)+(E11-C11)*IF(RAND()&lt;((D11)-(C11))/((E11)-(C11)),SQRT(RAND()*((D11)-(C11))/((E11)-(C11))),1-SQRT(RAND()*((E11)-(D11))/((E11)-(C11))))</f>
        <v>1.6579886375948837E-2</v>
      </c>
      <c r="G738" s="71">
        <f ca="1">(C12)+(E12-C12)*IF(RAND()&lt;((D12)-(C12))/((E12)-(C12)),SQRT(RAND()*((D12)-(C12))/((E12)-(C12))),1-SQRT(RAND()*((E12)-(D12))/((E12)-(C12))))</f>
        <v>0.13314876804476372</v>
      </c>
      <c r="H738" s="72">
        <f t="shared" ca="1" si="22"/>
        <v>328149853.01745272</v>
      </c>
      <c r="I738" s="73">
        <f t="shared" ca="1" si="23"/>
        <v>353.29135014386219</v>
      </c>
    </row>
    <row r="739" spans="1:9" ht="16.05" customHeight="1" x14ac:dyDescent="0.3">
      <c r="A739" s="66">
        <v>723</v>
      </c>
      <c r="B739" s="67">
        <f ca="1">(C7)+(E7-C7)*IF(RAND()&lt;((D7)-(C7))/((E7)-(C7)),SQRT(RAND()*((D7)-(C7))/((E7)-(C7))),1-SQRT(RAND()*((E7)-(D7))/((E7)-(C7))))</f>
        <v>0.22869112627455468</v>
      </c>
      <c r="C739" s="67">
        <f ca="1">(C8)+(E8-C8)*IF(RAND()&lt;((D8)-(C8))/((E8)-(C8)),SQRT(RAND()*((D8)-(C8))/((E8)-(C8))),1-SQRT(RAND()*((E8)-(D8))/((E8)-(C8))))</f>
        <v>0.63988490472378701</v>
      </c>
      <c r="D739" s="68">
        <f ca="1">(C9)+(E9-C9)*IF(RAND()&lt;((D9)-(C9))/((E9)-(C9)),SQRT(RAND()*((D9)-(C9))/((E9)-(C9))),1-SQRT(RAND()*((E9)-(D9))/((E9)-(C9))))</f>
        <v>1225520.931446841</v>
      </c>
      <c r="E739" s="68">
        <f ca="1">(C10)+(E10-C10)*IF(RAND()&lt;((D10)-(C10))/((E10)-(C10)),SQRT(RAND()*((D10)-(C10))/((E10)-(C10))),1-SQRT(RAND()*((E10)-(D10))/((E10)-(C10))))</f>
        <v>3572533.5083040213</v>
      </c>
      <c r="F739" s="67">
        <f ca="1">(C11)+(E11-C11)*IF(RAND()&lt;((D11)-(C11))/((E11)-(C11)),SQRT(RAND()*((D11)-(C11))/((E11)-(C11))),1-SQRT(RAND()*((E11)-(D11))/((E11)-(C11))))</f>
        <v>1.1007872426050724E-2</v>
      </c>
      <c r="G739" s="67">
        <f ca="1">(C12)+(E12-C12)*IF(RAND()&lt;((D12)-(C12))/((E12)-(C12)),SQRT(RAND()*((D12)-(C12))/((E12)-(C12))),1-SQRT(RAND()*((E12)-(D12))/((E12)-(C12))))</f>
        <v>0.16403562623534634</v>
      </c>
      <c r="H739" s="68">
        <f t="shared" ca="1" si="22"/>
        <v>223889924.75848934</v>
      </c>
      <c r="I739" s="69">
        <f t="shared" ca="1" si="23"/>
        <v>242.28426433680775</v>
      </c>
    </row>
    <row r="740" spans="1:9" ht="16.05" customHeight="1" x14ac:dyDescent="0.3">
      <c r="A740" s="70">
        <v>724</v>
      </c>
      <c r="B740" s="71">
        <f ca="1">(C7)+(E7-C7)*IF(RAND()&lt;((D7)-(C7))/((E7)-(C7)),SQRT(RAND()*((D7)-(C7))/((E7)-(C7))),1-SQRT(RAND()*((E7)-(D7))/((E7)-(C7))))</f>
        <v>0.24494795601419925</v>
      </c>
      <c r="C740" s="71">
        <f ca="1">(C8)+(E8-C8)*IF(RAND()&lt;((D8)-(C8))/((E8)-(C8)),SQRT(RAND()*((D8)-(C8))/((E8)-(C8))),1-SQRT(RAND()*((E8)-(D8))/((E8)-(C8))))</f>
        <v>0.70590971867732644</v>
      </c>
      <c r="D740" s="72">
        <f ca="1">(C9)+(E9-C9)*IF(RAND()&lt;((D9)-(C9))/((E9)-(C9)),SQRT(RAND()*((D9)-(C9))/((E9)-(C9))),1-SQRT(RAND()*((E9)-(D9))/((E9)-(C9))))</f>
        <v>1327314.2943384531</v>
      </c>
      <c r="E740" s="72">
        <f ca="1">(C10)+(E10-C10)*IF(RAND()&lt;((D10)-(C10))/((E10)-(C10)),SQRT(RAND()*((D10)-(C10))/((E10)-(C10))),1-SQRT(RAND()*((E10)-(D10))/((E10)-(C10))))</f>
        <v>4718924.7019446716</v>
      </c>
      <c r="F740" s="71">
        <f ca="1">(C11)+(E11-C11)*IF(RAND()&lt;((D11)-(C11))/((E11)-(C11)),SQRT(RAND()*((D11)-(C11))/((E11)-(C11))),1-SQRT(RAND()*((E11)-(D11))/((E11)-(C11))))</f>
        <v>1.5976541315042832E-2</v>
      </c>
      <c r="G740" s="71">
        <f ca="1">(C12)+(E12-C12)*IF(RAND()&lt;((D12)-(C12))/((E12)-(C12)),SQRT(RAND()*((D12)-(C12))/((E12)-(C12))),1-SQRT(RAND()*((E12)-(D12))/((E12)-(C12))))</f>
        <v>0.19511274207420168</v>
      </c>
      <c r="H740" s="72">
        <f t="shared" ca="1" si="22"/>
        <v>284217140.85271305</v>
      </c>
      <c r="I740" s="73">
        <f t="shared" ca="1" si="23"/>
        <v>283.75309541981352</v>
      </c>
    </row>
    <row r="741" spans="1:9" ht="16.05" customHeight="1" x14ac:dyDescent="0.3">
      <c r="A741" s="66">
        <v>725</v>
      </c>
      <c r="B741" s="67">
        <f ca="1">(C7)+(E7-C7)*IF(RAND()&lt;((D7)-(C7))/((E7)-(C7)),SQRT(RAND()*((D7)-(C7))/((E7)-(C7))),1-SQRT(RAND()*((E7)-(D7))/((E7)-(C7))))</f>
        <v>0.22954556474966692</v>
      </c>
      <c r="C741" s="67">
        <f ca="1">(C8)+(E8-C8)*IF(RAND()&lt;((D8)-(C8))/((E8)-(C8)),SQRT(RAND()*((D8)-(C8))/((E8)-(C8))),1-SQRT(RAND()*((E8)-(D8))/((E8)-(C8))))</f>
        <v>0.73440044167989438</v>
      </c>
      <c r="D741" s="68">
        <f ca="1">(C9)+(E9-C9)*IF(RAND()&lt;((D9)-(C9))/((E9)-(C9)),SQRT(RAND()*((D9)-(C9))/((E9)-(C9))),1-SQRT(RAND()*((E9)-(D9))/((E9)-(C9))))</f>
        <v>1207117.3444864184</v>
      </c>
      <c r="E741" s="68">
        <f ca="1">(C10)+(E10-C10)*IF(RAND()&lt;((D10)-(C10))/((E10)-(C10)),SQRT(RAND()*((D10)-(C10))/((E10)-(C10))),1-SQRT(RAND()*((E10)-(D10))/((E10)-(C10))))</f>
        <v>3522035.6003053677</v>
      </c>
      <c r="F741" s="67">
        <f ca="1">(C11)+(E11-C11)*IF(RAND()&lt;((D11)-(C11))/((E11)-(C11)),SQRT(RAND()*((D11)-(C11))/((E11)-(C11))),1-SQRT(RAND()*((E11)-(D11))/((E11)-(C11))))</f>
        <v>2.1017115066801227E-2</v>
      </c>
      <c r="G741" s="67">
        <f ca="1">(C12)+(E12-C12)*IF(RAND()&lt;((D12)-(C12))/((E12)-(C12)),SQRT(RAND()*((D12)-(C12))/((E12)-(C12))),1-SQRT(RAND()*((E12)-(D12))/((E12)-(C12))))</f>
        <v>0.14167437808679012</v>
      </c>
      <c r="H741" s="68">
        <f t="shared" ca="1" si="22"/>
        <v>320541755.08116764</v>
      </c>
      <c r="I741" s="69">
        <f t="shared" ca="1" si="23"/>
        <v>351.5670716774809</v>
      </c>
    </row>
    <row r="742" spans="1:9" ht="16.05" customHeight="1" x14ac:dyDescent="0.3">
      <c r="A742" s="70">
        <v>726</v>
      </c>
      <c r="B742" s="71">
        <f ca="1">(C7)+(E7-C7)*IF(RAND()&lt;((D7)-(C7))/((E7)-(C7)),SQRT(RAND()*((D7)-(C7))/((E7)-(C7))),1-SQRT(RAND()*((E7)-(D7))/((E7)-(C7))))</f>
        <v>0.26527401738466072</v>
      </c>
      <c r="C742" s="71">
        <f ca="1">(C8)+(E8-C8)*IF(RAND()&lt;((D8)-(C8))/((E8)-(C8)),SQRT(RAND()*((D8)-(C8))/((E8)-(C8))),1-SQRT(RAND()*((E8)-(D8))/((E8)-(C8))))</f>
        <v>0.79813146689274173</v>
      </c>
      <c r="D742" s="72">
        <f ca="1">(C9)+(E9-C9)*IF(RAND()&lt;((D9)-(C9))/((E9)-(C9)),SQRT(RAND()*((D9)-(C9))/((E9)-(C9))),1-SQRT(RAND()*((E9)-(D9))/((E9)-(C9))))</f>
        <v>1196211.5054007142</v>
      </c>
      <c r="E742" s="72">
        <f ca="1">(C10)+(E10-C10)*IF(RAND()&lt;((D10)-(C10))/((E10)-(C10)),SQRT(RAND()*((D10)-(C10))/((E10)-(C10))),1-SQRT(RAND()*((E10)-(D10))/((E10)-(C10))))</f>
        <v>4219094.8368625324</v>
      </c>
      <c r="F742" s="71">
        <f ca="1">(C11)+(E11-C11)*IF(RAND()&lt;((D11)-(C11))/((E11)-(C11)),SQRT(RAND()*((D11)-(C11))/((E11)-(C11))),1-SQRT(RAND()*((E11)-(D11))/((E11)-(C11))))</f>
        <v>8.6102455358464253E-3</v>
      </c>
      <c r="G742" s="71">
        <f ca="1">(C12)+(E12-C12)*IF(RAND()&lt;((D12)-(C12))/((E12)-(C12)),SQRT(RAND()*((D12)-(C12))/((E12)-(C12))),1-SQRT(RAND()*((E12)-(D12))/((E12)-(C12))))</f>
        <v>0.13994477283382095</v>
      </c>
      <c r="H742" s="72">
        <f t="shared" ca="1" si="22"/>
        <v>275301761.87425345</v>
      </c>
      <c r="I742" s="73">
        <f t="shared" ca="1" si="23"/>
        <v>304.87697406810838</v>
      </c>
    </row>
    <row r="743" spans="1:9" ht="16.05" customHeight="1" x14ac:dyDescent="0.3">
      <c r="A743" s="66">
        <v>727</v>
      </c>
      <c r="B743" s="67">
        <f ca="1">(C7)+(E7-C7)*IF(RAND()&lt;((D7)-(C7))/((E7)-(C7)),SQRT(RAND()*((D7)-(C7))/((E7)-(C7))),1-SQRT(RAND()*((E7)-(D7))/((E7)-(C7))))</f>
        <v>0.23305232961040473</v>
      </c>
      <c r="C743" s="67">
        <f ca="1">(C8)+(E8-C8)*IF(RAND()&lt;((D8)-(C8))/((E8)-(C8)),SQRT(RAND()*((D8)-(C8))/((E8)-(C8))),1-SQRT(RAND()*((E8)-(D8))/((E8)-(C8))))</f>
        <v>0.72818445846818425</v>
      </c>
      <c r="D743" s="68">
        <f ca="1">(C9)+(E9-C9)*IF(RAND()&lt;((D9)-(C9))/((E9)-(C9)),SQRT(RAND()*((D9)-(C9))/((E9)-(C9))),1-SQRT(RAND()*((E9)-(D9))/((E9)-(C9))))</f>
        <v>1171210.1435775156</v>
      </c>
      <c r="E743" s="68">
        <f ca="1">(C10)+(E10-C10)*IF(RAND()&lt;((D10)-(C10))/((E10)-(C10)),SQRT(RAND()*((D10)-(C10))/((E10)-(C10))),1-SQRT(RAND()*((E10)-(D10))/((E10)-(C10))))</f>
        <v>2935161.9433669224</v>
      </c>
      <c r="F743" s="67">
        <f ca="1">(C11)+(E11-C11)*IF(RAND()&lt;((D11)-(C11))/((E11)-(C11)),SQRT(RAND()*((D11)-(C11))/((E11)-(C11))),1-SQRT(RAND()*((E11)-(D11))/((E11)-(C11))))</f>
        <v>6.5394153736503743E-3</v>
      </c>
      <c r="G743" s="67">
        <f ca="1">(C12)+(E12-C12)*IF(RAND()&lt;((D12)-(C12))/((E12)-(C12)),SQRT(RAND()*((D12)-(C12))/((E12)-(C12))),1-SQRT(RAND()*((E12)-(D12))/((E12)-(C12))))</f>
        <v>0.17291452745641528</v>
      </c>
      <c r="H743" s="68">
        <f t="shared" ca="1" si="22"/>
        <v>219533111.91693941</v>
      </c>
      <c r="I743" s="69">
        <f t="shared" ca="1" si="23"/>
        <v>248.55165607700849</v>
      </c>
    </row>
    <row r="744" spans="1:9" ht="16.05" customHeight="1" x14ac:dyDescent="0.3">
      <c r="A744" s="70">
        <v>728</v>
      </c>
      <c r="B744" s="71">
        <f ca="1">(C7)+(E7-C7)*IF(RAND()&lt;((D7)-(C7))/((E7)-(C7)),SQRT(RAND()*((D7)-(C7))/((E7)-(C7))),1-SQRT(RAND()*((E7)-(D7))/((E7)-(C7))))</f>
        <v>0.32268560668252066</v>
      </c>
      <c r="C744" s="71">
        <f ca="1">(C8)+(E8-C8)*IF(RAND()&lt;((D8)-(C8))/((E8)-(C8)),SQRT(RAND()*((D8)-(C8))/((E8)-(C8))),1-SQRT(RAND()*((E8)-(D8))/((E8)-(C8))))</f>
        <v>0.68332568415346606</v>
      </c>
      <c r="D744" s="72">
        <f ca="1">(C9)+(E9-C9)*IF(RAND()&lt;((D9)-(C9))/((E9)-(C9)),SQRT(RAND()*((D9)-(C9))/((E9)-(C9))),1-SQRT(RAND()*((E9)-(D9))/((E9)-(C9))))</f>
        <v>1309377.8476450033</v>
      </c>
      <c r="E744" s="72">
        <f ca="1">(C10)+(E10-C10)*IF(RAND()&lt;((D10)-(C10))/((E10)-(C10)),SQRT(RAND()*((D10)-(C10))/((E10)-(C10))),1-SQRT(RAND()*((E10)-(D10))/((E10)-(C10))))</f>
        <v>3798633.0274321446</v>
      </c>
      <c r="F744" s="71">
        <f ca="1">(C11)+(E11-C11)*IF(RAND()&lt;((D11)-(C11))/((E11)-(C11)),SQRT(RAND()*((D11)-(C11))/((E11)-(C11))),1-SQRT(RAND()*((E11)-(D11))/((E11)-(C11))))</f>
        <v>1.368898971581666E-2</v>
      </c>
      <c r="G744" s="71">
        <f ca="1">(C12)+(E12-C12)*IF(RAND()&lt;((D12)-(C12))/((E12)-(C12)),SQRT(RAND()*((D12)-(C12))/((E12)-(C12))),1-SQRT(RAND()*((E12)-(D12))/((E12)-(C12))))</f>
        <v>0.15285556482186047</v>
      </c>
      <c r="H744" s="72">
        <f t="shared" ca="1" si="22"/>
        <v>322986822.02964842</v>
      </c>
      <c r="I744" s="73">
        <f t="shared" ca="1" si="23"/>
        <v>326.67621768920043</v>
      </c>
    </row>
    <row r="745" spans="1:9" ht="16.05" customHeight="1" x14ac:dyDescent="0.3">
      <c r="A745" s="66">
        <v>729</v>
      </c>
      <c r="B745" s="67">
        <f ca="1">(C7)+(E7-C7)*IF(RAND()&lt;((D7)-(C7))/((E7)-(C7)),SQRT(RAND()*((D7)-(C7))/((E7)-(C7))),1-SQRT(RAND()*((E7)-(D7))/((E7)-(C7))))</f>
        <v>0.22572493158964221</v>
      </c>
      <c r="C745" s="67">
        <f ca="1">(C8)+(E8-C8)*IF(RAND()&lt;((D8)-(C8))/((E8)-(C8)),SQRT(RAND()*((D8)-(C8))/((E8)-(C8))),1-SQRT(RAND()*((E8)-(D8))/((E8)-(C8))))</f>
        <v>0.54379719003460125</v>
      </c>
      <c r="D745" s="68">
        <f ca="1">(C9)+(E9-C9)*IF(RAND()&lt;((D9)-(C9))/((E9)-(C9)),SQRT(RAND()*((D9)-(C9))/((E9)-(C9))),1-SQRT(RAND()*((E9)-(D9))/((E9)-(C9))))</f>
        <v>1132535.5837395065</v>
      </c>
      <c r="E745" s="68">
        <f ca="1">(C10)+(E10-C10)*IF(RAND()&lt;((D10)-(C10))/((E10)-(C10)),SQRT(RAND()*((D10)-(C10))/((E10)-(C10))),1-SQRT(RAND()*((E10)-(D10))/((E10)-(C10))))</f>
        <v>4017835.5168747623</v>
      </c>
      <c r="F745" s="67">
        <f ca="1">(C11)+(E11-C11)*IF(RAND()&lt;((D11)-(C11))/((E11)-(C11)),SQRT(RAND()*((D11)-(C11))/((E11)-(C11))),1-SQRT(RAND()*((E11)-(D11))/((E11)-(C11))))</f>
        <v>1.5869281335312315E-2</v>
      </c>
      <c r="G745" s="67">
        <f ca="1">(C12)+(E12-C12)*IF(RAND()&lt;((D12)-(C12))/((E12)-(C12)),SQRT(RAND()*((D12)-(C12))/((E12)-(C12))),1-SQRT(RAND()*((E12)-(D12))/((E12)-(C12))))</f>
        <v>0.13234697831561823</v>
      </c>
      <c r="H745" s="68">
        <f t="shared" ca="1" si="22"/>
        <v>231720785.95106524</v>
      </c>
      <c r="I745" s="69">
        <f t="shared" ca="1" si="23"/>
        <v>271.18847521217867</v>
      </c>
    </row>
    <row r="746" spans="1:9" ht="16.05" customHeight="1" x14ac:dyDescent="0.3">
      <c r="A746" s="70">
        <v>730</v>
      </c>
      <c r="B746" s="71">
        <f ca="1">(C7)+(E7-C7)*IF(RAND()&lt;((D7)-(C7))/((E7)-(C7)),SQRT(RAND()*((D7)-(C7))/((E7)-(C7))),1-SQRT(RAND()*((E7)-(D7))/((E7)-(C7))))</f>
        <v>0.24714318935660734</v>
      </c>
      <c r="C746" s="71">
        <f ca="1">(C8)+(E8-C8)*IF(RAND()&lt;((D8)-(C8))/((E8)-(C8)),SQRT(RAND()*((D8)-(C8))/((E8)-(C8))),1-SQRT(RAND()*((E8)-(D8))/((E8)-(C8))))</f>
        <v>0.60740179016272666</v>
      </c>
      <c r="D746" s="72">
        <f ca="1">(C9)+(E9-C9)*IF(RAND()&lt;((D9)-(C9))/((E9)-(C9)),SQRT(RAND()*((D9)-(C9))/((E9)-(C9))),1-SQRT(RAND()*((E9)-(D9))/((E9)-(C9))))</f>
        <v>1284341.2432250504</v>
      </c>
      <c r="E746" s="72">
        <f ca="1">(C10)+(E10-C10)*IF(RAND()&lt;((D10)-(C10))/((E10)-(C10)),SQRT(RAND()*((D10)-(C10))/((E10)-(C10))),1-SQRT(RAND()*((E10)-(D10))/((E10)-(C10))))</f>
        <v>3234885.8954971172</v>
      </c>
      <c r="F746" s="71">
        <f ca="1">(C11)+(E11-C11)*IF(RAND()&lt;((D11)-(C11))/((E11)-(C11)),SQRT(RAND()*((D11)-(C11))/((E11)-(C11))),1-SQRT(RAND()*((E11)-(D11))/((E11)-(C11))))</f>
        <v>7.2969512129278996E-3</v>
      </c>
      <c r="G746" s="71">
        <f ca="1">(C12)+(E12-C12)*IF(RAND()&lt;((D12)-(C12))/((E12)-(C12)),SQRT(RAND()*((D12)-(C12))/((E12)-(C12))),1-SQRT(RAND()*((E12)-(D12))/((E12)-(C12))))</f>
        <v>0.17380068824277273</v>
      </c>
      <c r="H746" s="72">
        <f t="shared" ca="1" si="22"/>
        <v>202438514.41554043</v>
      </c>
      <c r="I746" s="73">
        <f t="shared" ca="1" si="23"/>
        <v>209.21844714783833</v>
      </c>
    </row>
    <row r="747" spans="1:9" ht="16.05" customHeight="1" x14ac:dyDescent="0.3">
      <c r="A747" s="66">
        <v>731</v>
      </c>
      <c r="B747" s="67">
        <f ca="1">(C7)+(E7-C7)*IF(RAND()&lt;((D7)-(C7))/((E7)-(C7)),SQRT(RAND()*((D7)-(C7))/((E7)-(C7))),1-SQRT(RAND()*((E7)-(D7))/((E7)-(C7))))</f>
        <v>0.26691654572565043</v>
      </c>
      <c r="C747" s="67">
        <f ca="1">(C8)+(E8-C8)*IF(RAND()&lt;((D8)-(C8))/((E8)-(C8)),SQRT(RAND()*((D8)-(C8))/((E8)-(C8))),1-SQRT(RAND()*((E8)-(D8))/((E8)-(C8))))</f>
        <v>0.65524369273863881</v>
      </c>
      <c r="D747" s="68">
        <f ca="1">(C9)+(E9-C9)*IF(RAND()&lt;((D9)-(C9))/((E9)-(C9)),SQRT(RAND()*((D9)-(C9))/((E9)-(C9))),1-SQRT(RAND()*((E9)-(D9))/((E9)-(C9))))</f>
        <v>1307440.3450669753</v>
      </c>
      <c r="E747" s="68">
        <f ca="1">(C10)+(E10-C10)*IF(RAND()&lt;((D10)-(C10))/((E10)-(C10)),SQRT(RAND()*((D10)-(C10))/((E10)-(C10))),1-SQRT(RAND()*((E10)-(D10))/((E10)-(C10))))</f>
        <v>3467757.9024407789</v>
      </c>
      <c r="F747" s="67">
        <f ca="1">(C11)+(E11-C11)*IF(RAND()&lt;((D11)-(C11))/((E11)-(C11)),SQRT(RAND()*((D11)-(C11))/((E11)-(C11))),1-SQRT(RAND()*((E11)-(D11))/((E11)-(C11))))</f>
        <v>1.7090664092536824E-2</v>
      </c>
      <c r="G747" s="67">
        <f ca="1">(C12)+(E12-C12)*IF(RAND()&lt;((D12)-(C12))/((E12)-(C12)),SQRT(RAND()*((D12)-(C12))/((E12)-(C12))),1-SQRT(RAND()*((E12)-(D12))/((E12)-(C12))))</f>
        <v>0.13974356432640078</v>
      </c>
      <c r="H747" s="68">
        <f t="shared" ca="1" si="22"/>
        <v>299180044.34685391</v>
      </c>
      <c r="I747" s="69">
        <f t="shared" ca="1" si="23"/>
        <v>303.14133172943235</v>
      </c>
    </row>
    <row r="748" spans="1:9" ht="16.05" customHeight="1" x14ac:dyDescent="0.3">
      <c r="A748" s="70">
        <v>732</v>
      </c>
      <c r="B748" s="71">
        <f ca="1">(C7)+(E7-C7)*IF(RAND()&lt;((D7)-(C7))/((E7)-(C7)),SQRT(RAND()*((D7)-(C7))/((E7)-(C7))),1-SQRT(RAND()*((E7)-(D7))/((E7)-(C7))))</f>
        <v>0.29249449154254681</v>
      </c>
      <c r="C748" s="71">
        <f ca="1">(C8)+(E8-C8)*IF(RAND()&lt;((D8)-(C8))/((E8)-(C8)),SQRT(RAND()*((D8)-(C8))/((E8)-(C8))),1-SQRT(RAND()*((E8)-(D8))/((E8)-(C8))))</f>
        <v>0.62935616195127531</v>
      </c>
      <c r="D748" s="72">
        <f ca="1">(C9)+(E9-C9)*IF(RAND()&lt;((D9)-(C9))/((E9)-(C9)),SQRT(RAND()*((D9)-(C9))/((E9)-(C9))),1-SQRT(RAND()*((E9)-(D9))/((E9)-(C9))))</f>
        <v>1294495.5325754145</v>
      </c>
      <c r="E748" s="72">
        <f ca="1">(C10)+(E10-C10)*IF(RAND()&lt;((D10)-(C10))/((E10)-(C10)),SQRT(RAND()*((D10)-(C10))/((E10)-(C10))),1-SQRT(RAND()*((E10)-(D10))/((E10)-(C10))))</f>
        <v>4949595.4085022276</v>
      </c>
      <c r="F748" s="71">
        <f ca="1">(C11)+(E11-C11)*IF(RAND()&lt;((D11)-(C11))/((E11)-(C11)),SQRT(RAND()*((D11)-(C11))/((E11)-(C11))),1-SQRT(RAND()*((E11)-(D11))/((E11)-(C11))))</f>
        <v>6.0721814748058798E-3</v>
      </c>
      <c r="G748" s="71">
        <f ca="1">(C12)+(E12-C12)*IF(RAND()&lt;((D12)-(C12))/((E12)-(C12)),SQRT(RAND()*((D12)-(C12))/((E12)-(C12))),1-SQRT(RAND()*((E12)-(D12))/((E12)-(C12))))</f>
        <v>0.17144847897017462</v>
      </c>
      <c r="H748" s="72">
        <f t="shared" ca="1" si="22"/>
        <v>224043970.09459889</v>
      </c>
      <c r="I748" s="73">
        <f t="shared" ca="1" si="23"/>
        <v>229.6018721684496</v>
      </c>
    </row>
    <row r="749" spans="1:9" ht="16.05" customHeight="1" x14ac:dyDescent="0.3">
      <c r="A749" s="66">
        <v>733</v>
      </c>
      <c r="B749" s="67">
        <f ca="1">(C7)+(E7-C7)*IF(RAND()&lt;((D7)-(C7))/((E7)-(C7)),SQRT(RAND()*((D7)-(C7))/((E7)-(C7))),1-SQRT(RAND()*((E7)-(D7))/((E7)-(C7))))</f>
        <v>0.23434305607657668</v>
      </c>
      <c r="C749" s="67">
        <f ca="1">(C8)+(E8-C8)*IF(RAND()&lt;((D8)-(C8))/((E8)-(C8)),SQRT(RAND()*((D8)-(C8))/((E8)-(C8))),1-SQRT(RAND()*((E8)-(D8))/((E8)-(C8))))</f>
        <v>0.76570346338017137</v>
      </c>
      <c r="D749" s="68">
        <f ca="1">(C9)+(E9-C9)*IF(RAND()&lt;((D9)-(C9))/((E9)-(C9)),SQRT(RAND()*((D9)-(C9))/((E9)-(C9))),1-SQRT(RAND()*((E9)-(D9))/((E9)-(C9))))</f>
        <v>1211116.1737502774</v>
      </c>
      <c r="E749" s="68">
        <f ca="1">(C10)+(E10-C10)*IF(RAND()&lt;((D10)-(C10))/((E10)-(C10)),SQRT(RAND()*((D10)-(C10))/((E10)-(C10))),1-SQRT(RAND()*((E10)-(D10))/((E10)-(C10))))</f>
        <v>2792563.0129026258</v>
      </c>
      <c r="F749" s="67">
        <f ca="1">(C11)+(E11-C11)*IF(RAND()&lt;((D11)-(C11))/((E11)-(C11)),SQRT(RAND()*((D11)-(C11))/((E11)-(C11))),1-SQRT(RAND()*((E11)-(D11))/((E11)-(C11))))</f>
        <v>1.6229751470419357E-2</v>
      </c>
      <c r="G749" s="67">
        <f ca="1">(C12)+(E12-C12)*IF(RAND()&lt;((D12)-(C12))/((E12)-(C12)),SQRT(RAND()*((D12)-(C12))/((E12)-(C12))),1-SQRT(RAND()*((E12)-(D12))/((E12)-(C12))))</f>
        <v>0.16040652002168732</v>
      </c>
      <c r="H749" s="68">
        <f t="shared" ca="1" si="22"/>
        <v>300563509.11258817</v>
      </c>
      <c r="I749" s="69">
        <f t="shared" ca="1" si="23"/>
        <v>328.65297171206265</v>
      </c>
    </row>
    <row r="750" spans="1:9" ht="16.05" customHeight="1" x14ac:dyDescent="0.3">
      <c r="A750" s="70">
        <v>734</v>
      </c>
      <c r="B750" s="71">
        <f ca="1">(C7)+(E7-C7)*IF(RAND()&lt;((D7)-(C7))/((E7)-(C7)),SQRT(RAND()*((D7)-(C7))/((E7)-(C7))),1-SQRT(RAND()*((E7)-(D7))/((E7)-(C7))))</f>
        <v>0.2608533874479243</v>
      </c>
      <c r="C750" s="71">
        <f ca="1">(C8)+(E8-C8)*IF(RAND()&lt;((D8)-(C8))/((E8)-(C8)),SQRT(RAND()*((D8)-(C8))/((E8)-(C8))),1-SQRT(RAND()*((E8)-(D8))/((E8)-(C8))))</f>
        <v>0.72523040212340861</v>
      </c>
      <c r="D750" s="72">
        <f ca="1">(C9)+(E9-C9)*IF(RAND()&lt;((D9)-(C9))/((E9)-(C9)),SQRT(RAND()*((D9)-(C9))/((E9)-(C9))),1-SQRT(RAND()*((E9)-(D9))/((E9)-(C9))))</f>
        <v>1344456.843848964</v>
      </c>
      <c r="E750" s="72">
        <f ca="1">(C10)+(E10-C10)*IF(RAND()&lt;((D10)-(C10))/((E10)-(C10)),SQRT(RAND()*((D10)-(C10))/((E10)-(C10))),1-SQRT(RAND()*((E10)-(D10))/((E10)-(C10))))</f>
        <v>3141471.5390608204</v>
      </c>
      <c r="F750" s="71">
        <f ca="1">(C11)+(E11-C11)*IF(RAND()&lt;((D11)-(C11))/((E11)-(C11)),SQRT(RAND()*((D11)-(C11))/((E11)-(C11))),1-SQRT(RAND()*((E11)-(D11))/((E11)-(C11))))</f>
        <v>7.2950568934661408E-3</v>
      </c>
      <c r="G750" s="71">
        <f ca="1">(C12)+(E12-C12)*IF(RAND()&lt;((D12)-(C12))/((E12)-(C12)),SQRT(RAND()*((D12)-(C12))/((E12)-(C12))),1-SQRT(RAND()*((E12)-(D12))/((E12)-(C12))))</f>
        <v>0.13103267550951037</v>
      </c>
      <c r="H750" s="72">
        <f t="shared" ca="1" si="22"/>
        <v>245218301.14919221</v>
      </c>
      <c r="I750" s="73">
        <f t="shared" ca="1" si="23"/>
        <v>241.89186404140011</v>
      </c>
    </row>
    <row r="751" spans="1:9" ht="16.05" customHeight="1" x14ac:dyDescent="0.3">
      <c r="A751" s="66">
        <v>735</v>
      </c>
      <c r="B751" s="67">
        <f ca="1">(C7)+(E7-C7)*IF(RAND()&lt;((D7)-(C7))/((E7)-(C7)),SQRT(RAND()*((D7)-(C7))/((E7)-(C7))),1-SQRT(RAND()*((E7)-(D7))/((E7)-(C7))))</f>
        <v>0.2618899346042125</v>
      </c>
      <c r="C751" s="67">
        <f ca="1">(C8)+(E8-C8)*IF(RAND()&lt;((D8)-(C8))/((E8)-(C8)),SQRT(RAND()*((D8)-(C8))/((E8)-(C8))),1-SQRT(RAND()*((E8)-(D8))/((E8)-(C8))))</f>
        <v>0.71607030547370576</v>
      </c>
      <c r="D751" s="68">
        <f ca="1">(C9)+(E9-C9)*IF(RAND()&lt;((D9)-(C9))/((E9)-(C9)),SQRT(RAND()*((D9)-(C9))/((E9)-(C9))),1-SQRT(RAND()*((E9)-(D9))/((E9)-(C9))))</f>
        <v>1336062.7939583133</v>
      </c>
      <c r="E751" s="68">
        <f ca="1">(C10)+(E10-C10)*IF(RAND()&lt;((D10)-(C10))/((E10)-(C10)),SQRT(RAND()*((D10)-(C10))/((E10)-(C10))),1-SQRT(RAND()*((E10)-(D10))/((E10)-(C10))))</f>
        <v>3916163.6393178031</v>
      </c>
      <c r="F751" s="67">
        <f ca="1">(C11)+(E11-C11)*IF(RAND()&lt;((D11)-(C11))/((E11)-(C11)),SQRT(RAND()*((D11)-(C11))/((E11)-(C11))),1-SQRT(RAND()*((E11)-(D11))/((E11)-(C11))))</f>
        <v>7.1159827180332907E-3</v>
      </c>
      <c r="G751" s="67">
        <f ca="1">(C12)+(E12-C12)*IF(RAND()&lt;((D12)-(C12))/((E12)-(C12)),SQRT(RAND()*((D12)-(C12))/((E12)-(C12))),1-SQRT(RAND()*((E12)-(D12))/((E12)-(C12))))</f>
        <v>0.13901067012904311</v>
      </c>
      <c r="H751" s="68">
        <f t="shared" ca="1" si="22"/>
        <v>239205423.93769553</v>
      </c>
      <c r="I751" s="69">
        <f t="shared" ca="1" si="23"/>
        <v>237.46727516615792</v>
      </c>
    </row>
    <row r="752" spans="1:9" ht="16.05" customHeight="1" x14ac:dyDescent="0.3">
      <c r="A752" s="70">
        <v>736</v>
      </c>
      <c r="B752" s="71">
        <f ca="1">(C7)+(E7-C7)*IF(RAND()&lt;((D7)-(C7))/((E7)-(C7)),SQRT(RAND()*((D7)-(C7))/((E7)-(C7))),1-SQRT(RAND()*((E7)-(D7))/((E7)-(C7))))</f>
        <v>0.21193079177717677</v>
      </c>
      <c r="C752" s="71">
        <f ca="1">(C8)+(E8-C8)*IF(RAND()&lt;((D8)-(C8))/((E8)-(C8)),SQRT(RAND()*((D8)-(C8))/((E8)-(C8))),1-SQRT(RAND()*((E8)-(D8))/((E8)-(C8))))</f>
        <v>0.65307372052936019</v>
      </c>
      <c r="D752" s="72">
        <f ca="1">(C9)+(E9-C9)*IF(RAND()&lt;((D9)-(C9))/((E9)-(C9)),SQRT(RAND()*((D9)-(C9))/((E9)-(C9))),1-SQRT(RAND()*((E9)-(D9))/((E9)-(C9))))</f>
        <v>1318393.6843041028</v>
      </c>
      <c r="E752" s="72">
        <f ca="1">(C10)+(E10-C10)*IF(RAND()&lt;((D10)-(C10))/((E10)-(C10)),SQRT(RAND()*((D10)-(C10))/((E10)-(C10))),1-SQRT(RAND()*((E10)-(D10))/((E10)-(C10))))</f>
        <v>3272062.3012369857</v>
      </c>
      <c r="F752" s="71">
        <f ca="1">(C11)+(E11-C11)*IF(RAND()&lt;((D11)-(C11))/((E11)-(C11)),SQRT(RAND()*((D11)-(C11))/((E11)-(C11))),1-SQRT(RAND()*((E11)-(D11))/((E11)-(C11))))</f>
        <v>8.5302879570289519E-3</v>
      </c>
      <c r="G752" s="71">
        <f ca="1">(C12)+(E12-C12)*IF(RAND()&lt;((D12)-(C12))/((E12)-(C12)),SQRT(RAND()*((D12)-(C12))/((E12)-(C12))),1-SQRT(RAND()*((E12)-(D12))/((E12)-(C12))))</f>
        <v>0.14593012247025014</v>
      </c>
      <c r="H752" s="72">
        <f t="shared" ca="1" si="22"/>
        <v>198426696.43387055</v>
      </c>
      <c r="I752" s="73">
        <f t="shared" ca="1" si="23"/>
        <v>199.83504245208348</v>
      </c>
    </row>
    <row r="753" spans="1:9" ht="16.05" customHeight="1" x14ac:dyDescent="0.3">
      <c r="A753" s="66">
        <v>737</v>
      </c>
      <c r="B753" s="67">
        <f ca="1">(C7)+(E7-C7)*IF(RAND()&lt;((D7)-(C7))/((E7)-(C7)),SQRT(RAND()*((D7)-(C7))/((E7)-(C7))),1-SQRT(RAND()*((E7)-(D7))/((E7)-(C7))))</f>
        <v>0.21914470601678268</v>
      </c>
      <c r="C753" s="67">
        <f ca="1">(C8)+(E8-C8)*IF(RAND()&lt;((D8)-(C8))/((E8)-(C8)),SQRT(RAND()*((D8)-(C8))/((E8)-(C8))),1-SQRT(RAND()*((E8)-(D8))/((E8)-(C8))))</f>
        <v>0.67349206644919968</v>
      </c>
      <c r="D753" s="68">
        <f ca="1">(C9)+(E9-C9)*IF(RAND()&lt;((D9)-(C9))/((E9)-(C9)),SQRT(RAND()*((D9)-(C9))/((E9)-(C9))),1-SQRT(RAND()*((E9)-(D9))/((E9)-(C9))))</f>
        <v>1222668.7785223173</v>
      </c>
      <c r="E753" s="68">
        <f ca="1">(C10)+(E10-C10)*IF(RAND()&lt;((D10)-(C10))/((E10)-(C10)),SQRT(RAND()*((D10)-(C10))/((E10)-(C10))),1-SQRT(RAND()*((E10)-(D10))/((E10)-(C10))))</f>
        <v>3297886.3097399129</v>
      </c>
      <c r="F753" s="67">
        <f ca="1">(C11)+(E11-C11)*IF(RAND()&lt;((D11)-(C11))/((E11)-(C11)),SQRT(RAND()*((D11)-(C11))/((E11)-(C11))),1-SQRT(RAND()*((E11)-(D11))/((E11)-(C11))))</f>
        <v>1.1705651575089555E-2</v>
      </c>
      <c r="G753" s="67">
        <f ca="1">(C12)+(E12-C12)*IF(RAND()&lt;((D12)-(C12))/((E12)-(C12)),SQRT(RAND()*((D12)-(C12))/((E12)-(C12))),1-SQRT(RAND()*((E12)-(D12))/((E12)-(C12))))</f>
        <v>0.16135903498828413</v>
      </c>
      <c r="H753" s="68">
        <f t="shared" ca="1" si="22"/>
        <v>231336950.45897827</v>
      </c>
      <c r="I753" s="69">
        <f t="shared" ca="1" si="23"/>
        <v>250.88005340081571</v>
      </c>
    </row>
    <row r="754" spans="1:9" ht="16.05" customHeight="1" x14ac:dyDescent="0.3">
      <c r="A754" s="70">
        <v>738</v>
      </c>
      <c r="B754" s="71">
        <f ca="1">(C7)+(E7-C7)*IF(RAND()&lt;((D7)-(C7))/((E7)-(C7)),SQRT(RAND()*((D7)-(C7))/((E7)-(C7))),1-SQRT(RAND()*((E7)-(D7))/((E7)-(C7))))</f>
        <v>0.26268842304184736</v>
      </c>
      <c r="C754" s="71">
        <f ca="1">(C8)+(E8-C8)*IF(RAND()&lt;((D8)-(C8))/((E8)-(C8)),SQRT(RAND()*((D8)-(C8))/((E8)-(C8))),1-SQRT(RAND()*((E8)-(D8))/((E8)-(C8))))</f>
        <v>0.70655149059847466</v>
      </c>
      <c r="D754" s="72">
        <f ca="1">(C9)+(E9-C9)*IF(RAND()&lt;((D9)-(C9))/((E9)-(C9)),SQRT(RAND()*((D9)-(C9))/((E9)-(C9))),1-SQRT(RAND()*((E9)-(D9))/((E9)-(C9))))</f>
        <v>1364455.603042399</v>
      </c>
      <c r="E754" s="72">
        <f ca="1">(C10)+(E10-C10)*IF(RAND()&lt;((D10)-(C10))/((E10)-(C10)),SQRT(RAND()*((D10)-(C10))/((E10)-(C10))),1-SQRT(RAND()*((E10)-(D10))/((E10)-(C10))))</f>
        <v>3257891.943248773</v>
      </c>
      <c r="F754" s="71">
        <f ca="1">(C11)+(E11-C11)*IF(RAND()&lt;((D11)-(C11))/((E11)-(C11)),SQRT(RAND()*((D11)-(C11))/((E11)-(C11))),1-SQRT(RAND()*((E11)-(D11))/((E11)-(C11))))</f>
        <v>9.0305127014716213E-3</v>
      </c>
      <c r="G754" s="71">
        <f ca="1">(C12)+(E12-C12)*IF(RAND()&lt;((D12)-(C12))/((E12)-(C12)),SQRT(RAND()*((D12)-(C12))/((E12)-(C12))),1-SQRT(RAND()*((E12)-(D12))/((E12)-(C12))))</f>
        <v>0.12434707720557513</v>
      </c>
      <c r="H754" s="72">
        <f t="shared" ca="1" si="22"/>
        <v>253392471.70960286</v>
      </c>
      <c r="I754" s="73">
        <f t="shared" ca="1" si="23"/>
        <v>246.26757913645923</v>
      </c>
    </row>
    <row r="755" spans="1:9" ht="16.05" customHeight="1" x14ac:dyDescent="0.3">
      <c r="A755" s="66">
        <v>739</v>
      </c>
      <c r="B755" s="67">
        <f ca="1">(C7)+(E7-C7)*IF(RAND()&lt;((D7)-(C7))/((E7)-(C7)),SQRT(RAND()*((D7)-(C7))/((E7)-(C7))),1-SQRT(RAND()*((E7)-(D7))/((E7)-(C7))))</f>
        <v>0.34346057370652983</v>
      </c>
      <c r="C755" s="67">
        <f ca="1">(C8)+(E8-C8)*IF(RAND()&lt;((D8)-(C8))/((E8)-(C8)),SQRT(RAND()*((D8)-(C8))/((E8)-(C8))),1-SQRT(RAND()*((E8)-(D8))/((E8)-(C8))))</f>
        <v>0.58118481921826826</v>
      </c>
      <c r="D755" s="68">
        <f ca="1">(C9)+(E9-C9)*IF(RAND()&lt;((D9)-(C9))/((E9)-(C9)),SQRT(RAND()*((D9)-(C9))/((E9)-(C9))),1-SQRT(RAND()*((E9)-(D9))/((E9)-(C9))))</f>
        <v>1361908.747715066</v>
      </c>
      <c r="E755" s="68">
        <f ca="1">(C10)+(E10-C10)*IF(RAND()&lt;((D10)-(C10))/((E10)-(C10)),SQRT(RAND()*((D10)-(C10))/((E10)-(C10))),1-SQRT(RAND()*((E10)-(D10))/((E10)-(C10))))</f>
        <v>3429501.2449228931</v>
      </c>
      <c r="F755" s="67">
        <f ca="1">(C11)+(E11-C11)*IF(RAND()&lt;((D11)-(C11))/((E11)-(C11)),SQRT(RAND()*((D11)-(C11))/((E11)-(C11))),1-SQRT(RAND()*((E11)-(D11))/((E11)-(C11))))</f>
        <v>6.8208324136333175E-3</v>
      </c>
      <c r="G755" s="67">
        <f ca="1">(C12)+(E12-C12)*IF(RAND()&lt;((D12)-(C12))/((E12)-(C12)),SQRT(RAND()*((D12)-(C12))/((E12)-(C12))),1-SQRT(RAND()*((E12)-(D12))/((E12)-(C12))))</f>
        <v>0.16149866427582479</v>
      </c>
      <c r="H755" s="68">
        <f t="shared" ca="1" si="22"/>
        <v>252039306.35114858</v>
      </c>
      <c r="I755" s="69">
        <f t="shared" ca="1" si="23"/>
        <v>245.41512889743552</v>
      </c>
    </row>
    <row r="756" spans="1:9" ht="16.05" customHeight="1" x14ac:dyDescent="0.3">
      <c r="A756" s="70">
        <v>740</v>
      </c>
      <c r="B756" s="71">
        <f ca="1">(C7)+(E7-C7)*IF(RAND()&lt;((D7)-(C7))/((E7)-(C7)),SQRT(RAND()*((D7)-(C7))/((E7)-(C7))),1-SQRT(RAND()*((E7)-(D7))/((E7)-(C7))))</f>
        <v>0.35014036176005542</v>
      </c>
      <c r="C756" s="71">
        <f ca="1">(C8)+(E8-C8)*IF(RAND()&lt;((D8)-(C8))/((E8)-(C8)),SQRT(RAND()*((D8)-(C8))/((E8)-(C8))),1-SQRT(RAND()*((E8)-(D8))/((E8)-(C8))))</f>
        <v>0.600798665293235</v>
      </c>
      <c r="D756" s="72">
        <f ca="1">(C9)+(E9-C9)*IF(RAND()&lt;((D9)-(C9))/((E9)-(C9)),SQRT(RAND()*((D9)-(C9))/((E9)-(C9))),1-SQRT(RAND()*((E9)-(D9))/((E9)-(C9))))</f>
        <v>1172491.3351946899</v>
      </c>
      <c r="E756" s="72">
        <f ca="1">(C10)+(E10-C10)*IF(RAND()&lt;((D10)-(C10))/((E10)-(C10)),SQRT(RAND()*((D10)-(C10))/((E10)-(C10))),1-SQRT(RAND()*((E10)-(D10))/((E10)-(C10))))</f>
        <v>3805144.9632552378</v>
      </c>
      <c r="F756" s="71">
        <f ca="1">(C11)+(E11-C11)*IF(RAND()&lt;((D11)-(C11))/((E11)-(C11)),SQRT(RAND()*((D11)-(C11))/((E11)-(C11))),1-SQRT(RAND()*((E11)-(D11))/((E11)-(C11))))</f>
        <v>1.4734071434223868E-2</v>
      </c>
      <c r="G756" s="71">
        <f ca="1">(C12)+(E12-C12)*IF(RAND()&lt;((D12)-(C12))/((E12)-(C12)),SQRT(RAND()*((D12)-(C12))/((E12)-(C12))),1-SQRT(RAND()*((E12)-(D12))/((E12)-(C12))))</f>
        <v>0.13686375094031539</v>
      </c>
      <c r="H756" s="72">
        <f t="shared" ca="1" si="22"/>
        <v>319615088.55238652</v>
      </c>
      <c r="I756" s="73">
        <f t="shared" ca="1" si="23"/>
        <v>360.86814846497577</v>
      </c>
    </row>
    <row r="757" spans="1:9" ht="16.05" customHeight="1" x14ac:dyDescent="0.3">
      <c r="A757" s="66">
        <v>741</v>
      </c>
      <c r="B757" s="67">
        <f ca="1">(C7)+(E7-C7)*IF(RAND()&lt;((D7)-(C7))/((E7)-(C7)),SQRT(RAND()*((D7)-(C7))/((E7)-(C7))),1-SQRT(RAND()*((E7)-(D7))/((E7)-(C7))))</f>
        <v>0.232903191332577</v>
      </c>
      <c r="C757" s="67">
        <f ca="1">(C8)+(E8-C8)*IF(RAND()&lt;((D8)-(C8))/((E8)-(C8)),SQRT(RAND()*((D8)-(C8))/((E8)-(C8))),1-SQRT(RAND()*((E8)-(D8))/((E8)-(C8))))</f>
        <v>0.73789474512312503</v>
      </c>
      <c r="D757" s="68">
        <f ca="1">(C9)+(E9-C9)*IF(RAND()&lt;((D9)-(C9))/((E9)-(C9)),SQRT(RAND()*((D9)-(C9))/((E9)-(C9))),1-SQRT(RAND()*((E9)-(D9))/((E9)-(C9))))</f>
        <v>1290088.857405494</v>
      </c>
      <c r="E757" s="68">
        <f ca="1">(C10)+(E10-C10)*IF(RAND()&lt;((D10)-(C10))/((E10)-(C10)),SQRT(RAND()*((D10)-(C10))/((E10)-(C10))),1-SQRT(RAND()*((E10)-(D10))/((E10)-(C10))))</f>
        <v>2996049.9395236406</v>
      </c>
      <c r="F757" s="67">
        <f ca="1">(C11)+(E11-C11)*IF(RAND()&lt;((D11)-(C11))/((E11)-(C11)),SQRT(RAND()*((D11)-(C11))/((E11)-(C11))),1-SQRT(RAND()*((E11)-(D11))/((E11)-(C11))))</f>
        <v>1.3773540796539918E-2</v>
      </c>
      <c r="G757" s="67">
        <f ca="1">(C12)+(E12-C12)*IF(RAND()&lt;((D12)-(C12))/((E12)-(C12)),SQRT(RAND()*((D12)-(C12))/((E12)-(C12))),1-SQRT(RAND()*((E12)-(D12))/((E12)-(C12))))</f>
        <v>0.15522296662275592</v>
      </c>
      <c r="H757" s="68">
        <f t="shared" ca="1" si="22"/>
        <v>273739184.68772912</v>
      </c>
      <c r="I757" s="69">
        <f t="shared" ca="1" si="23"/>
        <v>281.19004783874044</v>
      </c>
    </row>
    <row r="758" spans="1:9" ht="16.05" customHeight="1" x14ac:dyDescent="0.3">
      <c r="A758" s="70">
        <v>742</v>
      </c>
      <c r="B758" s="71">
        <f ca="1">(C7)+(E7-C7)*IF(RAND()&lt;((D7)-(C7))/((E7)-(C7)),SQRT(RAND()*((D7)-(C7))/((E7)-(C7))),1-SQRT(RAND()*((E7)-(D7))/((E7)-(C7))))</f>
        <v>0.25726068629284671</v>
      </c>
      <c r="C758" s="71">
        <f ca="1">(C8)+(E8-C8)*IF(RAND()&lt;((D8)-(C8))/((E8)-(C8)),SQRT(RAND()*((D8)-(C8))/((E8)-(C8))),1-SQRT(RAND()*((E8)-(D8))/((E8)-(C8))))</f>
        <v>0.62983701866150965</v>
      </c>
      <c r="D758" s="72">
        <f ca="1">(C9)+(E9-C9)*IF(RAND()&lt;((D9)-(C9))/((E9)-(C9)),SQRT(RAND()*((D9)-(C9))/((E9)-(C9))),1-SQRT(RAND()*((E9)-(D9))/((E9)-(C9))))</f>
        <v>1345922.3256494221</v>
      </c>
      <c r="E758" s="72">
        <f ca="1">(C10)+(E10-C10)*IF(RAND()&lt;((D10)-(C10))/((E10)-(C10)),SQRT(RAND()*((D10)-(C10))/((E10)-(C10))),1-SQRT(RAND()*((E10)-(D10))/((E10)-(C10))))</f>
        <v>2997956.825786829</v>
      </c>
      <c r="F758" s="71">
        <f ca="1">(C11)+(E11-C11)*IF(RAND()&lt;((D11)-(C11))/((E11)-(C11)),SQRT(RAND()*((D11)-(C11))/((E11)-(C11))),1-SQRT(RAND()*((E11)-(D11))/((E11)-(C11))))</f>
        <v>1.4058278771334825E-2</v>
      </c>
      <c r="G758" s="71">
        <f ca="1">(C12)+(E12-C12)*IF(RAND()&lt;((D12)-(C12))/((E12)-(C12)),SQRT(RAND()*((D12)-(C12))/((E12)-(C12))),1-SQRT(RAND()*((E12)-(D12))/((E12)-(C12))))</f>
        <v>0.15528248839617492</v>
      </c>
      <c r="H758" s="72">
        <f t="shared" ca="1" si="22"/>
        <v>265041295.99584228</v>
      </c>
      <c r="I758" s="73">
        <f t="shared" ca="1" si="23"/>
        <v>261.05621316305223</v>
      </c>
    </row>
    <row r="759" spans="1:9" ht="16.05" customHeight="1" x14ac:dyDescent="0.3">
      <c r="A759" s="66">
        <v>743</v>
      </c>
      <c r="B759" s="67">
        <f ca="1">(C7)+(E7-C7)*IF(RAND()&lt;((D7)-(C7))/((E7)-(C7)),SQRT(RAND()*((D7)-(C7))/((E7)-(C7))),1-SQRT(RAND()*((E7)-(D7))/((E7)-(C7))))</f>
        <v>0.23444281498606981</v>
      </c>
      <c r="C759" s="67">
        <f ca="1">(C8)+(E8-C8)*IF(RAND()&lt;((D8)-(C8))/((E8)-(C8)),SQRT(RAND()*((D8)-(C8))/((E8)-(C8))),1-SQRT(RAND()*((E8)-(D8))/((E8)-(C8))))</f>
        <v>0.62715614281408028</v>
      </c>
      <c r="D759" s="68">
        <f ca="1">(C9)+(E9-C9)*IF(RAND()&lt;((D9)-(C9))/((E9)-(C9)),SQRT(RAND()*((D9)-(C9))/((E9)-(C9))),1-SQRT(RAND()*((E9)-(D9))/((E9)-(C9))))</f>
        <v>1230239.3772238395</v>
      </c>
      <c r="E759" s="68">
        <f ca="1">(C10)+(E10-C10)*IF(RAND()&lt;((D10)-(C10))/((E10)-(C10)),SQRT(RAND()*((D10)-(C10))/((E10)-(C10))),1-SQRT(RAND()*((E10)-(D10))/((E10)-(C10))))</f>
        <v>3641162.5035752398</v>
      </c>
      <c r="F759" s="67">
        <f ca="1">(C11)+(E11-C11)*IF(RAND()&lt;((D11)-(C11))/((E11)-(C11)),SQRT(RAND()*((D11)-(C11))/((E11)-(C11))),1-SQRT(RAND()*((E11)-(D11))/((E11)-(C11))))</f>
        <v>9.8586005715216533E-3</v>
      </c>
      <c r="G759" s="67">
        <f ca="1">(C12)+(E12-C12)*IF(RAND()&lt;((D12)-(C12))/((E12)-(C12)),SQRT(RAND()*((D12)-(C12))/((E12)-(C12))),1-SQRT(RAND()*((E12)-(D12))/((E12)-(C12))))</f>
        <v>0.13688553982623286</v>
      </c>
      <c r="H759" s="68">
        <f t="shared" ca="1" si="22"/>
        <v>216087488.63438764</v>
      </c>
      <c r="I759" s="69">
        <f t="shared" ca="1" si="23"/>
        <v>232.99477419942016</v>
      </c>
    </row>
    <row r="760" spans="1:9" ht="16.05" customHeight="1" x14ac:dyDescent="0.3">
      <c r="A760" s="70">
        <v>744</v>
      </c>
      <c r="B760" s="71">
        <f ca="1">(C7)+(E7-C7)*IF(RAND()&lt;((D7)-(C7))/((E7)-(C7)),SQRT(RAND()*((D7)-(C7))/((E7)-(C7))),1-SQRT(RAND()*((E7)-(D7))/((E7)-(C7))))</f>
        <v>0.29681934881905392</v>
      </c>
      <c r="C760" s="71">
        <f ca="1">(C8)+(E8-C8)*IF(RAND()&lt;((D8)-(C8))/((E8)-(C8)),SQRT(RAND()*((D8)-(C8))/((E8)-(C8))),1-SQRT(RAND()*((E8)-(D8))/((E8)-(C8))))</f>
        <v>0.65286903930608431</v>
      </c>
      <c r="D760" s="72">
        <f ca="1">(C9)+(E9-C9)*IF(RAND()&lt;((D9)-(C9))/((E9)-(C9)),SQRT(RAND()*((D9)-(C9))/((E9)-(C9))),1-SQRT(RAND()*((E9)-(D9))/((E9)-(C9))))</f>
        <v>1166996.7100500853</v>
      </c>
      <c r="E760" s="72">
        <f ca="1">(C10)+(E10-C10)*IF(RAND()&lt;((D10)-(C10))/((E10)-(C10)),SQRT(RAND()*((D10)-(C10))/((E10)-(C10))),1-SQRT(RAND()*((E10)-(D10))/((E10)-(C10))))</f>
        <v>3322254.8725778288</v>
      </c>
      <c r="F760" s="71">
        <f ca="1">(C11)+(E11-C11)*IF(RAND()&lt;((D11)-(C11))/((E11)-(C11)),SQRT(RAND()*((D11)-(C11))/((E11)-(C11))),1-SQRT(RAND()*((E11)-(D11))/((E11)-(C11))))</f>
        <v>1.722487058412003E-2</v>
      </c>
      <c r="G760" s="71">
        <f ca="1">(C12)+(E12-C12)*IF(RAND()&lt;((D12)-(C12))/((E12)-(C12)),SQRT(RAND()*((D12)-(C12))/((E12)-(C12))),1-SQRT(RAND()*((E12)-(D12))/((E12)-(C12))))</f>
        <v>0.164010573898769</v>
      </c>
      <c r="H760" s="72">
        <f t="shared" ca="1" si="22"/>
        <v>321390873.35026652</v>
      </c>
      <c r="I760" s="73">
        <f t="shared" ca="1" si="23"/>
        <v>364.56809517817061</v>
      </c>
    </row>
    <row r="761" spans="1:9" ht="16.05" customHeight="1" x14ac:dyDescent="0.3">
      <c r="A761" s="66">
        <v>745</v>
      </c>
      <c r="B761" s="67">
        <f ca="1">(C7)+(E7-C7)*IF(RAND()&lt;((D7)-(C7))/((E7)-(C7)),SQRT(RAND()*((D7)-(C7))/((E7)-(C7))),1-SQRT(RAND()*((E7)-(D7))/((E7)-(C7))))</f>
        <v>0.27470186013783965</v>
      </c>
      <c r="C761" s="67">
        <f ca="1">(C8)+(E8-C8)*IF(RAND()&lt;((D8)-(C8))/((E8)-(C8)),SQRT(RAND()*((D8)-(C8))/((E8)-(C8))),1-SQRT(RAND()*((E8)-(D8))/((E8)-(C8))))</f>
        <v>0.67540264194664168</v>
      </c>
      <c r="D761" s="68">
        <f ca="1">(C9)+(E9-C9)*IF(RAND()&lt;((D9)-(C9))/((E9)-(C9)),SQRT(RAND()*((D9)-(C9))/((E9)-(C9))),1-SQRT(RAND()*((E9)-(D9))/((E9)-(C9))))</f>
        <v>1139081.5242502771</v>
      </c>
      <c r="E761" s="68">
        <f ca="1">(C10)+(E10-C10)*IF(RAND()&lt;((D10)-(C10))/((E10)-(C10)),SQRT(RAND()*((D10)-(C10))/((E10)-(C10))),1-SQRT(RAND()*((E10)-(D10))/((E10)-(C10))))</f>
        <v>2851366.6229711575</v>
      </c>
      <c r="F761" s="67">
        <f ca="1">(C11)+(E11-C11)*IF(RAND()&lt;((D11)-(C11))/((E11)-(C11)),SQRT(RAND()*((D11)-(C11))/((E11)-(C11))),1-SQRT(RAND()*((E11)-(D11))/((E11)-(C11))))</f>
        <v>1.203840300755056E-2</v>
      </c>
      <c r="G761" s="67">
        <f ca="1">(C12)+(E12-C12)*IF(RAND()&lt;((D12)-(C12))/((E12)-(C12)),SQRT(RAND()*((D12)-(C12))/((E12)-(C12))),1-SQRT(RAND()*((E12)-(D12))/((E12)-(C12))))</f>
        <v>0.14256418548467548</v>
      </c>
      <c r="H761" s="68">
        <f t="shared" ca="1" si="22"/>
        <v>276794257.34177393</v>
      </c>
      <c r="I761" s="69">
        <f t="shared" ca="1" si="23"/>
        <v>321.82997029113477</v>
      </c>
    </row>
    <row r="762" spans="1:9" ht="16.05" customHeight="1" x14ac:dyDescent="0.3">
      <c r="A762" s="70">
        <v>746</v>
      </c>
      <c r="B762" s="71">
        <f ca="1">(C7)+(E7-C7)*IF(RAND()&lt;((D7)-(C7))/((E7)-(C7)),SQRT(RAND()*((D7)-(C7))/((E7)-(C7))),1-SQRT(RAND()*((E7)-(D7))/((E7)-(C7))))</f>
        <v>0.2826991193670424</v>
      </c>
      <c r="C762" s="71">
        <f ca="1">(C8)+(E8-C8)*IF(RAND()&lt;((D8)-(C8))/((E8)-(C8)),SQRT(RAND()*((D8)-(C8))/((E8)-(C8))),1-SQRT(RAND()*((E8)-(D8))/((E8)-(C8))))</f>
        <v>0.79340911594567676</v>
      </c>
      <c r="D762" s="72">
        <f ca="1">(C9)+(E9-C9)*IF(RAND()&lt;((D9)-(C9))/((E9)-(C9)),SQRT(RAND()*((D9)-(C9))/((E9)-(C9))),1-SQRT(RAND()*((E9)-(D9))/((E9)-(C9))))</f>
        <v>1268781.7364579281</v>
      </c>
      <c r="E762" s="72">
        <f ca="1">(C10)+(E10-C10)*IF(RAND()&lt;((D10)-(C10))/((E10)-(C10)),SQRT(RAND()*((D10)-(C10))/((E10)-(C10))),1-SQRT(RAND()*((E10)-(D10))/((E10)-(C10))))</f>
        <v>3912274.2821720014</v>
      </c>
      <c r="F762" s="71">
        <f ca="1">(C11)+(E11-C11)*IF(RAND()&lt;((D11)-(C11))/((E11)-(C11)),SQRT(RAND()*((D11)-(C11))/((E11)-(C11))),1-SQRT(RAND()*((E11)-(D11))/((E11)-(C11))))</f>
        <v>1.6914282757372272E-2</v>
      </c>
      <c r="G762" s="71">
        <f ca="1">(C12)+(E12-C12)*IF(RAND()&lt;((D12)-(C12))/((E12)-(C12)),SQRT(RAND()*((D12)-(C12))/((E12)-(C12))),1-SQRT(RAND()*((E12)-(D12))/((E12)-(C12))))</f>
        <v>0.16272956929125798</v>
      </c>
      <c r="H762" s="72">
        <f t="shared" ca="1" si="22"/>
        <v>350006327.34530962</v>
      </c>
      <c r="I762" s="73">
        <f t="shared" ca="1" si="23"/>
        <v>365.1750580062922</v>
      </c>
    </row>
    <row r="763" spans="1:9" ht="16.05" customHeight="1" x14ac:dyDescent="0.3">
      <c r="A763" s="66">
        <v>747</v>
      </c>
      <c r="B763" s="67">
        <f ca="1">(C7)+(E7-C7)*IF(RAND()&lt;((D7)-(C7))/((E7)-(C7)),SQRT(RAND()*((D7)-(C7))/((E7)-(C7))),1-SQRT(RAND()*((E7)-(D7))/((E7)-(C7))))</f>
        <v>0.22377153273611855</v>
      </c>
      <c r="C763" s="67">
        <f ca="1">(C8)+(E8-C8)*IF(RAND()&lt;((D8)-(C8))/((E8)-(C8)),SQRT(RAND()*((D8)-(C8))/((E8)-(C8))),1-SQRT(RAND()*((E8)-(D8))/((E8)-(C8))))</f>
        <v>0.8102221267360481</v>
      </c>
      <c r="D763" s="68">
        <f ca="1">(C9)+(E9-C9)*IF(RAND()&lt;((D9)-(C9))/((E9)-(C9)),SQRT(RAND()*((D9)-(C9))/((E9)-(C9))),1-SQRT(RAND()*((E9)-(D9))/((E9)-(C9))))</f>
        <v>1299765.477550118</v>
      </c>
      <c r="E763" s="68">
        <f ca="1">(C10)+(E10-C10)*IF(RAND()&lt;((D10)-(C10))/((E10)-(C10)),SQRT(RAND()*((D10)-(C10))/((E10)-(C10))),1-SQRT(RAND()*((E10)-(D10))/((E10)-(C10))))</f>
        <v>3996323.9010742633</v>
      </c>
      <c r="F763" s="67">
        <f ca="1">(C11)+(E11-C11)*IF(RAND()&lt;((D11)-(C11))/((E11)-(C11)),SQRT(RAND()*((D11)-(C11))/((E11)-(C11))),1-SQRT(RAND()*((E11)-(D11))/((E11)-(C11))))</f>
        <v>7.4610440047814695E-3</v>
      </c>
      <c r="G763" s="67">
        <f ca="1">(C12)+(E12-C12)*IF(RAND()&lt;((D12)-(C12))/((E12)-(C12)),SQRT(RAND()*((D12)-(C12))/((E12)-(C12))),1-SQRT(RAND()*((E12)-(D12))/((E12)-(C12))))</f>
        <v>0.1675488230127252</v>
      </c>
      <c r="H763" s="68">
        <f t="shared" ca="1" si="22"/>
        <v>234653729.7203795</v>
      </c>
      <c r="I763" s="69">
        <f t="shared" ca="1" si="23"/>
        <v>239.44295602946099</v>
      </c>
    </row>
    <row r="764" spans="1:9" ht="16.05" customHeight="1" x14ac:dyDescent="0.3">
      <c r="A764" s="70">
        <v>748</v>
      </c>
      <c r="B764" s="71">
        <f ca="1">(C7)+(E7-C7)*IF(RAND()&lt;((D7)-(C7))/((E7)-(C7)),SQRT(RAND()*((D7)-(C7))/((E7)-(C7))),1-SQRT(RAND()*((E7)-(D7))/((E7)-(C7))))</f>
        <v>0.27252103935968386</v>
      </c>
      <c r="C764" s="71">
        <f ca="1">(C8)+(E8-C8)*IF(RAND()&lt;((D8)-(C8))/((E8)-(C8)),SQRT(RAND()*((D8)-(C8))/((E8)-(C8))),1-SQRT(RAND()*((E8)-(D8))/((E8)-(C8))))</f>
        <v>0.60843917474722442</v>
      </c>
      <c r="D764" s="72">
        <f ca="1">(C9)+(E9-C9)*IF(RAND()&lt;((D9)-(C9))/((E9)-(C9)),SQRT(RAND()*((D9)-(C9))/((E9)-(C9))),1-SQRT(RAND()*((E9)-(D9))/((E9)-(C9))))</f>
        <v>1224075.1453200285</v>
      </c>
      <c r="E764" s="72">
        <f ca="1">(C10)+(E10-C10)*IF(RAND()&lt;((D10)-(C10))/((E10)-(C10)),SQRT(RAND()*((D10)-(C10))/((E10)-(C10))),1-SQRT(RAND()*((E10)-(D10))/((E10)-(C10))))</f>
        <v>5182789.3852186427</v>
      </c>
      <c r="F764" s="71">
        <f ca="1">(C11)+(E11-C11)*IF(RAND()&lt;((D11)-(C11))/((E11)-(C11)),SQRT(RAND()*((D11)-(C11))/((E11)-(C11))),1-SQRT(RAND()*((E11)-(D11))/((E11)-(C11))))</f>
        <v>2.0968609954221968E-2</v>
      </c>
      <c r="G764" s="71">
        <f ca="1">(C12)+(E12-C12)*IF(RAND()&lt;((D12)-(C12))/((E12)-(C12)),SQRT(RAND()*((D12)-(C12))/((E12)-(C12))),1-SQRT(RAND()*((E12)-(D12))/((E12)-(C12))))</f>
        <v>0.15306097760668105</v>
      </c>
      <c r="H764" s="72">
        <f t="shared" ca="1" si="22"/>
        <v>310869976.7561723</v>
      </c>
      <c r="I764" s="73">
        <f t="shared" ca="1" si="23"/>
        <v>336.29318010992489</v>
      </c>
    </row>
    <row r="765" spans="1:9" ht="16.05" customHeight="1" x14ac:dyDescent="0.3">
      <c r="A765" s="66">
        <v>749</v>
      </c>
      <c r="B765" s="67">
        <f ca="1">(C7)+(E7-C7)*IF(RAND()&lt;((D7)-(C7))/((E7)-(C7)),SQRT(RAND()*((D7)-(C7))/((E7)-(C7))),1-SQRT(RAND()*((E7)-(D7))/((E7)-(C7))))</f>
        <v>0.21723673272122143</v>
      </c>
      <c r="C765" s="67">
        <f ca="1">(C8)+(E8-C8)*IF(RAND()&lt;((D8)-(C8))/((E8)-(C8)),SQRT(RAND()*((D8)-(C8))/((E8)-(C8))),1-SQRT(RAND()*((E8)-(D8))/((E8)-(C8))))</f>
        <v>0.76173344416473432</v>
      </c>
      <c r="D765" s="68">
        <f ca="1">(C9)+(E9-C9)*IF(RAND()&lt;((D9)-(C9))/((E9)-(C9)),SQRT(RAND()*((D9)-(C9))/((E9)-(C9))),1-SQRT(RAND()*((E9)-(D9))/((E9)-(C9))))</f>
        <v>1211009.8675701499</v>
      </c>
      <c r="E765" s="68">
        <f ca="1">(C10)+(E10-C10)*IF(RAND()&lt;((D10)-(C10))/((E10)-(C10)),SQRT(RAND()*((D10)-(C10))/((E10)-(C10))),1-SQRT(RAND()*((E10)-(D10))/((E10)-(C10))))</f>
        <v>2968481.3766560606</v>
      </c>
      <c r="F765" s="67">
        <f ca="1">(C11)+(E11-C11)*IF(RAND()&lt;((D11)-(C11))/((E11)-(C11)),SQRT(RAND()*((D11)-(C11))/((E11)-(C11))),1-SQRT(RAND()*((E11)-(D11))/((E11)-(C11))))</f>
        <v>8.5358396923109758E-3</v>
      </c>
      <c r="G765" s="67">
        <f ca="1">(C12)+(E12-C12)*IF(RAND()&lt;((D12)-(C12))/((E12)-(C12)),SQRT(RAND()*((D12)-(C12))/((E12)-(C12))),1-SQRT(RAND()*((E12)-(D12))/((E12)-(C12))))</f>
        <v>0.16170996565111012</v>
      </c>
      <c r="H765" s="68">
        <f t="shared" ca="1" si="22"/>
        <v>229175983.58991563</v>
      </c>
      <c r="I765" s="69">
        <f t="shared" ca="1" si="23"/>
        <v>250.929039099839</v>
      </c>
    </row>
    <row r="766" spans="1:9" ht="16.05" customHeight="1" x14ac:dyDescent="0.3">
      <c r="A766" s="70">
        <v>750</v>
      </c>
      <c r="B766" s="71">
        <f ca="1">(C7)+(E7-C7)*IF(RAND()&lt;((D7)-(C7))/((E7)-(C7)),SQRT(RAND()*((D7)-(C7))/((E7)-(C7))),1-SQRT(RAND()*((E7)-(D7))/((E7)-(C7))))</f>
        <v>0.27510996385435305</v>
      </c>
      <c r="C766" s="71">
        <f ca="1">(C8)+(E8-C8)*IF(RAND()&lt;((D8)-(C8))/((E8)-(C8)),SQRT(RAND()*((D8)-(C8))/((E8)-(C8))),1-SQRT(RAND()*((E8)-(D8))/((E8)-(C8))))</f>
        <v>0.74396407399804243</v>
      </c>
      <c r="D766" s="72">
        <f ca="1">(C9)+(E9-C9)*IF(RAND()&lt;((D9)-(C9))/((E9)-(C9)),SQRT(RAND()*((D9)-(C9))/((E9)-(C9))),1-SQRT(RAND()*((E9)-(D9))/((E9)-(C9))))</f>
        <v>1285118.4790601218</v>
      </c>
      <c r="E766" s="72">
        <f ca="1">(C10)+(E10-C10)*IF(RAND()&lt;((D10)-(C10))/((E10)-(C10)),SQRT(RAND()*((D10)-(C10))/((E10)-(C10))),1-SQRT(RAND()*((E10)-(D10))/((E10)-(C10))))</f>
        <v>3528475.9795060633</v>
      </c>
      <c r="F766" s="71">
        <f ca="1">(C11)+(E11-C11)*IF(RAND()&lt;((D11)-(C11))/((E11)-(C11)),SQRT(RAND()*((D11)-(C11))/((E11)-(C11))),1-SQRT(RAND()*((E11)-(D11))/((E11)-(C11))))</f>
        <v>8.2084426331768233E-3</v>
      </c>
      <c r="G766" s="71">
        <f ca="1">(C12)+(E12-C12)*IF(RAND()&lt;((D12)-(C12))/((E12)-(C12)),SQRT(RAND()*((D12)-(C12))/((E12)-(C12))),1-SQRT(RAND()*((E12)-(D12))/((E12)-(C12))))</f>
        <v>0.14063149284414439</v>
      </c>
      <c r="H766" s="72">
        <f t="shared" ca="1" si="22"/>
        <v>267258926.55508929</v>
      </c>
      <c r="I766" s="73">
        <f t="shared" ca="1" si="23"/>
        <v>275.62144548045615</v>
      </c>
    </row>
    <row r="767" spans="1:9" ht="16.05" customHeight="1" x14ac:dyDescent="0.3">
      <c r="A767" s="66">
        <v>751</v>
      </c>
      <c r="B767" s="67">
        <f ca="1">(C7)+(E7-C7)*IF(RAND()&lt;((D7)-(C7))/((E7)-(C7)),SQRT(RAND()*((D7)-(C7))/((E7)-(C7))),1-SQRT(RAND()*((E7)-(D7))/((E7)-(C7))))</f>
        <v>0.28777133291979529</v>
      </c>
      <c r="C767" s="67">
        <f ca="1">(C8)+(E8-C8)*IF(RAND()&lt;((D8)-(C8))/((E8)-(C8)),SQRT(RAND()*((D8)-(C8))/((E8)-(C8))),1-SQRT(RAND()*((E8)-(D8))/((E8)-(C8))))</f>
        <v>0.70944157321910584</v>
      </c>
      <c r="D767" s="68">
        <f ca="1">(C9)+(E9-C9)*IF(RAND()&lt;((D9)-(C9))/((E9)-(C9)),SQRT(RAND()*((D9)-(C9))/((E9)-(C9))),1-SQRT(RAND()*((E9)-(D9))/((E9)-(C9))))</f>
        <v>1187538.2561993659</v>
      </c>
      <c r="E767" s="68">
        <f ca="1">(C10)+(E10-C10)*IF(RAND()&lt;((D10)-(C10))/((E10)-(C10)),SQRT(RAND()*((D10)-(C10))/((E10)-(C10))),1-SQRT(RAND()*((E10)-(D10))/((E10)-(C10))))</f>
        <v>4133441.4584657582</v>
      </c>
      <c r="F767" s="67">
        <f ca="1">(C11)+(E11-C11)*IF(RAND()&lt;((D11)-(C11))/((E11)-(C11)),SQRT(RAND()*((D11)-(C11))/((E11)-(C11))),1-SQRT(RAND()*((E11)-(D11))/((E11)-(C11))))</f>
        <v>2.2733965243004434E-2</v>
      </c>
      <c r="G767" s="67">
        <f ca="1">(C12)+(E12-C12)*IF(RAND()&lt;((D12)-(C12))/((E12)-(C12)),SQRT(RAND()*((D12)-(C12))/((E12)-(C12))),1-SQRT(RAND()*((E12)-(D12))/((E12)-(C12))))</f>
        <v>0.13799982865669244</v>
      </c>
      <c r="H767" s="68">
        <f t="shared" ca="1" si="22"/>
        <v>369343188.2046032</v>
      </c>
      <c r="I767" s="69">
        <f t="shared" ca="1" si="23"/>
        <v>411.54494049830822</v>
      </c>
    </row>
    <row r="768" spans="1:9" ht="16.05" customHeight="1" x14ac:dyDescent="0.3">
      <c r="A768" s="70">
        <v>752</v>
      </c>
      <c r="B768" s="71">
        <f ca="1">(C7)+(E7-C7)*IF(RAND()&lt;((D7)-(C7))/((E7)-(C7)),SQRT(RAND()*((D7)-(C7))/((E7)-(C7))),1-SQRT(RAND()*((E7)-(D7))/((E7)-(C7))))</f>
        <v>0.24417814096814341</v>
      </c>
      <c r="C768" s="71">
        <f ca="1">(C8)+(E8-C8)*IF(RAND()&lt;((D8)-(C8))/((E8)-(C8)),SQRT(RAND()*((D8)-(C8))/((E8)-(C8))),1-SQRT(RAND()*((E8)-(D8))/((E8)-(C8))))</f>
        <v>0.72931826905763697</v>
      </c>
      <c r="D768" s="72">
        <f ca="1">(C9)+(E9-C9)*IF(RAND()&lt;((D9)-(C9))/((E9)-(C9)),SQRT(RAND()*((D9)-(C9))/((E9)-(C9))),1-SQRT(RAND()*((E9)-(D9))/((E9)-(C9))))</f>
        <v>1307729.8208092598</v>
      </c>
      <c r="E768" s="72">
        <f ca="1">(C10)+(E10-C10)*IF(RAND()&lt;((D10)-(C10))/((E10)-(C10)),SQRT(RAND()*((D10)-(C10))/((E10)-(C10))),1-SQRT(RAND()*((E10)-(D10))/((E10)-(C10))))</f>
        <v>3625097.8774232967</v>
      </c>
      <c r="F768" s="71">
        <f ca="1">(C11)+(E11-C11)*IF(RAND()&lt;((D11)-(C11))/((E11)-(C11)),SQRT(RAND()*((D11)-(C11))/((E11)-(C11))),1-SQRT(RAND()*((E11)-(D11))/((E11)-(C11))))</f>
        <v>1.371151798311532E-2</v>
      </c>
      <c r="G768" s="71">
        <f ca="1">(C12)+(E12-C12)*IF(RAND()&lt;((D12)-(C12))/((E12)-(C12)),SQRT(RAND()*((D12)-(C12))/((E12)-(C12))),1-SQRT(RAND()*((E12)-(D12))/((E12)-(C12))))</f>
        <v>0.11964261356358696</v>
      </c>
      <c r="H768" s="72">
        <f t="shared" ca="1" si="22"/>
        <v>277662407.97593439</v>
      </c>
      <c r="I768" s="73">
        <f t="shared" ca="1" si="23"/>
        <v>281.37165030848399</v>
      </c>
    </row>
    <row r="769" spans="1:9" ht="16.05" customHeight="1" x14ac:dyDescent="0.3">
      <c r="A769" s="66">
        <v>753</v>
      </c>
      <c r="B769" s="67">
        <f ca="1">(C7)+(E7-C7)*IF(RAND()&lt;((D7)-(C7))/((E7)-(C7)),SQRT(RAND()*((D7)-(C7))/((E7)-(C7))),1-SQRT(RAND()*((E7)-(D7))/((E7)-(C7))))</f>
        <v>0.25628676493956548</v>
      </c>
      <c r="C769" s="67">
        <f ca="1">(C8)+(E8-C8)*IF(RAND()&lt;((D8)-(C8))/((E8)-(C8)),SQRT(RAND()*((D8)-(C8))/((E8)-(C8))),1-SQRT(RAND()*((E8)-(D8))/((E8)-(C8))))</f>
        <v>0.75247238310050735</v>
      </c>
      <c r="D769" s="68">
        <f ca="1">(C9)+(E9-C9)*IF(RAND()&lt;((D9)-(C9))/((E9)-(C9)),SQRT(RAND()*((D9)-(C9))/((E9)-(C9))),1-SQRT(RAND()*((E9)-(D9))/((E9)-(C9))))</f>
        <v>1215413.0227386095</v>
      </c>
      <c r="E769" s="68">
        <f ca="1">(C10)+(E10-C10)*IF(RAND()&lt;((D10)-(C10))/((E10)-(C10)),SQRT(RAND()*((D10)-(C10))/((E10)-(C10))),1-SQRT(RAND()*((E10)-(D10))/((E10)-(C10))))</f>
        <v>4264811.4892730974</v>
      </c>
      <c r="F769" s="67">
        <f ca="1">(C11)+(E11-C11)*IF(RAND()&lt;((D11)-(C11))/((E11)-(C11)),SQRT(RAND()*((D11)-(C11))/((E11)-(C11))),1-SQRT(RAND()*((E11)-(D11))/((E11)-(C11))))</f>
        <v>8.0893411014305756E-3</v>
      </c>
      <c r="G769" s="67">
        <f ca="1">(C12)+(E12-C12)*IF(RAND()&lt;((D12)-(C12))/((E12)-(C12)),SQRT(RAND()*((D12)-(C12))/((E12)-(C12))),1-SQRT(RAND()*((E12)-(D12))/((E12)-(C12))))</f>
        <v>0.13372492950981651</v>
      </c>
      <c r="H769" s="68">
        <f t="shared" ca="1" si="22"/>
        <v>250814569.7234343</v>
      </c>
      <c r="I769" s="69">
        <f t="shared" ca="1" si="23"/>
        <v>273.50733162039666</v>
      </c>
    </row>
    <row r="770" spans="1:9" ht="16.05" customHeight="1" x14ac:dyDescent="0.3">
      <c r="A770" s="70">
        <v>754</v>
      </c>
      <c r="B770" s="71">
        <f ca="1">(C7)+(E7-C7)*IF(RAND()&lt;((D7)-(C7))/((E7)-(C7)),SQRT(RAND()*((D7)-(C7))/((E7)-(C7))),1-SQRT(RAND()*((E7)-(D7))/((E7)-(C7))))</f>
        <v>0.27025201347833905</v>
      </c>
      <c r="C770" s="71">
        <f ca="1">(C8)+(E8-C8)*IF(RAND()&lt;((D8)-(C8))/((E8)-(C8)),SQRT(RAND()*((D8)-(C8))/((E8)-(C8))),1-SQRT(RAND()*((E8)-(D8))/((E8)-(C8))))</f>
        <v>0.73192623846020277</v>
      </c>
      <c r="D770" s="72">
        <f ca="1">(C9)+(E9-C9)*IF(RAND()&lt;((D9)-(C9))/((E9)-(C9)),SQRT(RAND()*((D9)-(C9))/((E9)-(C9))),1-SQRT(RAND()*((E9)-(D9))/((E9)-(C9))))</f>
        <v>1153716.8160667482</v>
      </c>
      <c r="E770" s="72">
        <f ca="1">(C10)+(E10-C10)*IF(RAND()&lt;((D10)-(C10))/((E10)-(C10)),SQRT(RAND()*((D10)-(C10))/((E10)-(C10))),1-SQRT(RAND()*((E10)-(D10))/((E10)-(C10))))</f>
        <v>3765174.9372940017</v>
      </c>
      <c r="F770" s="71">
        <f ca="1">(C11)+(E11-C11)*IF(RAND()&lt;((D11)-(C11))/((E11)-(C11)),SQRT(RAND()*((D11)-(C11))/((E11)-(C11))),1-SQRT(RAND()*((E11)-(D11))/((E11)-(C11))))</f>
        <v>8.8657006195194867E-3</v>
      </c>
      <c r="G770" s="71">
        <f ca="1">(C12)+(E12-C12)*IF(RAND()&lt;((D12)-(C12))/((E12)-(C12)),SQRT(RAND()*((D12)-(C12))/((E12)-(C12))),1-SQRT(RAND()*((E12)-(D12))/((E12)-(C12))))</f>
        <v>0.14068204954591215</v>
      </c>
      <c r="H770" s="72">
        <f t="shared" ca="1" si="22"/>
        <v>263765499.6775001</v>
      </c>
      <c r="I770" s="73">
        <f t="shared" ca="1" si="23"/>
        <v>302.8690444305592</v>
      </c>
    </row>
    <row r="771" spans="1:9" ht="16.05" customHeight="1" x14ac:dyDescent="0.3">
      <c r="A771" s="66">
        <v>755</v>
      </c>
      <c r="B771" s="67">
        <f ca="1">(C7)+(E7-C7)*IF(RAND()&lt;((D7)-(C7))/((E7)-(C7)),SQRT(RAND()*((D7)-(C7))/((E7)-(C7))),1-SQRT(RAND()*((E7)-(D7))/((E7)-(C7))))</f>
        <v>0.22121940672817234</v>
      </c>
      <c r="C771" s="67">
        <f ca="1">(C8)+(E8-C8)*IF(RAND()&lt;((D8)-(C8))/((E8)-(C8)),SQRT(RAND()*((D8)-(C8))/((E8)-(C8))),1-SQRT(RAND()*((E8)-(D8))/((E8)-(C8))))</f>
        <v>0.61661022938658405</v>
      </c>
      <c r="D771" s="68">
        <f ca="1">(C9)+(E9-C9)*IF(RAND()&lt;((D9)-(C9))/((E9)-(C9)),SQRT(RAND()*((D9)-(C9))/((E9)-(C9))),1-SQRT(RAND()*((E9)-(D9))/((E9)-(C9))))</f>
        <v>1187558.4922383679</v>
      </c>
      <c r="E771" s="68">
        <f ca="1">(C10)+(E10-C10)*IF(RAND()&lt;((D10)-(C10))/((E10)-(C10)),SQRT(RAND()*((D10)-(C10))/((E10)-(C10))),1-SQRT(RAND()*((E10)-(D10))/((E10)-(C10))))</f>
        <v>3160746.0434011817</v>
      </c>
      <c r="F771" s="67">
        <f ca="1">(C11)+(E11-C11)*IF(RAND()&lt;((D11)-(C11))/((E11)-(C11)),SQRT(RAND()*((D11)-(C11))/((E11)-(C11))),1-SQRT(RAND()*((E11)-(D11))/((E11)-(C11))))</f>
        <v>7.6086968652401806E-3</v>
      </c>
      <c r="G771" s="67">
        <f ca="1">(C12)+(E12-C12)*IF(RAND()&lt;((D12)-(C12))/((E12)-(C12)),SQRT(RAND()*((D12)-(C12))/((E12)-(C12))),1-SQRT(RAND()*((E12)-(D12))/((E12)-(C12))))</f>
        <v>0.15948048765810294</v>
      </c>
      <c r="H771" s="68">
        <f t="shared" ca="1" si="22"/>
        <v>190151560.57561815</v>
      </c>
      <c r="I771" s="69">
        <f t="shared" ca="1" si="23"/>
        <v>212.51491154953146</v>
      </c>
    </row>
    <row r="772" spans="1:9" ht="16.05" customHeight="1" x14ac:dyDescent="0.3">
      <c r="A772" s="70">
        <v>756</v>
      </c>
      <c r="B772" s="71">
        <f ca="1">(C7)+(E7-C7)*IF(RAND()&lt;((D7)-(C7))/((E7)-(C7)),SQRT(RAND()*((D7)-(C7))/((E7)-(C7))),1-SQRT(RAND()*((E7)-(D7))/((E7)-(C7))))</f>
        <v>0.24698714565181704</v>
      </c>
      <c r="C772" s="71">
        <f ca="1">(C8)+(E8-C8)*IF(RAND()&lt;((D8)-(C8))/((E8)-(C8)),SQRT(RAND()*((D8)-(C8))/((E8)-(C8))),1-SQRT(RAND()*((E8)-(D8))/((E8)-(C8))))</f>
        <v>0.84148541083466588</v>
      </c>
      <c r="D772" s="72">
        <f ca="1">(C9)+(E9-C9)*IF(RAND()&lt;((D9)-(C9))/((E9)-(C9)),SQRT(RAND()*((D9)-(C9))/((E9)-(C9))),1-SQRT(RAND()*((E9)-(D9))/((E9)-(C9))))</f>
        <v>1278887.1027905231</v>
      </c>
      <c r="E772" s="72">
        <f ca="1">(C10)+(E10-C10)*IF(RAND()&lt;((D10)-(C10))/((E10)-(C10)),SQRT(RAND()*((D10)-(C10))/((E10)-(C10))),1-SQRT(RAND()*((E10)-(D10))/((E10)-(C10))))</f>
        <v>4259703.6402176451</v>
      </c>
      <c r="F772" s="71">
        <f ca="1">(C11)+(E11-C11)*IF(RAND()&lt;((D11)-(C11))/((E11)-(C11)),SQRT(RAND()*((D11)-(C11))/((E11)-(C11))),1-SQRT(RAND()*((E11)-(D11))/((E11)-(C11))))</f>
        <v>6.7860454524936243E-3</v>
      </c>
      <c r="G772" s="71">
        <f ca="1">(C12)+(E12-C12)*IF(RAND()&lt;((D12)-(C12))/((E12)-(C12)),SQRT(RAND()*((D12)-(C12))/((E12)-(C12))),1-SQRT(RAND()*((E12)-(D12))/((E12)-(C12))))</f>
        <v>0.19295349737361051</v>
      </c>
      <c r="H772" s="72">
        <f t="shared" ca="1" si="22"/>
        <v>257669308.98292065</v>
      </c>
      <c r="I772" s="73">
        <f t="shared" ca="1" si="23"/>
        <v>267.06767796274829</v>
      </c>
    </row>
    <row r="773" spans="1:9" ht="16.05" customHeight="1" x14ac:dyDescent="0.3">
      <c r="A773" s="66">
        <v>757</v>
      </c>
      <c r="B773" s="67">
        <f ca="1">(C7)+(E7-C7)*IF(RAND()&lt;((D7)-(C7))/((E7)-(C7)),SQRT(RAND()*((D7)-(C7))/((E7)-(C7))),1-SQRT(RAND()*((E7)-(D7))/((E7)-(C7))))</f>
        <v>0.16783746330052884</v>
      </c>
      <c r="C773" s="67">
        <f ca="1">(C8)+(E8-C8)*IF(RAND()&lt;((D8)-(C8))/((E8)-(C8)),SQRT(RAND()*((D8)-(C8))/((E8)-(C8))),1-SQRT(RAND()*((E8)-(D8))/((E8)-(C8))))</f>
        <v>0.73958115314487471</v>
      </c>
      <c r="D773" s="68">
        <f ca="1">(C9)+(E9-C9)*IF(RAND()&lt;((D9)-(C9))/((E9)-(C9)),SQRT(RAND()*((D9)-(C9))/((E9)-(C9))),1-SQRT(RAND()*((E9)-(D9))/((E9)-(C9))))</f>
        <v>1278403.0152387077</v>
      </c>
      <c r="E773" s="68">
        <f ca="1">(C10)+(E10-C10)*IF(RAND()&lt;((D10)-(C10))/((E10)-(C10)),SQRT(RAND()*((D10)-(C10))/((E10)-(C10))),1-SQRT(RAND()*((E10)-(D10))/((E10)-(C10))))</f>
        <v>4672873.7160917139</v>
      </c>
      <c r="F773" s="67">
        <f ca="1">(C11)+(E11-C11)*IF(RAND()&lt;((D11)-(C11))/((E11)-(C11)),SQRT(RAND()*((D11)-(C11))/((E11)-(C11))),1-SQRT(RAND()*((E11)-(D11))/((E11)-(C11))))</f>
        <v>1.0520130816983072E-2</v>
      </c>
      <c r="G773" s="67">
        <f ca="1">(C12)+(E12-C12)*IF(RAND()&lt;((D12)-(C12))/((E12)-(C12)),SQRT(RAND()*((D12)-(C12))/((E12)-(C12))),1-SQRT(RAND()*((E12)-(D12))/((E12)-(C12))))</f>
        <v>0.17943312940776085</v>
      </c>
      <c r="H773" s="68">
        <f t="shared" ca="1" si="22"/>
        <v>191985763.4204289</v>
      </c>
      <c r="I773" s="69">
        <f t="shared" ca="1" si="23"/>
        <v>199.3995618983495</v>
      </c>
    </row>
    <row r="774" spans="1:9" ht="16.05" customHeight="1" x14ac:dyDescent="0.3">
      <c r="A774" s="70">
        <v>758</v>
      </c>
      <c r="B774" s="71">
        <f ca="1">(C7)+(E7-C7)*IF(RAND()&lt;((D7)-(C7))/((E7)-(C7)),SQRT(RAND()*((D7)-(C7))/((E7)-(C7))),1-SQRT(RAND()*((E7)-(D7))/((E7)-(C7))))</f>
        <v>0.29461499594406881</v>
      </c>
      <c r="C774" s="71">
        <f ca="1">(C8)+(E8-C8)*IF(RAND()&lt;((D8)-(C8))/((E8)-(C8)),SQRT(RAND()*((D8)-(C8))/((E8)-(C8))),1-SQRT(RAND()*((E8)-(D8))/((E8)-(C8))))</f>
        <v>0.84276650221370164</v>
      </c>
      <c r="D774" s="72">
        <f ca="1">(C9)+(E9-C9)*IF(RAND()&lt;((D9)-(C9))/((E9)-(C9)),SQRT(RAND()*((D9)-(C9))/((E9)-(C9))),1-SQRT(RAND()*((E9)-(D9))/((E9)-(C9))))</f>
        <v>1315255.4957229663</v>
      </c>
      <c r="E774" s="72">
        <f ca="1">(C10)+(E10-C10)*IF(RAND()&lt;((D10)-(C10))/((E10)-(C10)),SQRT(RAND()*((D10)-(C10))/((E10)-(C10))),1-SQRT(RAND()*((E10)-(D10))/((E10)-(C10))))</f>
        <v>4135957.2697122963</v>
      </c>
      <c r="F774" s="71">
        <f ca="1">(C11)+(E11-C11)*IF(RAND()&lt;((D11)-(C11))/((E11)-(C11)),SQRT(RAND()*((D11)-(C11))/((E11)-(C11))),1-SQRT(RAND()*((E11)-(D11))/((E11)-(C11))))</f>
        <v>2.7257354634219227E-2</v>
      </c>
      <c r="G774" s="71">
        <f ca="1">(C12)+(E12-C12)*IF(RAND()&lt;((D12)-(C12))/((E12)-(C12)),SQRT(RAND()*((D12)-(C12))/((E12)-(C12))),1-SQRT(RAND()*((E12)-(D12))/((E12)-(C12))))</f>
        <v>0.1754523005420639</v>
      </c>
      <c r="H774" s="72">
        <f t="shared" ca="1" si="22"/>
        <v>449870817.39435863</v>
      </c>
      <c r="I774" s="73">
        <f t="shared" ca="1" si="23"/>
        <v>452.4662690447617</v>
      </c>
    </row>
    <row r="775" spans="1:9" ht="16.05" customHeight="1" x14ac:dyDescent="0.3">
      <c r="A775" s="66">
        <v>759</v>
      </c>
      <c r="B775" s="67">
        <f ca="1">(C7)+(E7-C7)*IF(RAND()&lt;((D7)-(C7))/((E7)-(C7)),SQRT(RAND()*((D7)-(C7))/((E7)-(C7))),1-SQRT(RAND()*((E7)-(D7))/((E7)-(C7))))</f>
        <v>0.27012640748445715</v>
      </c>
      <c r="C775" s="67">
        <f ca="1">(C8)+(E8-C8)*IF(RAND()&lt;((D8)-(C8))/((E8)-(C8)),SQRT(RAND()*((D8)-(C8))/((E8)-(C8))),1-SQRT(RAND()*((E8)-(D8))/((E8)-(C8))))</f>
        <v>0.54869678648781106</v>
      </c>
      <c r="D775" s="68">
        <f ca="1">(C9)+(E9-C9)*IF(RAND()&lt;((D9)-(C9))/((E9)-(C9)),SQRT(RAND()*((D9)-(C9))/((E9)-(C9))),1-SQRT(RAND()*((E9)-(D9))/((E9)-(C9))))</f>
        <v>1129439.0761966507</v>
      </c>
      <c r="E775" s="68">
        <f ca="1">(C10)+(E10-C10)*IF(RAND()&lt;((D10)-(C10))/((E10)-(C10)),SQRT(RAND()*((D10)-(C10))/((E10)-(C10))),1-SQRT(RAND()*((E10)-(D10))/((E10)-(C10))))</f>
        <v>3325600.7023896687</v>
      </c>
      <c r="F775" s="67">
        <f ca="1">(C11)+(E11-C11)*IF(RAND()&lt;((D11)-(C11))/((E11)-(C11)),SQRT(RAND()*((D11)-(C11))/((E11)-(C11))),1-SQRT(RAND()*((E11)-(D11))/((E11)-(C11))))</f>
        <v>1.0388126562079615E-2</v>
      </c>
      <c r="G775" s="67">
        <f ca="1">(C12)+(E12-C12)*IF(RAND()&lt;((D12)-(C12))/((E12)-(C12)),SQRT(RAND()*((D12)-(C12))/((E12)-(C12))),1-SQRT(RAND()*((E12)-(D12))/((E12)-(C12))))</f>
        <v>0.191683004229352</v>
      </c>
      <c r="H775" s="68">
        <f t="shared" ca="1" si="22"/>
        <v>222495942.86919367</v>
      </c>
      <c r="I775" s="69">
        <f t="shared" ca="1" si="23"/>
        <v>261.15535420294503</v>
      </c>
    </row>
    <row r="776" spans="1:9" ht="16.05" customHeight="1" x14ac:dyDescent="0.3">
      <c r="A776" s="70">
        <v>760</v>
      </c>
      <c r="B776" s="71">
        <f ca="1">(C7)+(E7-C7)*IF(RAND()&lt;((D7)-(C7))/((E7)-(C7)),SQRT(RAND()*((D7)-(C7))/((E7)-(C7))),1-SQRT(RAND()*((E7)-(D7))/((E7)-(C7))))</f>
        <v>0.28160111252788067</v>
      </c>
      <c r="C776" s="71">
        <f ca="1">(C8)+(E8-C8)*IF(RAND()&lt;((D8)-(C8))/((E8)-(C8)),SQRT(RAND()*((D8)-(C8))/((E8)-(C8))),1-SQRT(RAND()*((E8)-(D8))/((E8)-(C8))))</f>
        <v>0.74928350498819496</v>
      </c>
      <c r="D776" s="72">
        <f ca="1">(C9)+(E9-C9)*IF(RAND()&lt;((D9)-(C9))/((E9)-(C9)),SQRT(RAND()*((D9)-(C9))/((E9)-(C9))),1-SQRT(RAND()*((E9)-(D9))/((E9)-(C9))))</f>
        <v>1306318.2110187525</v>
      </c>
      <c r="E776" s="72">
        <f ca="1">(C10)+(E10-C10)*IF(RAND()&lt;((D10)-(C10))/((E10)-(C10)),SQRT(RAND()*((D10)-(C10))/((E10)-(C10))),1-SQRT(RAND()*((E10)-(D10))/((E10)-(C10))))</f>
        <v>3611854.1057060184</v>
      </c>
      <c r="F776" s="71">
        <f ca="1">(C11)+(E11-C11)*IF(RAND()&lt;((D11)-(C11))/((E11)-(C11)),SQRT(RAND()*((D11)-(C11))/((E11)-(C11))),1-SQRT(RAND()*((E11)-(D11))/((E11)-(C11))))</f>
        <v>1.2470920830074915E-2</v>
      </c>
      <c r="G776" s="71">
        <f ca="1">(C12)+(E12-C12)*IF(RAND()&lt;((D12)-(C12))/((E12)-(C12)),SQRT(RAND()*((D12)-(C12))/((E12)-(C12))),1-SQRT(RAND()*((E12)-(D12))/((E12)-(C12))))</f>
        <v>0.15466526669484942</v>
      </c>
      <c r="H776" s="72">
        <f t="shared" ca="1" si="22"/>
        <v>304570415.717058</v>
      </c>
      <c r="I776" s="73">
        <f t="shared" ca="1" si="23"/>
        <v>308.84324800549268</v>
      </c>
    </row>
    <row r="777" spans="1:9" ht="16.05" customHeight="1" x14ac:dyDescent="0.3">
      <c r="A777" s="66">
        <v>761</v>
      </c>
      <c r="B777" s="67">
        <f ca="1">(C7)+(E7-C7)*IF(RAND()&lt;((D7)-(C7))/((E7)-(C7)),SQRT(RAND()*((D7)-(C7))/((E7)-(C7))),1-SQRT(RAND()*((E7)-(D7))/((E7)-(C7))))</f>
        <v>0.23025319169199504</v>
      </c>
      <c r="C777" s="67">
        <f ca="1">(C8)+(E8-C8)*IF(RAND()&lt;((D8)-(C8))/((E8)-(C8)),SQRT(RAND()*((D8)-(C8))/((E8)-(C8))),1-SQRT(RAND()*((E8)-(D8))/((E8)-(C8))))</f>
        <v>0.68145813303438085</v>
      </c>
      <c r="D777" s="68">
        <f ca="1">(C9)+(E9-C9)*IF(RAND()&lt;((D9)-(C9))/((E9)-(C9)),SQRT(RAND()*((D9)-(C9))/((E9)-(C9))),1-SQRT(RAND()*((E9)-(D9))/((E9)-(C9))))</f>
        <v>1298120.3692987657</v>
      </c>
      <c r="E777" s="68">
        <f ca="1">(C10)+(E10-C10)*IF(RAND()&lt;((D10)-(C10))/((E10)-(C10)),SQRT(RAND()*((D10)-(C10))/((E10)-(C10))),1-SQRT(RAND()*((E10)-(D10))/((E10)-(C10))))</f>
        <v>4469257.7752603088</v>
      </c>
      <c r="F777" s="67">
        <f ca="1">(C11)+(E11-C11)*IF(RAND()&lt;((D11)-(C11))/((E11)-(C11)),SQRT(RAND()*((D11)-(C11))/((E11)-(C11))),1-SQRT(RAND()*((E11)-(D11))/((E11)-(C11))))</f>
        <v>7.0357852052981727E-3</v>
      </c>
      <c r="G777" s="67">
        <f ca="1">(C12)+(E12-C12)*IF(RAND()&lt;((D12)-(C12))/((E12)-(C12)),SQRT(RAND()*((D12)-(C12))/((E12)-(C12))),1-SQRT(RAND()*((E12)-(D12))/((E12)-(C12))))</f>
        <v>0.16291717314218229</v>
      </c>
      <c r="H777" s="68">
        <f t="shared" ca="1" si="22"/>
        <v>203250639.16392469</v>
      </c>
      <c r="I777" s="69">
        <f t="shared" ca="1" si="23"/>
        <v>207.83684140825454</v>
      </c>
    </row>
    <row r="778" spans="1:9" ht="16.05" customHeight="1" x14ac:dyDescent="0.3">
      <c r="A778" s="70">
        <v>762</v>
      </c>
      <c r="B778" s="71">
        <f ca="1">(C7)+(E7-C7)*IF(RAND()&lt;((D7)-(C7))/((E7)-(C7)),SQRT(RAND()*((D7)-(C7))/((E7)-(C7))),1-SQRT(RAND()*((E7)-(D7))/((E7)-(C7))))</f>
        <v>0.37477177628915137</v>
      </c>
      <c r="C778" s="71">
        <f ca="1">(C8)+(E8-C8)*IF(RAND()&lt;((D8)-(C8))/((E8)-(C8)),SQRT(RAND()*((D8)-(C8))/((E8)-(C8))),1-SQRT(RAND()*((E8)-(D8))/((E8)-(C8))))</f>
        <v>0.61452325351612092</v>
      </c>
      <c r="D778" s="72">
        <f ca="1">(C9)+(E9-C9)*IF(RAND()&lt;((D9)-(C9))/((E9)-(C9)),SQRT(RAND()*((D9)-(C9))/((E9)-(C9))),1-SQRT(RAND()*((E9)-(D9))/((E9)-(C9))))</f>
        <v>1175101.0399659721</v>
      </c>
      <c r="E778" s="72">
        <f ca="1">(C10)+(E10-C10)*IF(RAND()&lt;((D10)-(C10))/((E10)-(C10)),SQRT(RAND()*((D10)-(C10))/((E10)-(C10))),1-SQRT(RAND()*((E10)-(D10))/((E10)-(C10))))</f>
        <v>3814745.9808955016</v>
      </c>
      <c r="F778" s="71">
        <f ca="1">(C11)+(E11-C11)*IF(RAND()&lt;((D11)-(C11))/((E11)-(C11)),SQRT(RAND()*((D11)-(C11))/((E11)-(C11))),1-SQRT(RAND()*((E11)-(D11))/((E11)-(C11))))</f>
        <v>6.0713468661664103E-3</v>
      </c>
      <c r="G778" s="71">
        <f ca="1">(C12)+(E12-C12)*IF(RAND()&lt;((D12)-(C12))/((E12)-(C12)),SQRT(RAND()*((D12)-(C12))/((E12)-(C12))),1-SQRT(RAND()*((E12)-(D12))/((E12)-(C12))))</f>
        <v>0.12741659664887292</v>
      </c>
      <c r="H778" s="72">
        <f t="shared" ca="1" si="22"/>
        <v>278747633.59115976</v>
      </c>
      <c r="I778" s="73">
        <f t="shared" ca="1" si="23"/>
        <v>314.19813999571159</v>
      </c>
    </row>
    <row r="779" spans="1:9" ht="16.05" customHeight="1" x14ac:dyDescent="0.3">
      <c r="A779" s="66">
        <v>763</v>
      </c>
      <c r="B779" s="67">
        <f ca="1">(C7)+(E7-C7)*IF(RAND()&lt;((D7)-(C7))/((E7)-(C7)),SQRT(RAND()*((D7)-(C7))/((E7)-(C7))),1-SQRT(RAND()*((E7)-(D7))/((E7)-(C7))))</f>
        <v>0.27054499951365907</v>
      </c>
      <c r="C779" s="67">
        <f ca="1">(C8)+(E8-C8)*IF(RAND()&lt;((D8)-(C8))/((E8)-(C8)),SQRT(RAND()*((D8)-(C8))/((E8)-(C8))),1-SQRT(RAND()*((E8)-(D8))/((E8)-(C8))))</f>
        <v>0.67268287515438763</v>
      </c>
      <c r="D779" s="68">
        <f ca="1">(C9)+(E9-C9)*IF(RAND()&lt;((D9)-(C9))/((E9)-(C9)),SQRT(RAND()*((D9)-(C9))/((E9)-(C9))),1-SQRT(RAND()*((E9)-(D9))/((E9)-(C9))))</f>
        <v>1247599.7419528959</v>
      </c>
      <c r="E779" s="68">
        <f ca="1">(C10)+(E10-C10)*IF(RAND()&lt;((D10)-(C10))/((E10)-(C10)),SQRT(RAND()*((D10)-(C10))/((E10)-(C10))),1-SQRT(RAND()*((E10)-(D10))/((E10)-(C10))))</f>
        <v>3670576.5766495191</v>
      </c>
      <c r="F779" s="67">
        <f ca="1">(C11)+(E11-C11)*IF(RAND()&lt;((D11)-(C11))/((E11)-(C11)),SQRT(RAND()*((D11)-(C11))/((E11)-(C11))),1-SQRT(RAND()*((E11)-(D11))/((E11)-(C11))))</f>
        <v>1.7281493992494779E-2</v>
      </c>
      <c r="G779" s="67">
        <f ca="1">(C12)+(E12-C12)*IF(RAND()&lt;((D12)-(C12))/((E12)-(C12)),SQRT(RAND()*((D12)-(C12))/((E12)-(C12))),1-SQRT(RAND()*((E12)-(D12))/((E12)-(C12))))</f>
        <v>0.1560372820248464</v>
      </c>
      <c r="H779" s="68">
        <f t="shared" ca="1" si="22"/>
        <v>307568092.25544047</v>
      </c>
      <c r="I779" s="69">
        <f t="shared" ca="1" si="23"/>
        <v>326.48612707822326</v>
      </c>
    </row>
    <row r="780" spans="1:9" ht="16.05" customHeight="1" x14ac:dyDescent="0.3">
      <c r="A780" s="70">
        <v>764</v>
      </c>
      <c r="B780" s="71">
        <f ca="1">(C7)+(E7-C7)*IF(RAND()&lt;((D7)-(C7))/((E7)-(C7)),SQRT(RAND()*((D7)-(C7))/((E7)-(C7))),1-SQRT(RAND()*((E7)-(D7))/((E7)-(C7))))</f>
        <v>0.28213853845910086</v>
      </c>
      <c r="C780" s="71">
        <f ca="1">(C8)+(E8-C8)*IF(RAND()&lt;((D8)-(C8))/((E8)-(C8)),SQRT(RAND()*((D8)-(C8))/((E8)-(C8))),1-SQRT(RAND()*((E8)-(D8))/((E8)-(C8))))</f>
        <v>0.63216345746604674</v>
      </c>
      <c r="D780" s="72">
        <f ca="1">(C9)+(E9-C9)*IF(RAND()&lt;((D9)-(C9))/((E9)-(C9)),SQRT(RAND()*((D9)-(C9))/((E9)-(C9))),1-SQRT(RAND()*((E9)-(D9))/((E9)-(C9))))</f>
        <v>1266168.1638653628</v>
      </c>
      <c r="E780" s="72">
        <f ca="1">(C10)+(E10-C10)*IF(RAND()&lt;((D10)-(C10))/((E10)-(C10)),SQRT(RAND()*((D10)-(C10))/((E10)-(C10))),1-SQRT(RAND()*((E10)-(D10))/((E10)-(C10))))</f>
        <v>3153090.0827039289</v>
      </c>
      <c r="F780" s="71">
        <f ca="1">(C11)+(E11-C11)*IF(RAND()&lt;((D11)-(C11))/((E11)-(C11)),SQRT(RAND()*((D11)-(C11))/((E11)-(C11))),1-SQRT(RAND()*((E11)-(D11))/((E11)-(C11))))</f>
        <v>2.0676609439803803E-2</v>
      </c>
      <c r="G780" s="71">
        <f ca="1">(C12)+(E12-C12)*IF(RAND()&lt;((D12)-(C12))/((E12)-(C12)),SQRT(RAND()*((D12)-(C12))/((E12)-(C12))),1-SQRT(RAND()*((E12)-(D12))/((E12)-(C12))))</f>
        <v>0.15088406754333891</v>
      </c>
      <c r="H780" s="72">
        <f t="shared" ca="1" si="22"/>
        <v>330063101.74780881</v>
      </c>
      <c r="I780" s="73">
        <f t="shared" ca="1" si="23"/>
        <v>345.15094128348289</v>
      </c>
    </row>
    <row r="781" spans="1:9" ht="16.05" customHeight="1" x14ac:dyDescent="0.3">
      <c r="A781" s="66">
        <v>765</v>
      </c>
      <c r="B781" s="67">
        <f ca="1">(C7)+(E7-C7)*IF(RAND()&lt;((D7)-(C7))/((E7)-(C7)),SQRT(RAND()*((D7)-(C7))/((E7)-(C7))),1-SQRT(RAND()*((E7)-(D7))/((E7)-(C7))))</f>
        <v>0.34774039697764414</v>
      </c>
      <c r="C781" s="67">
        <f ca="1">(C8)+(E8-C8)*IF(RAND()&lt;((D8)-(C8))/((E8)-(C8)),SQRT(RAND()*((D8)-(C8))/((E8)-(C8))),1-SQRT(RAND()*((E8)-(D8))/((E8)-(C8))))</f>
        <v>0.8524133579170341</v>
      </c>
      <c r="D781" s="68">
        <f ca="1">(C9)+(E9-C9)*IF(RAND()&lt;((D9)-(C9))/((E9)-(C9)),SQRT(RAND()*((D9)-(C9))/((E9)-(C9))),1-SQRT(RAND()*((E9)-(D9))/((E9)-(C9))))</f>
        <v>1268744.9575162549</v>
      </c>
      <c r="E781" s="68">
        <f ca="1">(C10)+(E10-C10)*IF(RAND()&lt;((D10)-(C10))/((E10)-(C10)),SQRT(RAND()*((D10)-(C10))/((E10)-(C10))),1-SQRT(RAND()*((E10)-(D10))/((E10)-(C10))))</f>
        <v>3486369.6512898095</v>
      </c>
      <c r="F781" s="67">
        <f ca="1">(C11)+(E11-C11)*IF(RAND()&lt;((D11)-(C11))/((E11)-(C11)),SQRT(RAND()*((D11)-(C11))/((E11)-(C11))),1-SQRT(RAND()*((E11)-(D11))/((E11)-(C11))))</f>
        <v>1.395357784054221E-2</v>
      </c>
      <c r="G781" s="67">
        <f ca="1">(C12)+(E12-C12)*IF(RAND()&lt;((D12)-(C12))/((E12)-(C12)),SQRT(RAND()*((D12)-(C12))/((E12)-(C12))),1-SQRT(RAND()*((E12)-(D12))/((E12)-(C12))))</f>
        <v>0.16280670197481667</v>
      </c>
      <c r="H781" s="68">
        <f t="shared" ca="1" si="22"/>
        <v>408717615.7896682</v>
      </c>
      <c r="I781" s="69">
        <f t="shared" ca="1" si="23"/>
        <v>426.22186785687086</v>
      </c>
    </row>
    <row r="782" spans="1:9" ht="16.05" customHeight="1" x14ac:dyDescent="0.3">
      <c r="A782" s="70">
        <v>766</v>
      </c>
      <c r="B782" s="71">
        <f ca="1">(C7)+(E7-C7)*IF(RAND()&lt;((D7)-(C7))/((E7)-(C7)),SQRT(RAND()*((D7)-(C7))/((E7)-(C7))),1-SQRT(RAND()*((E7)-(D7))/((E7)-(C7))))</f>
        <v>0.21750298766351828</v>
      </c>
      <c r="C782" s="71">
        <f ca="1">(C8)+(E8-C8)*IF(RAND()&lt;((D8)-(C8))/((E8)-(C8)),SQRT(RAND()*((D8)-(C8))/((E8)-(C8))),1-SQRT(RAND()*((E8)-(D8))/((E8)-(C8))))</f>
        <v>0.67838441725900978</v>
      </c>
      <c r="D782" s="72">
        <f ca="1">(C9)+(E9-C9)*IF(RAND()&lt;((D9)-(C9))/((E9)-(C9)),SQRT(RAND()*((D9)-(C9))/((E9)-(C9))),1-SQRT(RAND()*((E9)-(D9))/((E9)-(C9))))</f>
        <v>1244191.1961745296</v>
      </c>
      <c r="E782" s="72">
        <f ca="1">(C10)+(E10-C10)*IF(RAND()&lt;((D10)-(C10))/((E10)-(C10)),SQRT(RAND()*((D10)-(C10))/((E10)-(C10))),1-SQRT(RAND()*((E10)-(D10))/((E10)-(C10))))</f>
        <v>3378639.0968773849</v>
      </c>
      <c r="F782" s="71">
        <f ca="1">(C11)+(E11-C11)*IF(RAND()&lt;((D11)-(C11))/((E11)-(C11)),SQRT(RAND()*((D11)-(C11))/((E11)-(C11))),1-SQRT(RAND()*((E11)-(D11))/((E11)-(C11))))</f>
        <v>1.5238554731816156E-2</v>
      </c>
      <c r="G782" s="71">
        <f ca="1">(C12)+(E12-C12)*IF(RAND()&lt;((D12)-(C12))/((E12)-(C12)),SQRT(RAND()*((D12)-(C12))/((E12)-(C12))),1-SQRT(RAND()*((E12)-(D12))/((E12)-(C12))))</f>
        <v>0.13687073821727866</v>
      </c>
      <c r="H782" s="72">
        <f t="shared" ca="1" si="22"/>
        <v>256463357.34126732</v>
      </c>
      <c r="I782" s="73">
        <f t="shared" ca="1" si="23"/>
        <v>273.19998041695834</v>
      </c>
    </row>
    <row r="783" spans="1:9" ht="16.05" customHeight="1" x14ac:dyDescent="0.3">
      <c r="A783" s="66">
        <v>767</v>
      </c>
      <c r="B783" s="67">
        <f ca="1">(C7)+(E7-C7)*IF(RAND()&lt;((D7)-(C7))/((E7)-(C7)),SQRT(RAND()*((D7)-(C7))/((E7)-(C7))),1-SQRT(RAND()*((E7)-(D7))/((E7)-(C7))))</f>
        <v>0.32913412239306838</v>
      </c>
      <c r="C783" s="67">
        <f ca="1">(C8)+(E8-C8)*IF(RAND()&lt;((D8)-(C8))/((E8)-(C8)),SQRT(RAND()*((D8)-(C8))/((E8)-(C8))),1-SQRT(RAND()*((E8)-(D8))/((E8)-(C8))))</f>
        <v>0.82050928031352965</v>
      </c>
      <c r="D783" s="68">
        <f ca="1">(C9)+(E9-C9)*IF(RAND()&lt;((D9)-(C9))/((E9)-(C9)),SQRT(RAND()*((D9)-(C9))/((E9)-(C9))),1-SQRT(RAND()*((E9)-(D9))/((E9)-(C9))))</f>
        <v>1312323.2228997271</v>
      </c>
      <c r="E783" s="68">
        <f ca="1">(C10)+(E10-C10)*IF(RAND()&lt;((D10)-(C10))/((E10)-(C10)),SQRT(RAND()*((D10)-(C10))/((E10)-(C10))),1-SQRT(RAND()*((E10)-(D10))/((E10)-(C10))))</f>
        <v>3045389.5925548952</v>
      </c>
      <c r="F783" s="67">
        <f ca="1">(C11)+(E11-C11)*IF(RAND()&lt;((D11)-(C11))/((E11)-(C11)),SQRT(RAND()*((D11)-(C11))/((E11)-(C11))),1-SQRT(RAND()*((E11)-(D11))/((E11)-(C11))))</f>
        <v>1.3473858497836748E-2</v>
      </c>
      <c r="G783" s="67">
        <f ca="1">(C12)+(E12-C12)*IF(RAND()&lt;((D12)-(C12))/((E12)-(C12)),SQRT(RAND()*((D12)-(C12))/((E12)-(C12))),1-SQRT(RAND()*((E12)-(D12))/((E12)-(C12))))</f>
        <v>0.16597617330060677</v>
      </c>
      <c r="H783" s="68">
        <f t="shared" ca="1" si="22"/>
        <v>378203691.97379035</v>
      </c>
      <c r="I783" s="69">
        <f t="shared" ca="1" si="23"/>
        <v>381.44325644459309</v>
      </c>
    </row>
    <row r="784" spans="1:9" ht="16.05" customHeight="1" x14ac:dyDescent="0.3">
      <c r="A784" s="70">
        <v>768</v>
      </c>
      <c r="B784" s="71">
        <f ca="1">(C7)+(E7-C7)*IF(RAND()&lt;((D7)-(C7))/((E7)-(C7)),SQRT(RAND()*((D7)-(C7))/((E7)-(C7))),1-SQRT(RAND()*((E7)-(D7))/((E7)-(C7))))</f>
        <v>0.28564799558843079</v>
      </c>
      <c r="C784" s="71">
        <f ca="1">(C8)+(E8-C8)*IF(RAND()&lt;((D8)-(C8))/((E8)-(C8)),SQRT(RAND()*((D8)-(C8))/((E8)-(C8))),1-SQRT(RAND()*((E8)-(D8))/((E8)-(C8))))</f>
        <v>0.80844406026483839</v>
      </c>
      <c r="D784" s="72">
        <f ca="1">(C9)+(E9-C9)*IF(RAND()&lt;((D9)-(C9))/((E9)-(C9)),SQRT(RAND()*((D9)-(C9))/((E9)-(C9))),1-SQRT(RAND()*((E9)-(D9))/((E9)-(C9))))</f>
        <v>1103021.6924523101</v>
      </c>
      <c r="E784" s="72">
        <f ca="1">(C10)+(E10-C10)*IF(RAND()&lt;((D10)-(C10))/((E10)-(C10)),SQRT(RAND()*((D10)-(C10))/((E10)-(C10))),1-SQRT(RAND()*((E10)-(D10))/((E10)-(C10))))</f>
        <v>2755979.8730157753</v>
      </c>
      <c r="F784" s="71">
        <f ca="1">(C11)+(E11-C11)*IF(RAND()&lt;((D11)-(C11))/((E11)-(C11)),SQRT(RAND()*((D11)-(C11))/((E11)-(C11))),1-SQRT(RAND()*((E11)-(D11))/((E11)-(C11))))</f>
        <v>1.5655238397534587E-2</v>
      </c>
      <c r="G784" s="71">
        <f ca="1">(C12)+(E12-C12)*IF(RAND()&lt;((D12)-(C12))/((E12)-(C12)),SQRT(RAND()*((D12)-(C12))/((E12)-(C12))),1-SQRT(RAND()*((E12)-(D12))/((E12)-(C12))))</f>
        <v>0.17820836287481279</v>
      </c>
      <c r="H784" s="72">
        <f t="shared" ca="1" si="22"/>
        <v>352685899.38838899</v>
      </c>
      <c r="I784" s="73">
        <f t="shared" ca="1" si="23"/>
        <v>423.05888792958615</v>
      </c>
    </row>
    <row r="785" spans="1:9" ht="16.05" customHeight="1" x14ac:dyDescent="0.3">
      <c r="A785" s="66">
        <v>769</v>
      </c>
      <c r="B785" s="67">
        <f ca="1">(C7)+(E7-C7)*IF(RAND()&lt;((D7)-(C7))/((E7)-(C7)),SQRT(RAND()*((D7)-(C7))/((E7)-(C7))),1-SQRT(RAND()*((E7)-(D7))/((E7)-(C7))))</f>
        <v>0.37959822262810811</v>
      </c>
      <c r="C785" s="67">
        <f ca="1">(C8)+(E8-C8)*IF(RAND()&lt;((D8)-(C8))/((E8)-(C8)),SQRT(RAND()*((D8)-(C8))/((E8)-(C8))),1-SQRT(RAND()*((E8)-(D8))/((E8)-(C8))))</f>
        <v>0.66557885329375721</v>
      </c>
      <c r="D785" s="68">
        <f ca="1">(C9)+(E9-C9)*IF(RAND()&lt;((D9)-(C9))/((E9)-(C9)),SQRT(RAND()*((D9)-(C9))/((E9)-(C9))),1-SQRT(RAND()*((E9)-(D9))/((E9)-(C9))))</f>
        <v>1322090.7922624089</v>
      </c>
      <c r="E785" s="68">
        <f ca="1">(C10)+(E10-C10)*IF(RAND()&lt;((D10)-(C10))/((E10)-(C10)),SQRT(RAND()*((D10)-(C10))/((E10)-(C10))),1-SQRT(RAND()*((E10)-(D10))/((E10)-(C10))))</f>
        <v>3646837.760234274</v>
      </c>
      <c r="F785" s="67">
        <f ca="1">(C11)+(E11-C11)*IF(RAND()&lt;((D11)-(C11))/((E11)-(C11)),SQRT(RAND()*((D11)-(C11))/((E11)-(C11))),1-SQRT(RAND()*((E11)-(D11))/((E11)-(C11))))</f>
        <v>1.1038461602355273E-2</v>
      </c>
      <c r="G785" s="67">
        <f ca="1">(C12)+(E12-C12)*IF(RAND()&lt;((D12)-(C12))/((E12)-(C12)),SQRT(RAND()*((D12)-(C12))/((E12)-(C12))),1-SQRT(RAND()*((E12)-(D12))/((E12)-(C12))))</f>
        <v>0.17271490529281602</v>
      </c>
      <c r="H785" s="68">
        <f t="shared" ref="H785:H848" ca="1" si="24">-D785+($L$1*B785*C785+$M$1*F785-E785)*(1-(1+$N$1)^-5)/$N$1</f>
        <v>339400173.24199975</v>
      </c>
      <c r="I785" s="69">
        <f t="shared" ref="I785:I848" ca="1" si="25">($L$1*B785*C785+$M$1*F785-E785)*5/D785</f>
        <v>339.92247517703254</v>
      </c>
    </row>
    <row r="786" spans="1:9" ht="16.05" customHeight="1" x14ac:dyDescent="0.3">
      <c r="A786" s="70">
        <v>770</v>
      </c>
      <c r="B786" s="71">
        <f ca="1">(C7)+(E7-C7)*IF(RAND()&lt;((D7)-(C7))/((E7)-(C7)),SQRT(RAND()*((D7)-(C7))/((E7)-(C7))),1-SQRT(RAND()*((E7)-(D7))/((E7)-(C7))))</f>
        <v>0.25651814006990381</v>
      </c>
      <c r="C786" s="71">
        <f ca="1">(C8)+(E8-C8)*IF(RAND()&lt;((D8)-(C8))/((E8)-(C8)),SQRT(RAND()*((D8)-(C8))/((E8)-(C8))),1-SQRT(RAND()*((E8)-(D8))/((E8)-(C8))))</f>
        <v>0.66282208972369028</v>
      </c>
      <c r="D786" s="72">
        <f ca="1">(C9)+(E9-C9)*IF(RAND()&lt;((D9)-(C9))/((E9)-(C9)),SQRT(RAND()*((D9)-(C9))/((E9)-(C9))),1-SQRT(RAND()*((E9)-(D9))/((E9)-(C9))))</f>
        <v>1279609.2171768616</v>
      </c>
      <c r="E786" s="72">
        <f ca="1">(C10)+(E10-C10)*IF(RAND()&lt;((D10)-(C10))/((E10)-(C10)),SQRT(RAND()*((D10)-(C10))/((E10)-(C10))),1-SQRT(RAND()*((E10)-(D10))/((E10)-(C10))))</f>
        <v>4044574.5656267758</v>
      </c>
      <c r="F786" s="71">
        <f ca="1">(C11)+(E11-C11)*IF(RAND()&lt;((D11)-(C11))/((E11)-(C11)),SQRT(RAND()*((D11)-(C11))/((E11)-(C11))),1-SQRT(RAND()*((E11)-(D11))/((E11)-(C11))))</f>
        <v>1.0949370262349854E-2</v>
      </c>
      <c r="G786" s="71">
        <f ca="1">(C12)+(E12-C12)*IF(RAND()&lt;((D12)-(C12))/((E12)-(C12)),SQRT(RAND()*((D12)-(C12))/((E12)-(C12))),1-SQRT(RAND()*((E12)-(D12))/((E12)-(C12))))</f>
        <v>0.1596587763052304</v>
      </c>
      <c r="H786" s="72">
        <f t="shared" ca="1" si="24"/>
        <v>247397734.27644339</v>
      </c>
      <c r="I786" s="73">
        <f t="shared" ca="1" si="25"/>
        <v>256.33004148359288</v>
      </c>
    </row>
    <row r="787" spans="1:9" ht="16.05" customHeight="1" x14ac:dyDescent="0.3">
      <c r="A787" s="66">
        <v>771</v>
      </c>
      <c r="B787" s="67">
        <f ca="1">(C7)+(E7-C7)*IF(RAND()&lt;((D7)-(C7))/((E7)-(C7)),SQRT(RAND()*((D7)-(C7))/((E7)-(C7))),1-SQRT(RAND()*((E7)-(D7))/((E7)-(C7))))</f>
        <v>0.23199109420845646</v>
      </c>
      <c r="C787" s="67">
        <f ca="1">(C8)+(E8-C8)*IF(RAND()&lt;((D8)-(C8))/((E8)-(C8)),SQRT(RAND()*((D8)-(C8))/((E8)-(C8))),1-SQRT(RAND()*((E8)-(D8))/((E8)-(C8))))</f>
        <v>0.6827910829356264</v>
      </c>
      <c r="D787" s="68">
        <f ca="1">(C9)+(E9-C9)*IF(RAND()&lt;((D9)-(C9))/((E9)-(C9)),SQRT(RAND()*((D9)-(C9))/((E9)-(C9))),1-SQRT(RAND()*((E9)-(D9))/((E9)-(C9))))</f>
        <v>1112605.3289036998</v>
      </c>
      <c r="E787" s="68">
        <f ca="1">(C10)+(E10-C10)*IF(RAND()&lt;((D10)-(C10))/((E10)-(C10)),SQRT(RAND()*((D10)-(C10))/((E10)-(C10))),1-SQRT(RAND()*((E10)-(D10))/((E10)-(C10))))</f>
        <v>4628313.6003304701</v>
      </c>
      <c r="F787" s="67">
        <f ca="1">(C11)+(E11-C11)*IF(RAND()&lt;((D11)-(C11))/((E11)-(C11)),SQRT(RAND()*((D11)-(C11))/((E11)-(C11))),1-SQRT(RAND()*((E11)-(D11))/((E11)-(C11))))</f>
        <v>1.9136468032065913E-2</v>
      </c>
      <c r="G787" s="67">
        <f ca="1">(C12)+(E12-C12)*IF(RAND()&lt;((D12)-(C12))/((E12)-(C12)),SQRT(RAND()*((D12)-(C12))/((E12)-(C12))),1-SQRT(RAND()*((E12)-(D12))/((E12)-(C12))))</f>
        <v>0.15469766233452231</v>
      </c>
      <c r="H787" s="68">
        <f t="shared" ca="1" si="24"/>
        <v>291796703.6528973</v>
      </c>
      <c r="I787" s="69">
        <f t="shared" ca="1" si="25"/>
        <v>347.2423500203127</v>
      </c>
    </row>
    <row r="788" spans="1:9" ht="16.05" customHeight="1" x14ac:dyDescent="0.3">
      <c r="A788" s="70">
        <v>772</v>
      </c>
      <c r="B788" s="71">
        <f ca="1">(C7)+(E7-C7)*IF(RAND()&lt;((D7)-(C7))/((E7)-(C7)),SQRT(RAND()*((D7)-(C7))/((E7)-(C7))),1-SQRT(RAND()*((E7)-(D7))/((E7)-(C7))))</f>
        <v>0.23414223325598882</v>
      </c>
      <c r="C788" s="71">
        <f ca="1">(C8)+(E8-C8)*IF(RAND()&lt;((D8)-(C8))/((E8)-(C8)),SQRT(RAND()*((D8)-(C8))/((E8)-(C8))),1-SQRT(RAND()*((E8)-(D8))/((E8)-(C8))))</f>
        <v>0.73589829980919541</v>
      </c>
      <c r="D788" s="72">
        <f ca="1">(C9)+(E9-C9)*IF(RAND()&lt;((D9)-(C9))/((E9)-(C9)),SQRT(RAND()*((D9)-(C9))/((E9)-(C9))),1-SQRT(RAND()*((E9)-(D9))/((E9)-(C9))))</f>
        <v>1318892.7998318987</v>
      </c>
      <c r="E788" s="72">
        <f ca="1">(C10)+(E10-C10)*IF(RAND()&lt;((D10)-(C10))/((E10)-(C10)),SQRT(RAND()*((D10)-(C10))/((E10)-(C10))),1-SQRT(RAND()*((E10)-(D10))/((E10)-(C10))))</f>
        <v>4275839.0503394976</v>
      </c>
      <c r="F788" s="71">
        <f ca="1">(C11)+(E11-C11)*IF(RAND()&lt;((D11)-(C11))/((E11)-(C11)),SQRT(RAND()*((D11)-(C11))/((E11)-(C11))),1-SQRT(RAND()*((E11)-(D11))/((E11)-(C11))))</f>
        <v>1.3117242833105874E-2</v>
      </c>
      <c r="G788" s="71">
        <f ca="1">(C12)+(E12-C12)*IF(RAND()&lt;((D12)-(C12))/((E12)-(C12)),SQRT(RAND()*((D12)-(C12))/((E12)-(C12))),1-SQRT(RAND()*((E12)-(D12))/((E12)-(C12))))</f>
        <v>0.19465105792753015</v>
      </c>
      <c r="H788" s="72">
        <f t="shared" ca="1" si="24"/>
        <v>264608170.54727426</v>
      </c>
      <c r="I788" s="73">
        <f t="shared" ca="1" si="25"/>
        <v>265.9461382875561</v>
      </c>
    </row>
    <row r="789" spans="1:9" ht="16.05" customHeight="1" x14ac:dyDescent="0.3">
      <c r="A789" s="66">
        <v>773</v>
      </c>
      <c r="B789" s="67">
        <f ca="1">(C7)+(E7-C7)*IF(RAND()&lt;((D7)-(C7))/((E7)-(C7)),SQRT(RAND()*((D7)-(C7))/((E7)-(C7))),1-SQRT(RAND()*((E7)-(D7))/((E7)-(C7))))</f>
        <v>0.2242436203813423</v>
      </c>
      <c r="C789" s="67">
        <f ca="1">(C8)+(E8-C8)*IF(RAND()&lt;((D8)-(C8))/((E8)-(C8)),SQRT(RAND()*((D8)-(C8))/((E8)-(C8))),1-SQRT(RAND()*((E8)-(D8))/((E8)-(C8))))</f>
        <v>0.77705399057945368</v>
      </c>
      <c r="D789" s="68">
        <f ca="1">(C9)+(E9-C9)*IF(RAND()&lt;((D9)-(C9))/((E9)-(C9)),SQRT(RAND()*((D9)-(C9))/((E9)-(C9))),1-SQRT(RAND()*((E9)-(D9))/((E9)-(C9))))</f>
        <v>1147325.5138817586</v>
      </c>
      <c r="E789" s="68">
        <f ca="1">(C10)+(E10-C10)*IF(RAND()&lt;((D10)-(C10))/((E10)-(C10)),SQRT(RAND()*((D10)-(C10))/((E10)-(C10))),1-SQRT(RAND()*((E10)-(D10))/((E10)-(C10))))</f>
        <v>3596499.5171672991</v>
      </c>
      <c r="F789" s="67">
        <f ca="1">(C11)+(E11-C11)*IF(RAND()&lt;((D11)-(C11))/((E11)-(C11)),SQRT(RAND()*((D11)-(C11))/((E11)-(C11))),1-SQRT(RAND()*((E11)-(D11))/((E11)-(C11))))</f>
        <v>1.3915754396692214E-2</v>
      </c>
      <c r="G789" s="67">
        <f ca="1">(C12)+(E12-C12)*IF(RAND()&lt;((D12)-(C12))/((E12)-(C12)),SQRT(RAND()*((D12)-(C12))/((E12)-(C12))),1-SQRT(RAND()*((E12)-(D12))/((E12)-(C12))))</f>
        <v>0.16550668656799777</v>
      </c>
      <c r="H789" s="68">
        <f t="shared" ca="1" si="24"/>
        <v>275233913.82639885</v>
      </c>
      <c r="I789" s="69">
        <f t="shared" ca="1" si="25"/>
        <v>317.73317072947702</v>
      </c>
    </row>
    <row r="790" spans="1:9" ht="16.05" customHeight="1" x14ac:dyDescent="0.3">
      <c r="A790" s="70">
        <v>774</v>
      </c>
      <c r="B790" s="71">
        <f ca="1">(C7)+(E7-C7)*IF(RAND()&lt;((D7)-(C7))/((E7)-(C7)),SQRT(RAND()*((D7)-(C7))/((E7)-(C7))),1-SQRT(RAND()*((E7)-(D7))/((E7)-(C7))))</f>
        <v>0.22001784396245982</v>
      </c>
      <c r="C790" s="71">
        <f ca="1">(C8)+(E8-C8)*IF(RAND()&lt;((D8)-(C8))/((E8)-(C8)),SQRT(RAND()*((D8)-(C8))/((E8)-(C8))),1-SQRT(RAND()*((E8)-(D8))/((E8)-(C8))))</f>
        <v>0.79924932533146942</v>
      </c>
      <c r="D790" s="72">
        <f ca="1">(C9)+(E9-C9)*IF(RAND()&lt;((D9)-(C9))/((E9)-(C9)),SQRT(RAND()*((D9)-(C9))/((E9)-(C9))),1-SQRT(RAND()*((E9)-(D9))/((E9)-(C9))))</f>
        <v>1206453.8250323825</v>
      </c>
      <c r="E790" s="72">
        <f ca="1">(C10)+(E10-C10)*IF(RAND()&lt;((D10)-(C10))/((E10)-(C10)),SQRT(RAND()*((D10)-(C10))/((E10)-(C10))),1-SQRT(RAND()*((E10)-(D10))/((E10)-(C10))))</f>
        <v>4068504.8465913516</v>
      </c>
      <c r="F790" s="71">
        <f ca="1">(C11)+(E11-C11)*IF(RAND()&lt;((D11)-(C11))/((E11)-(C11)),SQRT(RAND()*((D11)-(C11))/((E11)-(C11))),1-SQRT(RAND()*((E11)-(D11))/((E11)-(C11))))</f>
        <v>1.0987401224902747E-2</v>
      </c>
      <c r="G790" s="71">
        <f ca="1">(C12)+(E12-C12)*IF(RAND()&lt;((D12)-(C12))/((E12)-(C12)),SQRT(RAND()*((D12)-(C12))/((E12)-(C12))),1-SQRT(RAND()*((E12)-(D12))/((E12)-(C12))))</f>
        <v>0.13208603558644055</v>
      </c>
      <c r="H790" s="72">
        <f t="shared" ca="1" si="24"/>
        <v>253990079.56735995</v>
      </c>
      <c r="I790" s="73">
        <f t="shared" ca="1" si="25"/>
        <v>279.00032815038833</v>
      </c>
    </row>
    <row r="791" spans="1:9" ht="16.05" customHeight="1" x14ac:dyDescent="0.3">
      <c r="A791" s="66">
        <v>775</v>
      </c>
      <c r="B791" s="67">
        <f ca="1">(C7)+(E7-C7)*IF(RAND()&lt;((D7)-(C7))/((E7)-(C7)),SQRT(RAND()*((D7)-(C7))/((E7)-(C7))),1-SQRT(RAND()*((E7)-(D7))/((E7)-(C7))))</f>
        <v>0.22424739669586838</v>
      </c>
      <c r="C791" s="67">
        <f ca="1">(C8)+(E8-C8)*IF(RAND()&lt;((D8)-(C8))/((E8)-(C8)),SQRT(RAND()*((D8)-(C8))/((E8)-(C8))),1-SQRT(RAND()*((E8)-(D8))/((E8)-(C8))))</f>
        <v>0.62127414265662773</v>
      </c>
      <c r="D791" s="68">
        <f ca="1">(C9)+(E9-C9)*IF(RAND()&lt;((D9)-(C9))/((E9)-(C9)),SQRT(RAND()*((D9)-(C9))/((E9)-(C9))),1-SQRT(RAND()*((E9)-(D9))/((E9)-(C9))))</f>
        <v>1225807.0928514739</v>
      </c>
      <c r="E791" s="68">
        <f ca="1">(C10)+(E10-C10)*IF(RAND()&lt;((D10)-(C10))/((E10)-(C10)),SQRT(RAND()*((D10)-(C10))/((E10)-(C10))),1-SQRT(RAND()*((E10)-(D10))/((E10)-(C10))))</f>
        <v>4469433.7558555864</v>
      </c>
      <c r="F791" s="67">
        <f ca="1">(C11)+(E11-C11)*IF(RAND()&lt;((D11)-(C11))/((E11)-(C11)),SQRT(RAND()*((D11)-(C11))/((E11)-(C11))),1-SQRT(RAND()*((E11)-(D11))/((E11)-(C11))))</f>
        <v>1.0628200804191738E-2</v>
      </c>
      <c r="G791" s="67">
        <f ca="1">(C12)+(E12-C12)*IF(RAND()&lt;((D12)-(C12))/((E12)-(C12)),SQRT(RAND()*((D12)-(C12))/((E12)-(C12))),1-SQRT(RAND()*((E12)-(D12))/((E12)-(C12))))</f>
        <v>0.15783166940478355</v>
      </c>
      <c r="H791" s="68">
        <f t="shared" ca="1" si="24"/>
        <v>210115274.43035859</v>
      </c>
      <c r="I791" s="69">
        <f t="shared" ca="1" si="25"/>
        <v>227.40627468785107</v>
      </c>
    </row>
    <row r="792" spans="1:9" ht="16.05" customHeight="1" x14ac:dyDescent="0.3">
      <c r="A792" s="70">
        <v>776</v>
      </c>
      <c r="B792" s="71">
        <f ca="1">(C7)+(E7-C7)*IF(RAND()&lt;((D7)-(C7))/((E7)-(C7)),SQRT(RAND()*((D7)-(C7))/((E7)-(C7))),1-SQRT(RAND()*((E7)-(D7))/((E7)-(C7))))</f>
        <v>0.22568333304035637</v>
      </c>
      <c r="C792" s="71">
        <f ca="1">(C8)+(E8-C8)*IF(RAND()&lt;((D8)-(C8))/((E8)-(C8)),SQRT(RAND()*((D8)-(C8))/((E8)-(C8))),1-SQRT(RAND()*((E8)-(D8))/((E8)-(C8))))</f>
        <v>0.75089638970446049</v>
      </c>
      <c r="D792" s="72">
        <f ca="1">(C9)+(E9-C9)*IF(RAND()&lt;((D9)-(C9))/((E9)-(C9)),SQRT(RAND()*((D9)-(C9))/((E9)-(C9))),1-SQRT(RAND()*((E9)-(D9))/((E9)-(C9))))</f>
        <v>1187683.5415260494</v>
      </c>
      <c r="E792" s="72">
        <f ca="1">(C10)+(E10-C10)*IF(RAND()&lt;((D10)-(C10))/((E10)-(C10)),SQRT(RAND()*((D10)-(C10))/((E10)-(C10))),1-SQRT(RAND()*((E10)-(D10))/((E10)-(C10))))</f>
        <v>3358651.3915888425</v>
      </c>
      <c r="F792" s="71">
        <f ca="1">(C11)+(E11-C11)*IF(RAND()&lt;((D11)-(C11))/((E11)-(C11)),SQRT(RAND()*((D11)-(C11))/((E11)-(C11))),1-SQRT(RAND()*((E11)-(D11))/((E11)-(C11))))</f>
        <v>6.4869696847863322E-3</v>
      </c>
      <c r="G792" s="71">
        <f ca="1">(C12)+(E12-C12)*IF(RAND()&lt;((D12)-(C12))/((E12)-(C12)),SQRT(RAND()*((D12)-(C12))/((E12)-(C12))),1-SQRT(RAND()*((E12)-(D12))/((E12)-(C12))))</f>
        <v>0.1448162006973138</v>
      </c>
      <c r="H792" s="72">
        <f t="shared" ca="1" si="24"/>
        <v>217271326.42935321</v>
      </c>
      <c r="I792" s="73">
        <f t="shared" ca="1" si="25"/>
        <v>242.61065541577224</v>
      </c>
    </row>
    <row r="793" spans="1:9" ht="16.05" customHeight="1" x14ac:dyDescent="0.3">
      <c r="A793" s="66">
        <v>777</v>
      </c>
      <c r="B793" s="67">
        <f ca="1">(C7)+(E7-C7)*IF(RAND()&lt;((D7)-(C7))/((E7)-(C7)),SQRT(RAND()*((D7)-(C7))/((E7)-(C7))),1-SQRT(RAND()*((E7)-(D7))/((E7)-(C7))))</f>
        <v>0.20750437385872228</v>
      </c>
      <c r="C793" s="67">
        <f ca="1">(C8)+(E8-C8)*IF(RAND()&lt;((D8)-(C8))/((E8)-(C8)),SQRT(RAND()*((D8)-(C8))/((E8)-(C8))),1-SQRT(RAND()*((E8)-(D8))/((E8)-(C8))))</f>
        <v>0.85917038465841356</v>
      </c>
      <c r="D793" s="68">
        <f ca="1">(C9)+(E9-C9)*IF(RAND()&lt;((D9)-(C9))/((E9)-(C9)),SQRT(RAND()*((D9)-(C9))/((E9)-(C9))),1-SQRT(RAND()*((E9)-(D9))/((E9)-(C9))))</f>
        <v>1466447.9340772345</v>
      </c>
      <c r="E793" s="68">
        <f ca="1">(C10)+(E10-C10)*IF(RAND()&lt;((D10)-(C10))/((E10)-(C10)),SQRT(RAND()*((D10)-(C10))/((E10)-(C10))),1-SQRT(RAND()*((E10)-(D10))/((E10)-(C10))))</f>
        <v>3132478.3085013647</v>
      </c>
      <c r="F793" s="67">
        <f ca="1">(C11)+(E11-C11)*IF(RAND()&lt;((D11)-(C11))/((E11)-(C11)),SQRT(RAND()*((D11)-(C11))/((E11)-(C11))),1-SQRT(RAND()*((E11)-(D11))/((E11)-(C11))))</f>
        <v>2.9754563724611917E-3</v>
      </c>
      <c r="G793" s="67">
        <f ca="1">(C12)+(E12-C12)*IF(RAND()&lt;((D12)-(C12))/((E12)-(C12)),SQRT(RAND()*((D12)-(C12))/((E12)-(C12))),1-SQRT(RAND()*((E12)-(D12))/((E12)-(C12))))</f>
        <v>0.14473916922406996</v>
      </c>
      <c r="H793" s="68">
        <f t="shared" ca="1" si="24"/>
        <v>202097336.33577013</v>
      </c>
      <c r="I793" s="69">
        <f t="shared" ca="1" si="25"/>
        <v>183.09417001300264</v>
      </c>
    </row>
    <row r="794" spans="1:9" ht="16.05" customHeight="1" x14ac:dyDescent="0.3">
      <c r="A794" s="70">
        <v>778</v>
      </c>
      <c r="B794" s="71">
        <f ca="1">(C7)+(E7-C7)*IF(RAND()&lt;((D7)-(C7))/((E7)-(C7)),SQRT(RAND()*((D7)-(C7))/((E7)-(C7))),1-SQRT(RAND()*((E7)-(D7))/((E7)-(C7))))</f>
        <v>0.27659214625500583</v>
      </c>
      <c r="C794" s="71">
        <f ca="1">(C8)+(E8-C8)*IF(RAND()&lt;((D8)-(C8))/((E8)-(C8)),SQRT(RAND()*((D8)-(C8))/((E8)-(C8))),1-SQRT(RAND()*((E8)-(D8))/((E8)-(C8))))</f>
        <v>0.64248168921751536</v>
      </c>
      <c r="D794" s="72">
        <f ca="1">(C9)+(E9-C9)*IF(RAND()&lt;((D9)-(C9))/((E9)-(C9)),SQRT(RAND()*((D9)-(C9))/((E9)-(C9))),1-SQRT(RAND()*((E9)-(D9))/((E9)-(C9))))</f>
        <v>1348653.1541372512</v>
      </c>
      <c r="E794" s="72">
        <f ca="1">(C10)+(E10-C10)*IF(RAND()&lt;((D10)-(C10))/((E10)-(C10)),SQRT(RAND()*((D10)-(C10))/((E10)-(C10))),1-SQRT(RAND()*((E10)-(D10))/((E10)-(C10))))</f>
        <v>3308263.9687292147</v>
      </c>
      <c r="F794" s="71">
        <f ca="1">(C11)+(E11-C11)*IF(RAND()&lt;((D11)-(C11))/((E11)-(C11)),SQRT(RAND()*((D11)-(C11))/((E11)-(C11))),1-SQRT(RAND()*((E11)-(D11))/((E11)-(C11))))</f>
        <v>2.0421330004176466E-2</v>
      </c>
      <c r="G794" s="71">
        <f ca="1">(C12)+(E12-C12)*IF(RAND()&lt;((D12)-(C12))/((E12)-(C12)),SQRT(RAND()*((D12)-(C12))/((E12)-(C12))),1-SQRT(RAND()*((E12)-(D12))/((E12)-(C12))))</f>
        <v>0.13521382304883686</v>
      </c>
      <c r="H794" s="72">
        <f t="shared" ca="1" si="24"/>
        <v>326840209.15761691</v>
      </c>
      <c r="I794" s="73">
        <f t="shared" ca="1" si="25"/>
        <v>320.96983140975755</v>
      </c>
    </row>
    <row r="795" spans="1:9" ht="16.05" customHeight="1" x14ac:dyDescent="0.3">
      <c r="A795" s="66">
        <v>779</v>
      </c>
      <c r="B795" s="67">
        <f ca="1">(C7)+(E7-C7)*IF(RAND()&lt;((D7)-(C7))/((E7)-(C7)),SQRT(RAND()*((D7)-(C7))/((E7)-(C7))),1-SQRT(RAND()*((E7)-(D7))/((E7)-(C7))))</f>
        <v>0.33276200964694158</v>
      </c>
      <c r="C795" s="67">
        <f ca="1">(C8)+(E8-C8)*IF(RAND()&lt;((D8)-(C8))/((E8)-(C8)),SQRT(RAND()*((D8)-(C8))/((E8)-(C8))),1-SQRT(RAND()*((E8)-(D8))/((E8)-(C8))))</f>
        <v>0.68774460506808921</v>
      </c>
      <c r="D795" s="68">
        <f ca="1">(C9)+(E9-C9)*IF(RAND()&lt;((D9)-(C9))/((E9)-(C9)),SQRT(RAND()*((D9)-(C9))/((E9)-(C9))),1-SQRT(RAND()*((E9)-(D9))/((E9)-(C9))))</f>
        <v>1230337.9272278722</v>
      </c>
      <c r="E795" s="68">
        <f ca="1">(C10)+(E10-C10)*IF(RAND()&lt;((D10)-(C10))/((E10)-(C10)),SQRT(RAND()*((D10)-(C10))/((E10)-(C10))),1-SQRT(RAND()*((E10)-(D10))/((E10)-(C10))))</f>
        <v>3623376.2527487325</v>
      </c>
      <c r="F795" s="67">
        <f ca="1">(C11)+(E11-C11)*IF(RAND()&lt;((D11)-(C11))/((E11)-(C11)),SQRT(RAND()*((D11)-(C11))/((E11)-(C11))),1-SQRT(RAND()*((E11)-(D11))/((E11)-(C11))))</f>
        <v>1.5728956369477028E-2</v>
      </c>
      <c r="G795" s="67">
        <f ca="1">(C12)+(E12-C12)*IF(RAND()&lt;((D12)-(C12))/((E12)-(C12)),SQRT(RAND()*((D12)-(C12))/((E12)-(C12))),1-SQRT(RAND()*((E12)-(D12))/((E12)-(C12))))</f>
        <v>0.13647255104878647</v>
      </c>
      <c r="H795" s="68">
        <f t="shared" ca="1" si="24"/>
        <v>347544869.74214059</v>
      </c>
      <c r="I795" s="69">
        <f t="shared" ca="1" si="25"/>
        <v>373.90549015320636</v>
      </c>
    </row>
    <row r="796" spans="1:9" ht="16.05" customHeight="1" x14ac:dyDescent="0.3">
      <c r="A796" s="70">
        <v>780</v>
      </c>
      <c r="B796" s="71">
        <f ca="1">(C7)+(E7-C7)*IF(RAND()&lt;((D7)-(C7))/((E7)-(C7)),SQRT(RAND()*((D7)-(C7))/((E7)-(C7))),1-SQRT(RAND()*((E7)-(D7))/((E7)-(C7))))</f>
        <v>0.33225522739602542</v>
      </c>
      <c r="C796" s="71">
        <f ca="1">(C8)+(E8-C8)*IF(RAND()&lt;((D8)-(C8))/((E8)-(C8)),SQRT(RAND()*((D8)-(C8))/((E8)-(C8))),1-SQRT(RAND()*((E8)-(D8))/((E8)-(C8))))</f>
        <v>0.62775508678135417</v>
      </c>
      <c r="D796" s="72">
        <f ca="1">(C9)+(E9-C9)*IF(RAND()&lt;((D9)-(C9))/((E9)-(C9)),SQRT(RAND()*((D9)-(C9))/((E9)-(C9))),1-SQRT(RAND()*((E9)-(D9))/((E9)-(C9))))</f>
        <v>1324388.5624707406</v>
      </c>
      <c r="E796" s="72">
        <f ca="1">(C10)+(E10-C10)*IF(RAND()&lt;((D10)-(C10))/((E10)-(C10)),SQRT(RAND()*((D10)-(C10))/((E10)-(C10))),1-SQRT(RAND()*((E10)-(D10))/((E10)-(C10))))</f>
        <v>4134617.9200753947</v>
      </c>
      <c r="F796" s="71">
        <f ca="1">(C11)+(E11-C11)*IF(RAND()&lt;((D11)-(C11))/((E11)-(C11)),SQRT(RAND()*((D11)-(C11))/((E11)-(C11))),1-SQRT(RAND()*((E11)-(D11))/((E11)-(C11))))</f>
        <v>2.0820799724212136E-2</v>
      </c>
      <c r="G796" s="71">
        <f ca="1">(C12)+(E12-C12)*IF(RAND()&lt;((D12)-(C12))/((E12)-(C12)),SQRT(RAND()*((D12)-(C12))/((E12)-(C12))),1-SQRT(RAND()*((E12)-(D12))/((E12)-(C12))))</f>
        <v>0.13739477900861824</v>
      </c>
      <c r="H796" s="72">
        <f t="shared" ca="1" si="24"/>
        <v>360199851.09808952</v>
      </c>
      <c r="I796" s="73">
        <f t="shared" ca="1" si="25"/>
        <v>360.04986138952131</v>
      </c>
    </row>
    <row r="797" spans="1:9" ht="16.05" customHeight="1" x14ac:dyDescent="0.3">
      <c r="A797" s="66">
        <v>781</v>
      </c>
      <c r="B797" s="67">
        <f ca="1">(C7)+(E7-C7)*IF(RAND()&lt;((D7)-(C7))/((E7)-(C7)),SQRT(RAND()*((D7)-(C7))/((E7)-(C7))),1-SQRT(RAND()*((E7)-(D7))/((E7)-(C7))))</f>
        <v>0.29954098870002882</v>
      </c>
      <c r="C797" s="67">
        <f ca="1">(C8)+(E8-C8)*IF(RAND()&lt;((D8)-(C8))/((E8)-(C8)),SQRT(RAND()*((D8)-(C8))/((E8)-(C8))),1-SQRT(RAND()*((E8)-(D8))/((E8)-(C8))))</f>
        <v>0.74357909600234529</v>
      </c>
      <c r="D797" s="68">
        <f ca="1">(C9)+(E9-C9)*IF(RAND()&lt;((D9)-(C9))/((E9)-(C9)),SQRT(RAND()*((D9)-(C9))/((E9)-(C9))),1-SQRT(RAND()*((E9)-(D9))/((E9)-(C9))))</f>
        <v>1163270.4609882708</v>
      </c>
      <c r="E797" s="68">
        <f ca="1">(C10)+(E10-C10)*IF(RAND()&lt;((D10)-(C10))/((E10)-(C10)),SQRT(RAND()*((D10)-(C10))/((E10)-(C10))),1-SQRT(RAND()*((E10)-(D10))/((E10)-(C10))))</f>
        <v>3133743.3503553248</v>
      </c>
      <c r="F797" s="67">
        <f ca="1">(C11)+(E11-C11)*IF(RAND()&lt;((D11)-(C11))/((E11)-(C11)),SQRT(RAND()*((D11)-(C11))/((E11)-(C11))),1-SQRT(RAND()*((E11)-(D11))/((E11)-(C11))))</f>
        <v>1.4931515908616178E-2</v>
      </c>
      <c r="G797" s="67">
        <f ca="1">(C12)+(E12-C12)*IF(RAND()&lt;((D12)-(C12))/((E12)-(C12)),SQRT(RAND()*((D12)-(C12))/((E12)-(C12))),1-SQRT(RAND()*((E12)-(D12))/((E12)-(C12))))</f>
        <v>0.15865055736954992</v>
      </c>
      <c r="H797" s="68">
        <f t="shared" ca="1" si="24"/>
        <v>337050978.28812313</v>
      </c>
      <c r="I797" s="69">
        <f t="shared" ca="1" si="25"/>
        <v>383.48806137957331</v>
      </c>
    </row>
    <row r="798" spans="1:9" ht="16.05" customHeight="1" x14ac:dyDescent="0.3">
      <c r="A798" s="70">
        <v>782</v>
      </c>
      <c r="B798" s="71">
        <f ca="1">(C7)+(E7-C7)*IF(RAND()&lt;((D7)-(C7))/((E7)-(C7)),SQRT(RAND()*((D7)-(C7))/((E7)-(C7))),1-SQRT(RAND()*((E7)-(D7))/((E7)-(C7))))</f>
        <v>0.2679539410861641</v>
      </c>
      <c r="C798" s="71">
        <f ca="1">(C8)+(E8-C8)*IF(RAND()&lt;((D8)-(C8))/((E8)-(C8)),SQRT(RAND()*((D8)-(C8))/((E8)-(C8))),1-SQRT(RAND()*((E8)-(D8))/((E8)-(C8))))</f>
        <v>0.53925827600864507</v>
      </c>
      <c r="D798" s="72">
        <f ca="1">(C9)+(E9-C9)*IF(RAND()&lt;((D9)-(C9))/((E9)-(C9)),SQRT(RAND()*((D9)-(C9))/((E9)-(C9))),1-SQRT(RAND()*((E9)-(D9))/((E9)-(C9))))</f>
        <v>1264872.4440147411</v>
      </c>
      <c r="E798" s="72">
        <f ca="1">(C10)+(E10-C10)*IF(RAND()&lt;((D10)-(C10))/((E10)-(C10)),SQRT(RAND()*((D10)-(C10))/((E10)-(C10))),1-SQRT(RAND()*((E10)-(D10))/((E10)-(C10))))</f>
        <v>3584229.064773513</v>
      </c>
      <c r="F798" s="71">
        <f ca="1">(C11)+(E11-C11)*IF(RAND()&lt;((D11)-(C11))/((E11)-(C11)),SQRT(RAND()*((D11)-(C11))/((E11)-(C11))),1-SQRT(RAND()*((E11)-(D11))/((E11)-(C11))))</f>
        <v>8.9835816175283332E-3</v>
      </c>
      <c r="G798" s="71">
        <f ca="1">(C12)+(E12-C12)*IF(RAND()&lt;((D12)-(C12))/((E12)-(C12)),SQRT(RAND()*((D12)-(C12))/((E12)-(C12))),1-SQRT(RAND()*((E12)-(D12))/((E12)-(C12))))</f>
        <v>0.18678691510028536</v>
      </c>
      <c r="H798" s="72">
        <f t="shared" ca="1" si="24"/>
        <v>207194174.70505077</v>
      </c>
      <c r="I798" s="73">
        <f t="shared" ca="1" si="25"/>
        <v>217.37753773911618</v>
      </c>
    </row>
    <row r="799" spans="1:9" ht="16.05" customHeight="1" x14ac:dyDescent="0.3">
      <c r="A799" s="66">
        <v>783</v>
      </c>
      <c r="B799" s="67">
        <f ca="1">(C7)+(E7-C7)*IF(RAND()&lt;((D7)-(C7))/((E7)-(C7)),SQRT(RAND()*((D7)-(C7))/((E7)-(C7))),1-SQRT(RAND()*((E7)-(D7))/((E7)-(C7))))</f>
        <v>0.25517361105384073</v>
      </c>
      <c r="C799" s="67">
        <f ca="1">(C8)+(E8-C8)*IF(RAND()&lt;((D8)-(C8))/((E8)-(C8)),SQRT(RAND()*((D8)-(C8))/((E8)-(C8))),1-SQRT(RAND()*((E8)-(D8))/((E8)-(C8))))</f>
        <v>0.60954310588643579</v>
      </c>
      <c r="D799" s="68">
        <f ca="1">(C9)+(E9-C9)*IF(RAND()&lt;((D9)-(C9))/((E9)-(C9)),SQRT(RAND()*((D9)-(C9))/((E9)-(C9))),1-SQRT(RAND()*((E9)-(D9))/((E9)-(C9))))</f>
        <v>1262603.9677514601</v>
      </c>
      <c r="E799" s="68">
        <f ca="1">(C10)+(E10-C10)*IF(RAND()&lt;((D10)-(C10))/((E10)-(C10)),SQRT(RAND()*((D10)-(C10))/((E10)-(C10))),1-SQRT(RAND()*((E10)-(D10))/((E10)-(C10))))</f>
        <v>4255827.7606384503</v>
      </c>
      <c r="F799" s="67">
        <f ca="1">(C11)+(E11-C11)*IF(RAND()&lt;((D11)-(C11))/((E11)-(C11)),SQRT(RAND()*((D11)-(C11))/((E11)-(C11))),1-SQRT(RAND()*((E11)-(D11))/((E11)-(C11))))</f>
        <v>1.3237677971707261E-2</v>
      </c>
      <c r="G799" s="67">
        <f ca="1">(C12)+(E12-C12)*IF(RAND()&lt;((D12)-(C12))/((E12)-(C12)),SQRT(RAND()*((D12)-(C12))/((E12)-(C12))),1-SQRT(RAND()*((E12)-(D12))/((E12)-(C12))))</f>
        <v>0.16805272171302177</v>
      </c>
      <c r="H799" s="68">
        <f t="shared" ca="1" si="24"/>
        <v>247369393.67684889</v>
      </c>
      <c r="I799" s="69">
        <f t="shared" ca="1" si="25"/>
        <v>259.7350249913103</v>
      </c>
    </row>
    <row r="800" spans="1:9" ht="16.05" customHeight="1" x14ac:dyDescent="0.3">
      <c r="A800" s="70">
        <v>784</v>
      </c>
      <c r="B800" s="71">
        <f ca="1">(C7)+(E7-C7)*IF(RAND()&lt;((D7)-(C7))/((E7)-(C7)),SQRT(RAND()*((D7)-(C7))/((E7)-(C7))),1-SQRT(RAND()*((E7)-(D7))/((E7)-(C7))))</f>
        <v>0.15900437640423942</v>
      </c>
      <c r="C800" s="71">
        <f ca="1">(C8)+(E8-C8)*IF(RAND()&lt;((D8)-(C8))/((E8)-(C8)),SQRT(RAND()*((D8)-(C8))/((E8)-(C8))),1-SQRT(RAND()*((E8)-(D8))/((E8)-(C8))))</f>
        <v>0.64713239663940081</v>
      </c>
      <c r="D800" s="72">
        <f ca="1">(C9)+(E9-C9)*IF(RAND()&lt;((D9)-(C9))/((E9)-(C9)),SQRT(RAND()*((D9)-(C9))/((E9)-(C9))),1-SQRT(RAND()*((E9)-(D9))/((E9)-(C9))))</f>
        <v>1266248.6997429873</v>
      </c>
      <c r="E800" s="72">
        <f ca="1">(C10)+(E10-C10)*IF(RAND()&lt;((D10)-(C10))/((E10)-(C10)),SQRT(RAND()*((D10)-(C10))/((E10)-(C10))),1-SQRT(RAND()*((E10)-(D10))/((E10)-(C10))))</f>
        <v>2296189.4605395272</v>
      </c>
      <c r="F800" s="71">
        <f ca="1">(C11)+(E11-C11)*IF(RAND()&lt;((D11)-(C11))/((E11)-(C11)),SQRT(RAND()*((D11)-(C11))/((E11)-(C11))),1-SQRT(RAND()*((E11)-(D11))/((E11)-(C11))))</f>
        <v>8.1343874583768433E-3</v>
      </c>
      <c r="G800" s="71">
        <f ca="1">(C12)+(E12-C12)*IF(RAND()&lt;((D12)-(C12))/((E12)-(C12)),SQRT(RAND()*((D12)-(C12))/((E12)-(C12))),1-SQRT(RAND()*((E12)-(D12))/((E12)-(C12))))</f>
        <v>0.15168412167964351</v>
      </c>
      <c r="H800" s="72">
        <f t="shared" ca="1" si="24"/>
        <v>160687874.60637882</v>
      </c>
      <c r="I800" s="73">
        <f t="shared" ca="1" si="25"/>
        <v>168.69944167029766</v>
      </c>
    </row>
    <row r="801" spans="1:9" ht="16.05" customHeight="1" x14ac:dyDescent="0.3">
      <c r="A801" s="66">
        <v>785</v>
      </c>
      <c r="B801" s="67">
        <f ca="1">(C7)+(E7-C7)*IF(RAND()&lt;((D7)-(C7))/((E7)-(C7)),SQRT(RAND()*((D7)-(C7))/((E7)-(C7))),1-SQRT(RAND()*((E7)-(D7))/((E7)-(C7))))</f>
        <v>0.29609721815422896</v>
      </c>
      <c r="C801" s="67">
        <f ca="1">(C8)+(E8-C8)*IF(RAND()&lt;((D8)-(C8))/((E8)-(C8)),SQRT(RAND()*((D8)-(C8))/((E8)-(C8))),1-SQRT(RAND()*((E8)-(D8))/((E8)-(C8))))</f>
        <v>0.74621363008149177</v>
      </c>
      <c r="D801" s="68">
        <f ca="1">(C9)+(E9-C9)*IF(RAND()&lt;((D9)-(C9))/((E9)-(C9)),SQRT(RAND()*((D9)-(C9))/((E9)-(C9))),1-SQRT(RAND()*((E9)-(D9))/((E9)-(C9))))</f>
        <v>1166228.6591329989</v>
      </c>
      <c r="E801" s="68">
        <f ca="1">(C10)+(E10-C10)*IF(RAND()&lt;((D10)-(C10))/((E10)-(C10)),SQRT(RAND()*((D10)-(C10))/((E10)-(C10))),1-SQRT(RAND()*((E10)-(D10))/((E10)-(C10))))</f>
        <v>4001395.1087147277</v>
      </c>
      <c r="F801" s="67">
        <f ca="1">(C11)+(E11-C11)*IF(RAND()&lt;((D11)-(C11))/((E11)-(C11)),SQRT(RAND()*((D11)-(C11))/((E11)-(C11))),1-SQRT(RAND()*((E11)-(D11))/((E11)-(C11))))</f>
        <v>2.0336371820523429E-2</v>
      </c>
      <c r="G801" s="67">
        <f ca="1">(C12)+(E12-C12)*IF(RAND()&lt;((D12)-(C12))/((E12)-(C12)),SQRT(RAND()*((D12)-(C12))/((E12)-(C12))),1-SQRT(RAND()*((E12)-(D12))/((E12)-(C12))))</f>
        <v>0.15789216108989185</v>
      </c>
      <c r="H801" s="68">
        <f t="shared" ca="1" si="24"/>
        <v>370832083.85879135</v>
      </c>
      <c r="I801" s="69">
        <f t="shared" ca="1" si="25"/>
        <v>420.72460204793163</v>
      </c>
    </row>
    <row r="802" spans="1:9" ht="16.05" customHeight="1" x14ac:dyDescent="0.3">
      <c r="A802" s="70">
        <v>786</v>
      </c>
      <c r="B802" s="71">
        <f ca="1">(C7)+(E7-C7)*IF(RAND()&lt;((D7)-(C7))/((E7)-(C7)),SQRT(RAND()*((D7)-(C7))/((E7)-(C7))),1-SQRT(RAND()*((E7)-(D7))/((E7)-(C7))))</f>
        <v>0.23115986398590863</v>
      </c>
      <c r="C802" s="71">
        <f ca="1">(C8)+(E8-C8)*IF(RAND()&lt;((D8)-(C8))/((E8)-(C8)),SQRT(RAND()*((D8)-(C8))/((E8)-(C8))),1-SQRT(RAND()*((E8)-(D8))/((E8)-(C8))))</f>
        <v>0.71005878417520285</v>
      </c>
      <c r="D802" s="72">
        <f ca="1">(C9)+(E9-C9)*IF(RAND()&lt;((D9)-(C9))/((E9)-(C9)),SQRT(RAND()*((D9)-(C9))/((E9)-(C9))),1-SQRT(RAND()*((E9)-(D9))/((E9)-(C9))))</f>
        <v>1171624.690166435</v>
      </c>
      <c r="E802" s="72">
        <f ca="1">(C10)+(E10-C10)*IF(RAND()&lt;((D10)-(C10))/((E10)-(C10)),SQRT(RAND()*((D10)-(C10))/((E10)-(C10))),1-SQRT(RAND()*((E10)-(D10))/((E10)-(C10))))</f>
        <v>3597051.6730210334</v>
      </c>
      <c r="F802" s="71">
        <f ca="1">(C11)+(E11-C11)*IF(RAND()&lt;((D11)-(C11))/((E11)-(C11)),SQRT(RAND()*((D11)-(C11))/((E11)-(C11))),1-SQRT(RAND()*((E11)-(D11))/((E11)-(C11))))</f>
        <v>1.6706507005034527E-2</v>
      </c>
      <c r="G802" s="71">
        <f ca="1">(C12)+(E12-C12)*IF(RAND()&lt;((D12)-(C12))/((E12)-(C12)),SQRT(RAND()*((D12)-(C12))/((E12)-(C12))),1-SQRT(RAND()*((E12)-(D12))/((E12)-(C12))))</f>
        <v>0.17246903020773449</v>
      </c>
      <c r="H802" s="72">
        <f t="shared" ca="1" si="24"/>
        <v>284348475.17430395</v>
      </c>
      <c r="I802" s="73">
        <f t="shared" ca="1" si="25"/>
        <v>321.43178482271423</v>
      </c>
    </row>
    <row r="803" spans="1:9" ht="16.05" customHeight="1" x14ac:dyDescent="0.3">
      <c r="A803" s="66">
        <v>787</v>
      </c>
      <c r="B803" s="67">
        <f ca="1">(C7)+(E7-C7)*IF(RAND()&lt;((D7)-(C7))/((E7)-(C7)),SQRT(RAND()*((D7)-(C7))/((E7)-(C7))),1-SQRT(RAND()*((E7)-(D7))/((E7)-(C7))))</f>
        <v>0.24162101021825783</v>
      </c>
      <c r="C803" s="67">
        <f ca="1">(C8)+(E8-C8)*IF(RAND()&lt;((D8)-(C8))/((E8)-(C8)),SQRT(RAND()*((D8)-(C8))/((E8)-(C8))),1-SQRT(RAND()*((E8)-(D8))/((E8)-(C8))))</f>
        <v>0.74646611184524836</v>
      </c>
      <c r="D803" s="68">
        <f ca="1">(C9)+(E9-C9)*IF(RAND()&lt;((D9)-(C9))/((E9)-(C9)),SQRT(RAND()*((D9)-(C9))/((E9)-(C9))),1-SQRT(RAND()*((E9)-(D9))/((E9)-(C9))))</f>
        <v>1215907.992996145</v>
      </c>
      <c r="E803" s="68">
        <f ca="1">(C10)+(E10-C10)*IF(RAND()&lt;((D10)-(C10))/((E10)-(C10)),SQRT(RAND()*((D10)-(C10))/((E10)-(C10))),1-SQRT(RAND()*((E10)-(D10))/((E10)-(C10))))</f>
        <v>4527636.4410752803</v>
      </c>
      <c r="F803" s="67">
        <f ca="1">(C11)+(E11-C11)*IF(RAND()&lt;((D11)-(C11))/((E11)-(C11)),SQRT(RAND()*((D11)-(C11))/((E11)-(C11))),1-SQRT(RAND()*((E11)-(D11))/((E11)-(C11))))</f>
        <v>2.5803810738730792E-2</v>
      </c>
      <c r="G803" s="67">
        <f ca="1">(C12)+(E12-C12)*IF(RAND()&lt;((D12)-(C12))/((E12)-(C12)),SQRT(RAND()*((D12)-(C12))/((E12)-(C12))),1-SQRT(RAND()*((E12)-(D12))/((E12)-(C12))))</f>
        <v>0.13110410500501218</v>
      </c>
      <c r="H803" s="68">
        <f t="shared" ca="1" si="24"/>
        <v>364089640.33133137</v>
      </c>
      <c r="I803" s="69">
        <f t="shared" ca="1" si="25"/>
        <v>396.27456980047253</v>
      </c>
    </row>
    <row r="804" spans="1:9" ht="16.05" customHeight="1" x14ac:dyDescent="0.3">
      <c r="A804" s="70">
        <v>788</v>
      </c>
      <c r="B804" s="71">
        <f ca="1">(C7)+(E7-C7)*IF(RAND()&lt;((D7)-(C7))/((E7)-(C7)),SQRT(RAND()*((D7)-(C7))/((E7)-(C7))),1-SQRT(RAND()*((E7)-(D7))/((E7)-(C7))))</f>
        <v>0.24394169951506234</v>
      </c>
      <c r="C804" s="71">
        <f ca="1">(C8)+(E8-C8)*IF(RAND()&lt;((D8)-(C8))/((E8)-(C8)),SQRT(RAND()*((D8)-(C8))/((E8)-(C8))),1-SQRT(RAND()*((E8)-(D8))/((E8)-(C8))))</f>
        <v>0.68647514300285362</v>
      </c>
      <c r="D804" s="72">
        <f ca="1">(C9)+(E9-C9)*IF(RAND()&lt;((D9)-(C9))/((E9)-(C9)),SQRT(RAND()*((D9)-(C9))/((E9)-(C9))),1-SQRT(RAND()*((E9)-(D9))/((E9)-(C9))))</f>
        <v>1199583.7586313908</v>
      </c>
      <c r="E804" s="72">
        <f ca="1">(C10)+(E10-C10)*IF(RAND()&lt;((D10)-(C10))/((E10)-(C10)),SQRT(RAND()*((D10)-(C10))/((E10)-(C10))),1-SQRT(RAND()*((E10)-(D10))/((E10)-(C10))))</f>
        <v>3319662.9822420971</v>
      </c>
      <c r="F804" s="71">
        <f ca="1">(C11)+(E11-C11)*IF(RAND()&lt;((D11)-(C11))/((E11)-(C11)),SQRT(RAND()*((D11)-(C11))/((E11)-(C11))),1-SQRT(RAND()*((E11)-(D11))/((E11)-(C11))))</f>
        <v>4.9417413249639858E-3</v>
      </c>
      <c r="G804" s="71">
        <f ca="1">(C12)+(E12-C12)*IF(RAND()&lt;((D12)-(C12))/((E12)-(C12)),SQRT(RAND()*((D12)-(C12))/((E12)-(C12))),1-SQRT(RAND()*((E12)-(D12))/((E12)-(C12))))</f>
        <v>0.13412487950684165</v>
      </c>
      <c r="H804" s="72">
        <f t="shared" ca="1" si="24"/>
        <v>204073064.73396167</v>
      </c>
      <c r="I804" s="73">
        <f t="shared" ca="1" si="25"/>
        <v>225.70498791260596</v>
      </c>
    </row>
    <row r="805" spans="1:9" ht="16.05" customHeight="1" x14ac:dyDescent="0.3">
      <c r="A805" s="66">
        <v>789</v>
      </c>
      <c r="B805" s="67">
        <f ca="1">(C7)+(E7-C7)*IF(RAND()&lt;((D7)-(C7))/((E7)-(C7)),SQRT(RAND()*((D7)-(C7))/((E7)-(C7))),1-SQRT(RAND()*((E7)-(D7))/((E7)-(C7))))</f>
        <v>0.29121542005663431</v>
      </c>
      <c r="C805" s="67">
        <f ca="1">(C8)+(E8-C8)*IF(RAND()&lt;((D8)-(C8))/((E8)-(C8)),SQRT(RAND()*((D8)-(C8))/((E8)-(C8))),1-SQRT(RAND()*((E8)-(D8))/((E8)-(C8))))</f>
        <v>0.78970167610014852</v>
      </c>
      <c r="D805" s="68">
        <f ca="1">(C9)+(E9-C9)*IF(RAND()&lt;((D9)-(C9))/((E9)-(C9)),SQRT(RAND()*((D9)-(C9))/((E9)-(C9))),1-SQRT(RAND()*((E9)-(D9))/((E9)-(C9))))</f>
        <v>1237299.1240628294</v>
      </c>
      <c r="E805" s="68">
        <f ca="1">(C10)+(E10-C10)*IF(RAND()&lt;((D10)-(C10))/((E10)-(C10)),SQRT(RAND()*((D10)-(C10))/((E10)-(C10))),1-SQRT(RAND()*((E10)-(D10))/((E10)-(C10))))</f>
        <v>2969800.1406495799</v>
      </c>
      <c r="F805" s="67">
        <f ca="1">(C11)+(E11-C11)*IF(RAND()&lt;((D11)-(C11))/((E11)-(C11)),SQRT(RAND()*((D11)-(C11))/((E11)-(C11))),1-SQRT(RAND()*((E11)-(D11))/((E11)-(C11))))</f>
        <v>1.6022930271165366E-2</v>
      </c>
      <c r="G805" s="67">
        <f ca="1">(C12)+(E12-C12)*IF(RAND()&lt;((D12)-(C12))/((E12)-(C12)),SQRT(RAND()*((D12)-(C12))/((E12)-(C12))),1-SQRT(RAND()*((E12)-(D12))/((E12)-(C12))))</f>
        <v>0.13609292273612078</v>
      </c>
      <c r="H805" s="68">
        <f t="shared" ca="1" si="24"/>
        <v>353353644.81556672</v>
      </c>
      <c r="I805" s="69">
        <f t="shared" ca="1" si="25"/>
        <v>378.00155154379263</v>
      </c>
    </row>
    <row r="806" spans="1:9" ht="16.05" customHeight="1" x14ac:dyDescent="0.3">
      <c r="A806" s="70">
        <v>790</v>
      </c>
      <c r="B806" s="71">
        <f ca="1">(C7)+(E7-C7)*IF(RAND()&lt;((D7)-(C7))/((E7)-(C7)),SQRT(RAND()*((D7)-(C7))/((E7)-(C7))),1-SQRT(RAND()*((E7)-(D7))/((E7)-(C7))))</f>
        <v>0.26468658896374797</v>
      </c>
      <c r="C806" s="71">
        <f ca="1">(C8)+(E8-C8)*IF(RAND()&lt;((D8)-(C8))/((E8)-(C8)),SQRT(RAND()*((D8)-(C8))/((E8)-(C8))),1-SQRT(RAND()*((E8)-(D8))/((E8)-(C8))))</f>
        <v>0.79713385831220274</v>
      </c>
      <c r="D806" s="72">
        <f ca="1">(C9)+(E9-C9)*IF(RAND()&lt;((D9)-(C9))/((E9)-(C9)),SQRT(RAND()*((D9)-(C9))/((E9)-(C9))),1-SQRT(RAND()*((E9)-(D9))/((E9)-(C9))))</f>
        <v>1302716.9671233969</v>
      </c>
      <c r="E806" s="72">
        <f ca="1">(C10)+(E10-C10)*IF(RAND()&lt;((D10)-(C10))/((E10)-(C10)),SQRT(RAND()*((D10)-(C10))/((E10)-(C10))),1-SQRT(RAND()*((E10)-(D10))/((E10)-(C10))))</f>
        <v>3893007.0692493366</v>
      </c>
      <c r="F806" s="71">
        <f ca="1">(C11)+(E11-C11)*IF(RAND()&lt;((D11)-(C11))/((E11)-(C11)),SQRT(RAND()*((D11)-(C11))/((E11)-(C11))),1-SQRT(RAND()*((E11)-(D11))/((E11)-(C11))))</f>
        <v>5.9695499623099542E-3</v>
      </c>
      <c r="G806" s="71">
        <f ca="1">(C12)+(E12-C12)*IF(RAND()&lt;((D12)-(C12))/((E12)-(C12)),SQRT(RAND()*((D12)-(C12))/((E12)-(C12))),1-SQRT(RAND()*((E12)-(D12))/((E12)-(C12))))</f>
        <v>0.14933912545467551</v>
      </c>
      <c r="H806" s="72">
        <f t="shared" ca="1" si="24"/>
        <v>256574386.63727263</v>
      </c>
      <c r="I806" s="73">
        <f t="shared" ca="1" si="25"/>
        <v>261.09789003401164</v>
      </c>
    </row>
    <row r="807" spans="1:9" ht="16.05" customHeight="1" x14ac:dyDescent="0.3">
      <c r="A807" s="66">
        <v>791</v>
      </c>
      <c r="B807" s="67">
        <f ca="1">(C7)+(E7-C7)*IF(RAND()&lt;((D7)-(C7))/((E7)-(C7)),SQRT(RAND()*((D7)-(C7))/((E7)-(C7))),1-SQRT(RAND()*((E7)-(D7))/((E7)-(C7))))</f>
        <v>0.22876709820487862</v>
      </c>
      <c r="C807" s="67">
        <f ca="1">(C8)+(E8-C8)*IF(RAND()&lt;((D8)-(C8))/((E8)-(C8)),SQRT(RAND()*((D8)-(C8))/((E8)-(C8))),1-SQRT(RAND()*((E8)-(D8))/((E8)-(C8))))</f>
        <v>0.65149520675305006</v>
      </c>
      <c r="D807" s="68">
        <f ca="1">(C9)+(E9-C9)*IF(RAND()&lt;((D9)-(C9))/((E9)-(C9)),SQRT(RAND()*((D9)-(C9))/((E9)-(C9))),1-SQRT(RAND()*((E9)-(D9))/((E9)-(C9))))</f>
        <v>1262667.2658243028</v>
      </c>
      <c r="E807" s="68">
        <f ca="1">(C10)+(E10-C10)*IF(RAND()&lt;((D10)-(C10))/((E10)-(C10)),SQRT(RAND()*((D10)-(C10))/((E10)-(C10))),1-SQRT(RAND()*((E10)-(D10))/((E10)-(C10))))</f>
        <v>3422693.038460141</v>
      </c>
      <c r="F807" s="67">
        <f ca="1">(C11)+(E11-C11)*IF(RAND()&lt;((D11)-(C11))/((E11)-(C11)),SQRT(RAND()*((D11)-(C11))/((E11)-(C11))),1-SQRT(RAND()*((E11)-(D11))/((E11)-(C11))))</f>
        <v>1.6525434398287402E-2</v>
      </c>
      <c r="G807" s="67">
        <f ca="1">(C12)+(E12-C12)*IF(RAND()&lt;((D12)-(C12))/((E12)-(C12)),SQRT(RAND()*((D12)-(C12))/((E12)-(C12))),1-SQRT(RAND()*((E12)-(D12))/((E12)-(C12))))</f>
        <v>0.13219652901136159</v>
      </c>
      <c r="H807" s="68">
        <f t="shared" ca="1" si="24"/>
        <v>267187226.72956923</v>
      </c>
      <c r="I807" s="69">
        <f t="shared" ca="1" si="25"/>
        <v>280.42386015832278</v>
      </c>
    </row>
    <row r="808" spans="1:9" ht="16.05" customHeight="1" x14ac:dyDescent="0.3">
      <c r="A808" s="70">
        <v>792</v>
      </c>
      <c r="B808" s="71">
        <f ca="1">(C7)+(E7-C7)*IF(RAND()&lt;((D7)-(C7))/((E7)-(C7)),SQRT(RAND()*((D7)-(C7))/((E7)-(C7))),1-SQRT(RAND()*((E7)-(D7))/((E7)-(C7))))</f>
        <v>0.24473702394411018</v>
      </c>
      <c r="C808" s="71">
        <f ca="1">(C8)+(E8-C8)*IF(RAND()&lt;((D8)-(C8))/((E8)-(C8)),SQRT(RAND()*((D8)-(C8))/((E8)-(C8))),1-SQRT(RAND()*((E8)-(D8))/((E8)-(C8))))</f>
        <v>0.62870787413665075</v>
      </c>
      <c r="D808" s="72">
        <f ca="1">(C9)+(E9-C9)*IF(RAND()&lt;((D9)-(C9))/((E9)-(C9)),SQRT(RAND()*((D9)-(C9))/((E9)-(C9))),1-SQRT(RAND()*((E9)-(D9))/((E9)-(C9))))</f>
        <v>1070863.6673880382</v>
      </c>
      <c r="E808" s="72">
        <f ca="1">(C10)+(E10-C10)*IF(RAND()&lt;((D10)-(C10))/((E10)-(C10)),SQRT(RAND()*((D10)-(C10))/((E10)-(C10))),1-SQRT(RAND()*((E10)-(D10))/((E10)-(C10))))</f>
        <v>3594723.4206048441</v>
      </c>
      <c r="F808" s="71">
        <f ca="1">(C11)+(E11-C11)*IF(RAND()&lt;((D11)-(C11))/((E11)-(C11)),SQRT(RAND()*((D11)-(C11))/((E11)-(C11))),1-SQRT(RAND()*((E11)-(D11))/((E11)-(C11))))</f>
        <v>1.2147687679254251E-2</v>
      </c>
      <c r="G808" s="71">
        <f ca="1">(C12)+(E12-C12)*IF(RAND()&lt;((D12)-(C12))/((E12)-(C12)),SQRT(RAND()*((D12)-(C12))/((E12)-(C12))),1-SQRT(RAND()*((E12)-(D12))/((E12)-(C12))))</f>
        <v>0.13625556975689285</v>
      </c>
      <c r="H808" s="72">
        <f t="shared" ca="1" si="24"/>
        <v>240381847.40524185</v>
      </c>
      <c r="I808" s="73">
        <f t="shared" ca="1" si="25"/>
        <v>297.39834701545101</v>
      </c>
    </row>
    <row r="809" spans="1:9" ht="16.05" customHeight="1" x14ac:dyDescent="0.3">
      <c r="A809" s="66">
        <v>793</v>
      </c>
      <c r="B809" s="67">
        <f ca="1">(C7)+(E7-C7)*IF(RAND()&lt;((D7)-(C7))/((E7)-(C7)),SQRT(RAND()*((D7)-(C7))/((E7)-(C7))),1-SQRT(RAND()*((E7)-(D7))/((E7)-(C7))))</f>
        <v>0.27658995873555725</v>
      </c>
      <c r="C809" s="67">
        <f ca="1">(C8)+(E8-C8)*IF(RAND()&lt;((D8)-(C8))/((E8)-(C8)),SQRT(RAND()*((D8)-(C8))/((E8)-(C8))),1-SQRT(RAND()*((E8)-(D8))/((E8)-(C8))))</f>
        <v>0.68726796945786717</v>
      </c>
      <c r="D809" s="68">
        <f ca="1">(C9)+(E9-C9)*IF(RAND()&lt;((D9)-(C9))/((E9)-(C9)),SQRT(RAND()*((D9)-(C9))/((E9)-(C9))),1-SQRT(RAND()*((E9)-(D9))/((E9)-(C9))))</f>
        <v>1312431.1628530698</v>
      </c>
      <c r="E809" s="68">
        <f ca="1">(C10)+(E10-C10)*IF(RAND()&lt;((D10)-(C10))/((E10)-(C10)),SQRT(RAND()*((D10)-(C10))/((E10)-(C10))),1-SQRT(RAND()*((E10)-(D10))/((E10)-(C10))))</f>
        <v>2886454.6061107432</v>
      </c>
      <c r="F809" s="67">
        <f ca="1">(C11)+(E11-C11)*IF(RAND()&lt;((D11)-(C11))/((E11)-(C11)),SQRT(RAND()*((D11)-(C11))/((E11)-(C11))),1-SQRT(RAND()*((E11)-(D11))/((E11)-(C11))))</f>
        <v>6.6423330349450489E-3</v>
      </c>
      <c r="G809" s="67">
        <f ca="1">(C12)+(E12-C12)*IF(RAND()&lt;((D12)-(C12))/((E12)-(C12)),SQRT(RAND()*((D12)-(C12))/((E12)-(C12))),1-SQRT(RAND()*((E12)-(D12))/((E12)-(C12))))</f>
        <v>0.17571550907322023</v>
      </c>
      <c r="H809" s="68">
        <f t="shared" ca="1" si="24"/>
        <v>242498785.84111249</v>
      </c>
      <c r="I809" s="69">
        <f t="shared" ca="1" si="25"/>
        <v>245.02917431238828</v>
      </c>
    </row>
    <row r="810" spans="1:9" ht="16.05" customHeight="1" x14ac:dyDescent="0.3">
      <c r="A810" s="70">
        <v>794</v>
      </c>
      <c r="B810" s="71">
        <f ca="1">(C7)+(E7-C7)*IF(RAND()&lt;((D7)-(C7))/((E7)-(C7)),SQRT(RAND()*((D7)-(C7))/((E7)-(C7))),1-SQRT(RAND()*((E7)-(D7))/((E7)-(C7))))</f>
        <v>0.26472191462431693</v>
      </c>
      <c r="C810" s="71">
        <f ca="1">(C8)+(E8-C8)*IF(RAND()&lt;((D8)-(C8))/((E8)-(C8)),SQRT(RAND()*((D8)-(C8))/((E8)-(C8))),1-SQRT(RAND()*((E8)-(D8))/((E8)-(C8))))</f>
        <v>0.72047271913294431</v>
      </c>
      <c r="D810" s="72">
        <f ca="1">(C9)+(E9-C9)*IF(RAND()&lt;((D9)-(C9))/((E9)-(C9)),SQRT(RAND()*((D9)-(C9))/((E9)-(C9))),1-SQRT(RAND()*((E9)-(D9))/((E9)-(C9))))</f>
        <v>1216909.9304357986</v>
      </c>
      <c r="E810" s="72">
        <f ca="1">(C10)+(E10-C10)*IF(RAND()&lt;((D10)-(C10))/((E10)-(C10)),SQRT(RAND()*((D10)-(C10))/((E10)-(C10))),1-SQRT(RAND()*((E10)-(D10))/((E10)-(C10))))</f>
        <v>3302674.4756201329</v>
      </c>
      <c r="F810" s="71">
        <f ca="1">(C11)+(E11-C11)*IF(RAND()&lt;((D11)-(C11))/((E11)-(C11)),SQRT(RAND()*((D11)-(C11))/((E11)-(C11))),1-SQRT(RAND()*((E11)-(D11))/((E11)-(C11))))</f>
        <v>2.2284159334973668E-2</v>
      </c>
      <c r="G810" s="71">
        <f ca="1">(C12)+(E12-C12)*IF(RAND()&lt;((D12)-(C12))/((E12)-(C12)),SQRT(RAND()*((D12)-(C12))/((E12)-(C12))),1-SQRT(RAND()*((E12)-(D12))/((E12)-(C12))))</f>
        <v>0.1563414694812757</v>
      </c>
      <c r="H810" s="72">
        <f t="shared" ca="1" si="24"/>
        <v>354603077.35320592</v>
      </c>
      <c r="I810" s="73">
        <f t="shared" ca="1" si="25"/>
        <v>385.66706505644311</v>
      </c>
    </row>
    <row r="811" spans="1:9" ht="16.05" customHeight="1" x14ac:dyDescent="0.3">
      <c r="A811" s="66">
        <v>795</v>
      </c>
      <c r="B811" s="67">
        <f ca="1">(C7)+(E7-C7)*IF(RAND()&lt;((D7)-(C7))/((E7)-(C7)),SQRT(RAND()*((D7)-(C7))/((E7)-(C7))),1-SQRT(RAND()*((E7)-(D7))/((E7)-(C7))))</f>
        <v>0.24040191445014875</v>
      </c>
      <c r="C811" s="67">
        <f ca="1">(C8)+(E8-C8)*IF(RAND()&lt;((D8)-(C8))/((E8)-(C8)),SQRT(RAND()*((D8)-(C8))/((E8)-(C8))),1-SQRT(RAND()*((E8)-(D8))/((E8)-(C8))))</f>
        <v>0.76612669060509053</v>
      </c>
      <c r="D811" s="68">
        <f ca="1">(C9)+(E9-C9)*IF(RAND()&lt;((D9)-(C9))/((E9)-(C9)),SQRT(RAND()*((D9)-(C9))/((E9)-(C9))),1-SQRT(RAND()*((E9)-(D9))/((E9)-(C9))))</f>
        <v>1277393.8408537153</v>
      </c>
      <c r="E811" s="68">
        <f ca="1">(C10)+(E10-C10)*IF(RAND()&lt;((D10)-(C10))/((E10)-(C10)),SQRT(RAND()*((D10)-(C10))/((E10)-(C10))),1-SQRT(RAND()*((E10)-(D10))/((E10)-(C10))))</f>
        <v>3352899.5888267923</v>
      </c>
      <c r="F811" s="67">
        <f ca="1">(C11)+(E11-C11)*IF(RAND()&lt;((D11)-(C11))/((E11)-(C11)),SQRT(RAND()*((D11)-(C11))/((E11)-(C11))),1-SQRT(RAND()*((E11)-(D11))/((E11)-(C11))))</f>
        <v>1.7123285402204331E-2</v>
      </c>
      <c r="G811" s="67">
        <f ca="1">(C12)+(E12-C12)*IF(RAND()&lt;((D12)-(C12))/((E12)-(C12)),SQRT(RAND()*((D12)-(C12))/((E12)-(C12))),1-SQRT(RAND()*((E12)-(D12))/((E12)-(C12))))</f>
        <v>0.12619051800335104</v>
      </c>
      <c r="H811" s="68">
        <f t="shared" ca="1" si="24"/>
        <v>309980372.18753719</v>
      </c>
      <c r="I811" s="69">
        <f t="shared" ca="1" si="25"/>
        <v>321.39271354719455</v>
      </c>
    </row>
    <row r="812" spans="1:9" ht="16.05" customHeight="1" x14ac:dyDescent="0.3">
      <c r="A812" s="70">
        <v>796</v>
      </c>
      <c r="B812" s="71">
        <f ca="1">(C7)+(E7-C7)*IF(RAND()&lt;((D7)-(C7))/((E7)-(C7)),SQRT(RAND()*((D7)-(C7))/((E7)-(C7))),1-SQRT(RAND()*((E7)-(D7))/((E7)-(C7))))</f>
        <v>0.25621633185970516</v>
      </c>
      <c r="C812" s="71">
        <f ca="1">(C8)+(E8-C8)*IF(RAND()&lt;((D8)-(C8))/((E8)-(C8)),SQRT(RAND()*((D8)-(C8))/((E8)-(C8))),1-SQRT(RAND()*((E8)-(D8))/((E8)-(C8))))</f>
        <v>0.6419021991322913</v>
      </c>
      <c r="D812" s="72">
        <f ca="1">(C9)+(E9-C9)*IF(RAND()&lt;((D9)-(C9))/((E9)-(C9)),SQRT(RAND()*((D9)-(C9))/((E9)-(C9))),1-SQRT(RAND()*((E9)-(D9))/((E9)-(C9))))</f>
        <v>1304143.3750545476</v>
      </c>
      <c r="E812" s="72">
        <f ca="1">(C10)+(E10-C10)*IF(RAND()&lt;((D10)-(C10))/((E10)-(C10)),SQRT(RAND()*((D10)-(C10))/((E10)-(C10))),1-SQRT(RAND()*((E10)-(D10))/((E10)-(C10))))</f>
        <v>4364786.1810416207</v>
      </c>
      <c r="F812" s="71">
        <f ca="1">(C11)+(E11-C11)*IF(RAND()&lt;((D11)-(C11))/((E11)-(C11)),SQRT(RAND()*((D11)-(C11))/((E11)-(C11))),1-SQRT(RAND()*((E11)-(D11))/((E11)-(C11))))</f>
        <v>6.5442283992323555E-3</v>
      </c>
      <c r="G812" s="71">
        <f ca="1">(C12)+(E12-C12)*IF(RAND()&lt;((D12)-(C12))/((E12)-(C12)),SQRT(RAND()*((D12)-(C12))/((E12)-(C12))),1-SQRT(RAND()*((E12)-(D12))/((E12)-(C12))))</f>
        <v>0.19418029426973402</v>
      </c>
      <c r="H812" s="72">
        <f t="shared" ca="1" si="24"/>
        <v>208315436.15027732</v>
      </c>
      <c r="I812" s="73">
        <f t="shared" ca="1" si="25"/>
        <v>212.00551282071811</v>
      </c>
    </row>
    <row r="813" spans="1:9" ht="16.05" customHeight="1" x14ac:dyDescent="0.3">
      <c r="A813" s="66">
        <v>797</v>
      </c>
      <c r="B813" s="67">
        <f ca="1">(C7)+(E7-C7)*IF(RAND()&lt;((D7)-(C7))/((E7)-(C7)),SQRT(RAND()*((D7)-(C7))/((E7)-(C7))),1-SQRT(RAND()*((E7)-(D7))/((E7)-(C7))))</f>
        <v>0.26821943407808602</v>
      </c>
      <c r="C813" s="67">
        <f ca="1">(C8)+(E8-C8)*IF(RAND()&lt;((D8)-(C8))/((E8)-(C8)),SQRT(RAND()*((D8)-(C8))/((E8)-(C8))),1-SQRT(RAND()*((E8)-(D8))/((E8)-(C8))))</f>
        <v>0.75579661370324747</v>
      </c>
      <c r="D813" s="68">
        <f ca="1">(C9)+(E9-C9)*IF(RAND()&lt;((D9)-(C9))/((E9)-(C9)),SQRT(RAND()*((D9)-(C9))/((E9)-(C9))),1-SQRT(RAND()*((E9)-(D9))/((E9)-(C9))))</f>
        <v>1249656.0865453628</v>
      </c>
      <c r="E813" s="68">
        <f ca="1">(C10)+(E10-C10)*IF(RAND()&lt;((D10)-(C10))/((E10)-(C10)),SQRT(RAND()*((D10)-(C10))/((E10)-(C10))),1-SQRT(RAND()*((E10)-(D10))/((E10)-(C10))))</f>
        <v>3878423.5947690802</v>
      </c>
      <c r="F813" s="67">
        <f ca="1">(C11)+(E11-C11)*IF(RAND()&lt;((D11)-(C11))/((E11)-(C11)),SQRT(RAND()*((D11)-(C11))/((E11)-(C11))),1-SQRT(RAND()*((E11)-(D11))/((E11)-(C11))))</f>
        <v>1.2109643542516809E-2</v>
      </c>
      <c r="G813" s="67">
        <f ca="1">(C12)+(E12-C12)*IF(RAND()&lt;((D12)-(C12))/((E12)-(C12)),SQRT(RAND()*((D12)-(C12))/((E12)-(C12))),1-SQRT(RAND()*((E12)-(D12))/((E12)-(C12))))</f>
        <v>0.1700606073494875</v>
      </c>
      <c r="H813" s="68">
        <f t="shared" ca="1" si="24"/>
        <v>292001015.0674625</v>
      </c>
      <c r="I813" s="69">
        <f t="shared" ca="1" si="25"/>
        <v>309.52031172693125</v>
      </c>
    </row>
    <row r="814" spans="1:9" ht="16.05" customHeight="1" x14ac:dyDescent="0.3">
      <c r="A814" s="70">
        <v>798</v>
      </c>
      <c r="B814" s="71">
        <f ca="1">(C7)+(E7-C7)*IF(RAND()&lt;((D7)-(C7))/((E7)-(C7)),SQRT(RAND()*((D7)-(C7))/((E7)-(C7))),1-SQRT(RAND()*((E7)-(D7))/((E7)-(C7))))</f>
        <v>0.28402522397893126</v>
      </c>
      <c r="C814" s="71">
        <f ca="1">(C8)+(E8-C8)*IF(RAND()&lt;((D8)-(C8))/((E8)-(C8)),SQRT(RAND()*((D8)-(C8))/((E8)-(C8))),1-SQRT(RAND()*((E8)-(D8))/((E8)-(C8))))</f>
        <v>0.69950415942429311</v>
      </c>
      <c r="D814" s="72">
        <f ca="1">(C9)+(E9-C9)*IF(RAND()&lt;((D9)-(C9))/((E9)-(C9)),SQRT(RAND()*((D9)-(C9))/((E9)-(C9))),1-SQRT(RAND()*((E9)-(D9))/((E9)-(C9))))</f>
        <v>1199659.9879201294</v>
      </c>
      <c r="E814" s="72">
        <f ca="1">(C10)+(E10-C10)*IF(RAND()&lt;((D10)-(C10))/((E10)-(C10)),SQRT(RAND()*((D10)-(C10))/((E10)-(C10))),1-SQRT(RAND()*((E10)-(D10))/((E10)-(C10))))</f>
        <v>3915750.9643564885</v>
      </c>
      <c r="F814" s="71">
        <f ca="1">(C11)+(E11-C11)*IF(RAND()&lt;((D11)-(C11))/((E11)-(C11)),SQRT(RAND()*((D11)-(C11))/((E11)-(C11))),1-SQRT(RAND()*((E11)-(D11))/((E11)-(C11))))</f>
        <v>2.019135607181163E-2</v>
      </c>
      <c r="G814" s="71">
        <f ca="1">(C12)+(E12-C12)*IF(RAND()&lt;((D12)-(C12))/((E12)-(C12)),SQRT(RAND()*((D12)-(C12))/((E12)-(C12))),1-SQRT(RAND()*((E12)-(D12))/((E12)-(C12))))</f>
        <v>0.13028106602279568</v>
      </c>
      <c r="H814" s="72">
        <f t="shared" ca="1" si="24"/>
        <v>345842471.17556047</v>
      </c>
      <c r="I814" s="73">
        <f t="shared" ca="1" si="25"/>
        <v>381.56161267529421</v>
      </c>
    </row>
    <row r="815" spans="1:9" ht="16.05" customHeight="1" x14ac:dyDescent="0.3">
      <c r="A815" s="66">
        <v>799</v>
      </c>
      <c r="B815" s="67">
        <f ca="1">(C7)+(E7-C7)*IF(RAND()&lt;((D7)-(C7))/((E7)-(C7)),SQRT(RAND()*((D7)-(C7))/((E7)-(C7))),1-SQRT(RAND()*((E7)-(D7))/((E7)-(C7))))</f>
        <v>0.25129946839725903</v>
      </c>
      <c r="C815" s="67">
        <f ca="1">(C8)+(E8-C8)*IF(RAND()&lt;((D8)-(C8))/((E8)-(C8)),SQRT(RAND()*((D8)-(C8))/((E8)-(C8))),1-SQRT(RAND()*((E8)-(D8))/((E8)-(C8))))</f>
        <v>0.79657146394706313</v>
      </c>
      <c r="D815" s="68">
        <f ca="1">(C9)+(E9-C9)*IF(RAND()&lt;((D9)-(C9))/((E9)-(C9)),SQRT(RAND()*((D9)-(C9))/((E9)-(C9))),1-SQRT(RAND()*((E9)-(D9))/((E9)-(C9))))</f>
        <v>1241651.1875927444</v>
      </c>
      <c r="E815" s="68">
        <f ca="1">(C10)+(E10-C10)*IF(RAND()&lt;((D10)-(C10))/((E10)-(C10)),SQRT(RAND()*((D10)-(C10))/((E10)-(C10))),1-SQRT(RAND()*((E10)-(D10))/((E10)-(C10))))</f>
        <v>4075128.0653864141</v>
      </c>
      <c r="F815" s="67">
        <f ca="1">(C11)+(E11-C11)*IF(RAND()&lt;((D11)-(C11))/((E11)-(C11)),SQRT(RAND()*((D11)-(C11))/((E11)-(C11))),1-SQRT(RAND()*((E11)-(D11))/((E11)-(C11))))</f>
        <v>8.9199565215148137E-3</v>
      </c>
      <c r="G815" s="67">
        <f ca="1">(C12)+(E12-C12)*IF(RAND()&lt;((D12)-(C12))/((E12)-(C12)),SQRT(RAND()*((D12)-(C12))/((E12)-(C12))),1-SQRT(RAND()*((E12)-(D12))/((E12)-(C12))))</f>
        <v>0.15520339467187144</v>
      </c>
      <c r="H815" s="68">
        <f t="shared" ca="1" si="24"/>
        <v>265476403.73130831</v>
      </c>
      <c r="I815" s="69">
        <f t="shared" ca="1" si="25"/>
        <v>283.33058298961737</v>
      </c>
    </row>
    <row r="816" spans="1:9" ht="16.05" customHeight="1" x14ac:dyDescent="0.3">
      <c r="A816" s="70">
        <v>800</v>
      </c>
      <c r="B816" s="71">
        <f ca="1">(C7)+(E7-C7)*IF(RAND()&lt;((D7)-(C7))/((E7)-(C7)),SQRT(RAND()*((D7)-(C7))/((E7)-(C7))),1-SQRT(RAND()*((E7)-(D7))/((E7)-(C7))))</f>
        <v>0.26532073877153994</v>
      </c>
      <c r="C816" s="71">
        <f ca="1">(C8)+(E8-C8)*IF(RAND()&lt;((D8)-(C8))/((E8)-(C8)),SQRT(RAND()*((D8)-(C8))/((E8)-(C8))),1-SQRT(RAND()*((E8)-(D8))/((E8)-(C8))))</f>
        <v>0.65520231943260332</v>
      </c>
      <c r="D816" s="72">
        <f ca="1">(C9)+(E9-C9)*IF(RAND()&lt;((D9)-(C9))/((E9)-(C9)),SQRT(RAND()*((D9)-(C9))/((E9)-(C9))),1-SQRT(RAND()*((E9)-(D9))/((E9)-(C9))))</f>
        <v>1206433.6366984034</v>
      </c>
      <c r="E816" s="72">
        <f ca="1">(C10)+(E10-C10)*IF(RAND()&lt;((D10)-(C10))/((E10)-(C10)),SQRT(RAND()*((D10)-(C10))/((E10)-(C10))),1-SQRT(RAND()*((E10)-(D10))/((E10)-(C10))))</f>
        <v>2587095.4391851528</v>
      </c>
      <c r="F816" s="71">
        <f ca="1">(C11)+(E11-C11)*IF(RAND()&lt;((D11)-(C11))/((E11)-(C11)),SQRT(RAND()*((D11)-(C11))/((E11)-(C11))),1-SQRT(RAND()*((E11)-(D11))/((E11)-(C11))))</f>
        <v>8.9718695803978621E-3</v>
      </c>
      <c r="G816" s="71">
        <f ca="1">(C12)+(E12-C12)*IF(RAND()&lt;((D12)-(C12))/((E12)-(C12)),SQRT(RAND()*((D12)-(C12))/((E12)-(C12))),1-SQRT(RAND()*((E12)-(D12))/((E12)-(C12))))</f>
        <v>0.13834469072217984</v>
      </c>
      <c r="H816" s="72">
        <f t="shared" ca="1" si="24"/>
        <v>242871216.96952185</v>
      </c>
      <c r="I816" s="73">
        <f t="shared" ca="1" si="25"/>
        <v>266.84878218592416</v>
      </c>
    </row>
    <row r="817" spans="1:9" ht="16.05" customHeight="1" x14ac:dyDescent="0.3">
      <c r="A817" s="66">
        <v>801</v>
      </c>
      <c r="B817" s="67">
        <f ca="1">(C7)+(E7-C7)*IF(RAND()&lt;((D7)-(C7))/((E7)-(C7)),SQRT(RAND()*((D7)-(C7))/((E7)-(C7))),1-SQRT(RAND()*((E7)-(D7))/((E7)-(C7))))</f>
        <v>0.27370089799828168</v>
      </c>
      <c r="C817" s="67">
        <f ca="1">(C8)+(E8-C8)*IF(RAND()&lt;((D8)-(C8))/((E8)-(C8)),SQRT(RAND()*((D8)-(C8))/((E8)-(C8))),1-SQRT(RAND()*((E8)-(D8))/((E8)-(C8))))</f>
        <v>0.69073119374333369</v>
      </c>
      <c r="D817" s="68">
        <f ca="1">(C9)+(E9-C9)*IF(RAND()&lt;((D9)-(C9))/((E9)-(C9)),SQRT(RAND()*((D9)-(C9))/((E9)-(C9))),1-SQRT(RAND()*((E9)-(D9))/((E9)-(C9))))</f>
        <v>1347919.2712881877</v>
      </c>
      <c r="E817" s="68">
        <f ca="1">(C10)+(E10-C10)*IF(RAND()&lt;((D10)-(C10))/((E10)-(C10)),SQRT(RAND()*((D10)-(C10))/((E10)-(C10))),1-SQRT(RAND()*((E10)-(D10))/((E10)-(C10))))</f>
        <v>3051282.7690302599</v>
      </c>
      <c r="F817" s="67">
        <f ca="1">(C11)+(E11-C11)*IF(RAND()&lt;((D11)-(C11))/((E11)-(C11)),SQRT(RAND()*((D11)-(C11))/((E11)-(C11))),1-SQRT(RAND()*((E11)-(D11))/((E11)-(C11))))</f>
        <v>1.5694034710452921E-2</v>
      </c>
      <c r="G817" s="67">
        <f ca="1">(C12)+(E12-C12)*IF(RAND()&lt;((D12)-(C12))/((E12)-(C12)),SQRT(RAND()*((D12)-(C12))/((E12)-(C12))),1-SQRT(RAND()*((E12)-(D12))/((E12)-(C12))))</f>
        <v>0.13282745038196597</v>
      </c>
      <c r="H817" s="68">
        <f t="shared" ca="1" si="24"/>
        <v>306041615.88359541</v>
      </c>
      <c r="I817" s="69">
        <f t="shared" ca="1" si="25"/>
        <v>300.79169696502242</v>
      </c>
    </row>
    <row r="818" spans="1:9" ht="16.05" customHeight="1" x14ac:dyDescent="0.3">
      <c r="A818" s="70">
        <v>802</v>
      </c>
      <c r="B818" s="71">
        <f ca="1">(C7)+(E7-C7)*IF(RAND()&lt;((D7)-(C7))/((E7)-(C7)),SQRT(RAND()*((D7)-(C7))/((E7)-(C7))),1-SQRT(RAND()*((E7)-(D7))/((E7)-(C7))))</f>
        <v>0.29384864860305693</v>
      </c>
      <c r="C818" s="71">
        <f ca="1">(C8)+(E8-C8)*IF(RAND()&lt;((D8)-(C8))/((E8)-(C8)),SQRT(RAND()*((D8)-(C8))/((E8)-(C8))),1-SQRT(RAND()*((E8)-(D8))/((E8)-(C8))))</f>
        <v>0.68217161651876235</v>
      </c>
      <c r="D818" s="72">
        <f ca="1">(C9)+(E9-C9)*IF(RAND()&lt;((D9)-(C9))/((E9)-(C9)),SQRT(RAND()*((D9)-(C9))/((E9)-(C9))),1-SQRT(RAND()*((E9)-(D9))/((E9)-(C9))))</f>
        <v>1382699.805992302</v>
      </c>
      <c r="E818" s="72">
        <f ca="1">(C10)+(E10-C10)*IF(RAND()&lt;((D10)-(C10))/((E10)-(C10)),SQRT(RAND()*((D10)-(C10))/((E10)-(C10))),1-SQRT(RAND()*((E10)-(D10))/((E10)-(C10))))</f>
        <v>3893634.965586381</v>
      </c>
      <c r="F818" s="71">
        <f ca="1">(C11)+(E11-C11)*IF(RAND()&lt;((D11)-(C11))/((E11)-(C11)),SQRT(RAND()*((D11)-(C11))/((E11)-(C11))),1-SQRT(RAND()*((E11)-(D11))/((E11)-(C11))))</f>
        <v>1.2344405938347553E-2</v>
      </c>
      <c r="G818" s="71">
        <f ca="1">(C12)+(E12-C12)*IF(RAND()&lt;((D12)-(C12))/((E12)-(C12)),SQRT(RAND()*((D12)-(C12))/((E12)-(C12))),1-SQRT(RAND()*((E12)-(D12))/((E12)-(C12))))</f>
        <v>0.15230730332566658</v>
      </c>
      <c r="H818" s="72">
        <f t="shared" ca="1" si="24"/>
        <v>291041467.0141865</v>
      </c>
      <c r="I818" s="73">
        <f t="shared" ca="1" si="25"/>
        <v>278.94976985009777</v>
      </c>
    </row>
    <row r="819" spans="1:9" ht="16.05" customHeight="1" x14ac:dyDescent="0.3">
      <c r="A819" s="66">
        <v>803</v>
      </c>
      <c r="B819" s="67">
        <f ca="1">(C7)+(E7-C7)*IF(RAND()&lt;((D7)-(C7))/((E7)-(C7)),SQRT(RAND()*((D7)-(C7))/((E7)-(C7))),1-SQRT(RAND()*((E7)-(D7))/((E7)-(C7))))</f>
        <v>0.23605511015451558</v>
      </c>
      <c r="C819" s="67">
        <f ca="1">(C8)+(E8-C8)*IF(RAND()&lt;((D8)-(C8))/((E8)-(C8)),SQRT(RAND()*((D8)-(C8))/((E8)-(C8))),1-SQRT(RAND()*((E8)-(D8))/((E8)-(C8))))</f>
        <v>0.66401140303397133</v>
      </c>
      <c r="D819" s="68">
        <f ca="1">(C9)+(E9-C9)*IF(RAND()&lt;((D9)-(C9))/((E9)-(C9)),SQRT(RAND()*((D9)-(C9))/((E9)-(C9))),1-SQRT(RAND()*((E9)-(D9))/((E9)-(C9))))</f>
        <v>1316323.5368169229</v>
      </c>
      <c r="E819" s="68">
        <f ca="1">(C10)+(E10-C10)*IF(RAND()&lt;((D10)-(C10))/((E10)-(C10)),SQRT(RAND()*((D10)-(C10))/((E10)-(C10))),1-SQRT(RAND()*((E10)-(D10))/((E10)-(C10))))</f>
        <v>3223835.0577166942</v>
      </c>
      <c r="F819" s="67">
        <f ca="1">(C11)+(E11-C11)*IF(RAND()&lt;((D11)-(C11))/((E11)-(C11)),SQRT(RAND()*((D11)-(C11))/((E11)-(C11))),1-SQRT(RAND()*((E11)-(D11))/((E11)-(C11))))</f>
        <v>1.5035022487782941E-2</v>
      </c>
      <c r="G819" s="67">
        <f ca="1">(C12)+(E12-C12)*IF(RAND()&lt;((D12)-(C12))/((E12)-(C12)),SQRT(RAND()*((D12)-(C12))/((E12)-(C12))),1-SQRT(RAND()*((E12)-(D12))/((E12)-(C12))))</f>
        <v>0.15486945768178567</v>
      </c>
      <c r="H819" s="68">
        <f t="shared" ca="1" si="24"/>
        <v>265510221.99933818</v>
      </c>
      <c r="I819" s="69">
        <f t="shared" ca="1" si="25"/>
        <v>267.36652712224435</v>
      </c>
    </row>
    <row r="820" spans="1:9" ht="16.05" customHeight="1" x14ac:dyDescent="0.3">
      <c r="A820" s="70">
        <v>804</v>
      </c>
      <c r="B820" s="71">
        <f ca="1">(C7)+(E7-C7)*IF(RAND()&lt;((D7)-(C7))/((E7)-(C7)),SQRT(RAND()*((D7)-(C7))/((E7)-(C7))),1-SQRT(RAND()*((E7)-(D7))/((E7)-(C7))))</f>
        <v>0.30747742868079009</v>
      </c>
      <c r="C820" s="71">
        <f ca="1">(C8)+(E8-C8)*IF(RAND()&lt;((D8)-(C8))/((E8)-(C8)),SQRT(RAND()*((D8)-(C8))/((E8)-(C8))),1-SQRT(RAND()*((E8)-(D8))/((E8)-(C8))))</f>
        <v>0.60523242861342641</v>
      </c>
      <c r="D820" s="72">
        <f ca="1">(C9)+(E9-C9)*IF(RAND()&lt;((D9)-(C9))/((E9)-(C9)),SQRT(RAND()*((D9)-(C9))/((E9)-(C9))),1-SQRT(RAND()*((E9)-(D9))/((E9)-(C9))))</f>
        <v>1260898.4579725452</v>
      </c>
      <c r="E820" s="72">
        <f ca="1">(C10)+(E10-C10)*IF(RAND()&lt;((D10)-(C10))/((E10)-(C10)),SQRT(RAND()*((D10)-(C10))/((E10)-(C10))),1-SQRT(RAND()*((E10)-(D10))/((E10)-(C10))))</f>
        <v>3062154.7020971538</v>
      </c>
      <c r="F820" s="71">
        <f ca="1">(C11)+(E11-C11)*IF(RAND()&lt;((D11)-(C11))/((E11)-(C11)),SQRT(RAND()*((D11)-(C11))/((E11)-(C11))),1-SQRT(RAND()*((E11)-(D11))/((E11)-(C11))))</f>
        <v>2.2724759766656891E-2</v>
      </c>
      <c r="G820" s="71">
        <f ca="1">(C12)+(E12-C12)*IF(RAND()&lt;((D12)-(C12))/((E12)-(C12)),SQRT(RAND()*((D12)-(C12))/((E12)-(C12))),1-SQRT(RAND()*((E12)-(D12))/((E12)-(C12))))</f>
        <v>0.2041404245844986</v>
      </c>
      <c r="H820" s="72">
        <f t="shared" ca="1" si="24"/>
        <v>353614143.7187475</v>
      </c>
      <c r="I820" s="73">
        <f t="shared" ca="1" si="25"/>
        <v>371.22395356750479</v>
      </c>
    </row>
    <row r="821" spans="1:9" ht="16.05" customHeight="1" x14ac:dyDescent="0.3">
      <c r="A821" s="66">
        <v>805</v>
      </c>
      <c r="B821" s="67">
        <f ca="1">(C7)+(E7-C7)*IF(RAND()&lt;((D7)-(C7))/((E7)-(C7)),SQRT(RAND()*((D7)-(C7))/((E7)-(C7))),1-SQRT(RAND()*((E7)-(D7))/((E7)-(C7))))</f>
        <v>0.22329368086897269</v>
      </c>
      <c r="C821" s="67">
        <f ca="1">(C8)+(E8-C8)*IF(RAND()&lt;((D8)-(C8))/((E8)-(C8)),SQRT(RAND()*((D8)-(C8))/((E8)-(C8))),1-SQRT(RAND()*((E8)-(D8))/((E8)-(C8))))</f>
        <v>0.61136626672739225</v>
      </c>
      <c r="D821" s="68">
        <f ca="1">(C9)+(E9-C9)*IF(RAND()&lt;((D9)-(C9))/((E9)-(C9)),SQRT(RAND()*((D9)-(C9))/((E9)-(C9))),1-SQRT(RAND()*((E9)-(D9))/((E9)-(C9))))</f>
        <v>1225142.5881660092</v>
      </c>
      <c r="E821" s="68">
        <f ca="1">(C10)+(E10-C10)*IF(RAND()&lt;((D10)-(C10))/((E10)-(C10)),SQRT(RAND()*((D10)-(C10))/((E10)-(C10))),1-SQRT(RAND()*((E10)-(D10))/((E10)-(C10))))</f>
        <v>4810430.8373003807</v>
      </c>
      <c r="F821" s="67">
        <f ca="1">(C11)+(E11-C11)*IF(RAND()&lt;((D11)-(C11))/((E11)-(C11)),SQRT(RAND()*((D11)-(C11))/((E11)-(C11))),1-SQRT(RAND()*((E11)-(D11))/((E11)-(C11))))</f>
        <v>9.1995394769557436E-3</v>
      </c>
      <c r="G821" s="67">
        <f ca="1">(C12)+(E12-C12)*IF(RAND()&lt;((D12)-(C12))/((E12)-(C12)),SQRT(RAND()*((D12)-(C12))/((E12)-(C12))),1-SQRT(RAND()*((E12)-(D12))/((E12)-(C12))))</f>
        <v>0.16030463207924994</v>
      </c>
      <c r="H821" s="68">
        <f t="shared" ca="1" si="24"/>
        <v>195460111.85314366</v>
      </c>
      <c r="I821" s="69">
        <f t="shared" ca="1" si="25"/>
        <v>211.75116730192565</v>
      </c>
    </row>
    <row r="822" spans="1:9" ht="16.05" customHeight="1" x14ac:dyDescent="0.3">
      <c r="A822" s="70">
        <v>806</v>
      </c>
      <c r="B822" s="71">
        <f ca="1">(C7)+(E7-C7)*IF(RAND()&lt;((D7)-(C7))/((E7)-(C7)),SQRT(RAND()*((D7)-(C7))/((E7)-(C7))),1-SQRT(RAND()*((E7)-(D7))/((E7)-(C7))))</f>
        <v>0.27951456510353989</v>
      </c>
      <c r="C822" s="71">
        <f ca="1">(C8)+(E8-C8)*IF(RAND()&lt;((D8)-(C8))/((E8)-(C8)),SQRT(RAND()*((D8)-(C8))/((E8)-(C8))),1-SQRT(RAND()*((E8)-(D8))/((E8)-(C8))))</f>
        <v>0.61050290679581065</v>
      </c>
      <c r="D822" s="72">
        <f ca="1">(C9)+(E9-C9)*IF(RAND()&lt;((D9)-(C9))/((E9)-(C9)),SQRT(RAND()*((D9)-(C9))/((E9)-(C9))),1-SQRT(RAND()*((E9)-(D9))/((E9)-(C9))))</f>
        <v>1241134.2886961</v>
      </c>
      <c r="E822" s="72">
        <f ca="1">(C10)+(E10-C10)*IF(RAND()&lt;((D10)-(C10))/((E10)-(C10)),SQRT(RAND()*((D10)-(C10))/((E10)-(C10))),1-SQRT(RAND()*((E10)-(D10))/((E10)-(C10))))</f>
        <v>3866728.2046081461</v>
      </c>
      <c r="F822" s="71">
        <f ca="1">(C11)+(E11-C11)*IF(RAND()&lt;((D11)-(C11))/((E11)-(C11)),SQRT(RAND()*((D11)-(C11))/((E11)-(C11))),1-SQRT(RAND()*((E11)-(D11))/((E11)-(C11))))</f>
        <v>1.5836269820164801E-2</v>
      </c>
      <c r="G822" s="71">
        <f ca="1">(C12)+(E12-C12)*IF(RAND()&lt;((D12)-(C12))/((E12)-(C12)),SQRT(RAND()*((D12)-(C12))/((E12)-(C12))),1-SQRT(RAND()*((E12)-(D12))/((E12)-(C12))))</f>
        <v>0.15726080616593671</v>
      </c>
      <c r="H822" s="72">
        <f t="shared" ca="1" si="24"/>
        <v>284055327.77058434</v>
      </c>
      <c r="I822" s="73">
        <f t="shared" ca="1" si="25"/>
        <v>303.1923646632884</v>
      </c>
    </row>
    <row r="823" spans="1:9" ht="16.05" customHeight="1" x14ac:dyDescent="0.3">
      <c r="A823" s="66">
        <v>807</v>
      </c>
      <c r="B823" s="67">
        <f ca="1">(C7)+(E7-C7)*IF(RAND()&lt;((D7)-(C7))/((E7)-(C7)),SQRT(RAND()*((D7)-(C7))/((E7)-(C7))),1-SQRT(RAND()*((E7)-(D7))/((E7)-(C7))))</f>
        <v>0.29290529625474737</v>
      </c>
      <c r="C823" s="67">
        <f ca="1">(C8)+(E8-C8)*IF(RAND()&lt;((D8)-(C8))/((E8)-(C8)),SQRT(RAND()*((D8)-(C8))/((E8)-(C8))),1-SQRT(RAND()*((E8)-(D8))/((E8)-(C8))))</f>
        <v>0.6984095702515617</v>
      </c>
      <c r="D823" s="68">
        <f ca="1">(C9)+(E9-C9)*IF(RAND()&lt;((D9)-(C9))/((E9)-(C9)),SQRT(RAND()*((D9)-(C9))/((E9)-(C9))),1-SQRT(RAND()*((E9)-(D9))/((E9)-(C9))))</f>
        <v>1202973.5351905962</v>
      </c>
      <c r="E823" s="68">
        <f ca="1">(C10)+(E10-C10)*IF(RAND()&lt;((D10)-(C10))/((E10)-(C10)),SQRT(RAND()*((D10)-(C10))/((E10)-(C10))),1-SQRT(RAND()*((E10)-(D10))/((E10)-(C10))))</f>
        <v>3364473.0529891336</v>
      </c>
      <c r="F823" s="67">
        <f ca="1">(C11)+(E11-C11)*IF(RAND()&lt;((D11)-(C11))/((E11)-(C11)),SQRT(RAND()*((D11)-(C11))/((E11)-(C11))),1-SQRT(RAND()*((E11)-(D11))/((E11)-(C11))))</f>
        <v>1.6213093173536225E-2</v>
      </c>
      <c r="G823" s="67">
        <f ca="1">(C12)+(E12-C12)*IF(RAND()&lt;((D12)-(C12))/((E12)-(C12)),SQRT(RAND()*((D12)-(C12))/((E12)-(C12))),1-SQRT(RAND()*((E12)-(D12))/((E12)-(C12))))</f>
        <v>0.18556838192424616</v>
      </c>
      <c r="H823" s="68">
        <f t="shared" ca="1" si="24"/>
        <v>325624380.9456892</v>
      </c>
      <c r="I823" s="69">
        <f t="shared" ca="1" si="25"/>
        <v>358.34634031748413</v>
      </c>
    </row>
    <row r="824" spans="1:9" ht="16.05" customHeight="1" x14ac:dyDescent="0.3">
      <c r="A824" s="70">
        <v>808</v>
      </c>
      <c r="B824" s="71">
        <f ca="1">(C7)+(E7-C7)*IF(RAND()&lt;((D7)-(C7))/((E7)-(C7)),SQRT(RAND()*((D7)-(C7))/((E7)-(C7))),1-SQRT(RAND()*((E7)-(D7))/((E7)-(C7))))</f>
        <v>0.22909034186798927</v>
      </c>
      <c r="C824" s="71">
        <f ca="1">(C8)+(E8-C8)*IF(RAND()&lt;((D8)-(C8))/((E8)-(C8)),SQRT(RAND()*((D8)-(C8))/((E8)-(C8))),1-SQRT(RAND()*((E8)-(D8))/((E8)-(C8))))</f>
        <v>0.78602754690039744</v>
      </c>
      <c r="D824" s="72">
        <f ca="1">(C9)+(E9-C9)*IF(RAND()&lt;((D9)-(C9))/((E9)-(C9)),SQRT(RAND()*((D9)-(C9))/((E9)-(C9))),1-SQRT(RAND()*((E9)-(D9))/((E9)-(C9))))</f>
        <v>1328315.2367181662</v>
      </c>
      <c r="E824" s="72">
        <f ca="1">(C10)+(E10-C10)*IF(RAND()&lt;((D10)-(C10))/((E10)-(C10)),SQRT(RAND()*((D10)-(C10))/((E10)-(C10))),1-SQRT(RAND()*((E10)-(D10))/((E10)-(C10))))</f>
        <v>2847924.485046302</v>
      </c>
      <c r="F824" s="71">
        <f ca="1">(C11)+(E11-C11)*IF(RAND()&lt;((D11)-(C11))/((E11)-(C11)),SQRT(RAND()*((D11)-(C11))/((E11)-(C11))),1-SQRT(RAND()*((E11)-(D11))/((E11)-(C11))))</f>
        <v>1.3388336279885091E-2</v>
      </c>
      <c r="G824" s="71">
        <f ca="1">(C12)+(E12-C12)*IF(RAND()&lt;((D12)-(C12))/((E12)-(C12)),SQRT(RAND()*((D12)-(C12))/((E12)-(C12))),1-SQRT(RAND()*((E12)-(D12))/((E12)-(C12))))</f>
        <v>0.21054429470690433</v>
      </c>
      <c r="H824" s="72">
        <f t="shared" ca="1" si="24"/>
        <v>280417879.78522551</v>
      </c>
      <c r="I824" s="73">
        <f t="shared" ca="1" si="25"/>
        <v>279.76768772871998</v>
      </c>
    </row>
    <row r="825" spans="1:9" ht="16.05" customHeight="1" x14ac:dyDescent="0.3">
      <c r="A825" s="66">
        <v>809</v>
      </c>
      <c r="B825" s="67">
        <f ca="1">(C7)+(E7-C7)*IF(RAND()&lt;((D7)-(C7))/((E7)-(C7)),SQRT(RAND()*((D7)-(C7))/((E7)-(C7))),1-SQRT(RAND()*((E7)-(D7))/((E7)-(C7))))</f>
        <v>0.34426113825080701</v>
      </c>
      <c r="C825" s="67">
        <f ca="1">(C8)+(E8-C8)*IF(RAND()&lt;((D8)-(C8))/((E8)-(C8)),SQRT(RAND()*((D8)-(C8))/((E8)-(C8))),1-SQRT(RAND()*((E8)-(D8))/((E8)-(C8))))</f>
        <v>0.71483573734785377</v>
      </c>
      <c r="D825" s="68">
        <f ca="1">(C9)+(E9-C9)*IF(RAND()&lt;((D9)-(C9))/((E9)-(C9)),SQRT(RAND()*((D9)-(C9))/((E9)-(C9))),1-SQRT(RAND()*((E9)-(D9))/((E9)-(C9))))</f>
        <v>1306049.8126319265</v>
      </c>
      <c r="E825" s="68">
        <f ca="1">(C10)+(E10-C10)*IF(RAND()&lt;((D10)-(C10))/((E10)-(C10)),SQRT(RAND()*((D10)-(C10))/((E10)-(C10))),1-SQRT(RAND()*((E10)-(D10))/((E10)-(C10))))</f>
        <v>3404395.2413031789</v>
      </c>
      <c r="F825" s="67">
        <f ca="1">(C11)+(E11-C11)*IF(RAND()&lt;((D11)-(C11))/((E11)-(C11)),SQRT(RAND()*((D11)-(C11))/((E11)-(C11))),1-SQRT(RAND()*((E11)-(D11))/((E11)-(C11))))</f>
        <v>1.1669624946495207E-2</v>
      </c>
      <c r="G825" s="67">
        <f ca="1">(C12)+(E12-C12)*IF(RAND()&lt;((D12)-(C12))/((E12)-(C12)),SQRT(RAND()*((D12)-(C12))/((E12)-(C12))),1-SQRT(RAND()*((E12)-(D12))/((E12)-(C12))))</f>
        <v>0.15650447393322309</v>
      </c>
      <c r="H825" s="68">
        <f t="shared" ca="1" si="24"/>
        <v>337751198.30078918</v>
      </c>
      <c r="I825" s="69">
        <f t="shared" ca="1" si="25"/>
        <v>342.41591336120888</v>
      </c>
    </row>
    <row r="826" spans="1:9" ht="16.05" customHeight="1" x14ac:dyDescent="0.3">
      <c r="A826" s="70">
        <v>810</v>
      </c>
      <c r="B826" s="71">
        <f ca="1">(C7)+(E7-C7)*IF(RAND()&lt;((D7)-(C7))/((E7)-(C7)),SQRT(RAND()*((D7)-(C7))/((E7)-(C7))),1-SQRT(RAND()*((E7)-(D7))/((E7)-(C7))))</f>
        <v>0.28611259583718379</v>
      </c>
      <c r="C826" s="71">
        <f ca="1">(C8)+(E8-C8)*IF(RAND()&lt;((D8)-(C8))/((E8)-(C8)),SQRT(RAND()*((D8)-(C8))/((E8)-(C8))),1-SQRT(RAND()*((E8)-(D8))/((E8)-(C8))))</f>
        <v>0.60581451502892625</v>
      </c>
      <c r="D826" s="72">
        <f ca="1">(C9)+(E9-C9)*IF(RAND()&lt;((D9)-(C9))/((E9)-(C9)),SQRT(RAND()*((D9)-(C9))/((E9)-(C9))),1-SQRT(RAND()*((E9)-(D9))/((E9)-(C9))))</f>
        <v>1259873.640348387</v>
      </c>
      <c r="E826" s="72">
        <f ca="1">(C10)+(E10-C10)*IF(RAND()&lt;((D10)-(C10))/((E10)-(C10)),SQRT(RAND()*((D10)-(C10))/((E10)-(C10))),1-SQRT(RAND()*((E10)-(D10))/((E10)-(C10))))</f>
        <v>4518432.0978869833</v>
      </c>
      <c r="F826" s="71">
        <f ca="1">(C11)+(E11-C11)*IF(RAND()&lt;((D11)-(C11))/((E11)-(C11)),SQRT(RAND()*((D11)-(C11))/((E11)-(C11))),1-SQRT(RAND()*((E11)-(D11))/((E11)-(C11))))</f>
        <v>5.7003206813373035E-3</v>
      </c>
      <c r="G826" s="71">
        <f ca="1">(C12)+(E12-C12)*IF(RAND()&lt;((D12)-(C12))/((E12)-(C12)),SQRT(RAND()*((D12)-(C12))/((E12)-(C12))),1-SQRT(RAND()*((E12)-(D12))/((E12)-(C12))))</f>
        <v>0.16278236933122608</v>
      </c>
      <c r="H826" s="72">
        <f t="shared" ca="1" si="24"/>
        <v>211331324.09313485</v>
      </c>
      <c r="I826" s="73">
        <f t="shared" ca="1" si="25"/>
        <v>222.5660598221684</v>
      </c>
    </row>
    <row r="827" spans="1:9" ht="16.05" customHeight="1" x14ac:dyDescent="0.3">
      <c r="A827" s="66">
        <v>811</v>
      </c>
      <c r="B827" s="67">
        <f ca="1">(C7)+(E7-C7)*IF(RAND()&lt;((D7)-(C7))/((E7)-(C7)),SQRT(RAND()*((D7)-(C7))/((E7)-(C7))),1-SQRT(RAND()*((E7)-(D7))/((E7)-(C7))))</f>
        <v>0.30361819588993799</v>
      </c>
      <c r="C827" s="67">
        <f ca="1">(C8)+(E8-C8)*IF(RAND()&lt;((D8)-(C8))/((E8)-(C8)),SQRT(RAND()*((D8)-(C8))/((E8)-(C8))),1-SQRT(RAND()*((E8)-(D8))/((E8)-(C8))))</f>
        <v>0.71943790762999416</v>
      </c>
      <c r="D827" s="68">
        <f ca="1">(C9)+(E9-C9)*IF(RAND()&lt;((D9)-(C9))/((E9)-(C9)),SQRT(RAND()*((D9)-(C9))/((E9)-(C9))),1-SQRT(RAND()*((E9)-(D9))/((E9)-(C9))))</f>
        <v>1271917.5239787665</v>
      </c>
      <c r="E827" s="68">
        <f ca="1">(C10)+(E10-C10)*IF(RAND()&lt;((D10)-(C10))/((E10)-(C10)),SQRT(RAND()*((D10)-(C10))/((E10)-(C10))),1-SQRT(RAND()*((E10)-(D10))/((E10)-(C10))))</f>
        <v>2420053.0738523081</v>
      </c>
      <c r="F827" s="67">
        <f ca="1">(C11)+(E11-C11)*IF(RAND()&lt;((D11)-(C11))/((E11)-(C11)),SQRT(RAND()*((D11)-(C11))/((E11)-(C11))),1-SQRT(RAND()*((E11)-(D11))/((E11)-(C11))))</f>
        <v>7.7408918574852336E-3</v>
      </c>
      <c r="G827" s="67">
        <f ca="1">(C12)+(E12-C12)*IF(RAND()&lt;((D12)-(C12))/((E12)-(C12)),SQRT(RAND()*((D12)-(C12))/((E12)-(C12))),1-SQRT(RAND()*((E12)-(D12))/((E12)-(C12))))</f>
        <v>0.14512718610175873</v>
      </c>
      <c r="H827" s="68">
        <f t="shared" ca="1" si="24"/>
        <v>283072303.47938615</v>
      </c>
      <c r="I827" s="69">
        <f t="shared" ca="1" si="25"/>
        <v>294.8669538909669</v>
      </c>
    </row>
    <row r="828" spans="1:9" ht="16.05" customHeight="1" x14ac:dyDescent="0.3">
      <c r="A828" s="70">
        <v>812</v>
      </c>
      <c r="B828" s="71">
        <f ca="1">(C7)+(E7-C7)*IF(RAND()&lt;((D7)-(C7))/((E7)-(C7)),SQRT(RAND()*((D7)-(C7))/((E7)-(C7))),1-SQRT(RAND()*((E7)-(D7))/((E7)-(C7))))</f>
        <v>0.24902764918630155</v>
      </c>
      <c r="C828" s="71">
        <f ca="1">(C8)+(E8-C8)*IF(RAND()&lt;((D8)-(C8))/((E8)-(C8)),SQRT(RAND()*((D8)-(C8))/((E8)-(C8))),1-SQRT(RAND()*((E8)-(D8))/((E8)-(C8))))</f>
        <v>0.54833200685446837</v>
      </c>
      <c r="D828" s="72">
        <f ca="1">(C9)+(E9-C9)*IF(RAND()&lt;((D9)-(C9))/((E9)-(C9)),SQRT(RAND()*((D9)-(C9))/((E9)-(C9))),1-SQRT(RAND()*((E9)-(D9))/((E9)-(C9))))</f>
        <v>1153418.4796693854</v>
      </c>
      <c r="E828" s="72">
        <f ca="1">(C10)+(E10-C10)*IF(RAND()&lt;((D10)-(C10))/((E10)-(C10)),SQRT(RAND()*((D10)-(C10))/((E10)-(C10))),1-SQRT(RAND()*((E10)-(D10))/((E10)-(C10))))</f>
        <v>3244428.4019648223</v>
      </c>
      <c r="F828" s="71">
        <f ca="1">(C11)+(E11-C11)*IF(RAND()&lt;((D11)-(C11))/((E11)-(C11)),SQRT(RAND()*((D11)-(C11))/((E11)-(C11))),1-SQRT(RAND()*((E11)-(D11))/((E11)-(C11))))</f>
        <v>1.3025095109883663E-2</v>
      </c>
      <c r="G828" s="71">
        <f ca="1">(C12)+(E12-C12)*IF(RAND()&lt;((D12)-(C12))/((E12)-(C12)),SQRT(RAND()*((D12)-(C12))/((E12)-(C12))),1-SQRT(RAND()*((E12)-(D12))/((E12)-(C12))))</f>
        <v>0.11298054576382012</v>
      </c>
      <c r="H828" s="72">
        <f t="shared" ca="1" si="24"/>
        <v>229118507.91663754</v>
      </c>
      <c r="I828" s="73">
        <f t="shared" ca="1" si="25"/>
        <v>263.3266032746011</v>
      </c>
    </row>
    <row r="829" spans="1:9" ht="16.05" customHeight="1" x14ac:dyDescent="0.3">
      <c r="A829" s="66">
        <v>813</v>
      </c>
      <c r="B829" s="67">
        <f ca="1">(C7)+(E7-C7)*IF(RAND()&lt;((D7)-(C7))/((E7)-(C7)),SQRT(RAND()*((D7)-(C7))/((E7)-(C7))),1-SQRT(RAND()*((E7)-(D7))/((E7)-(C7))))</f>
        <v>0.27209786911162304</v>
      </c>
      <c r="C829" s="67">
        <f ca="1">(C8)+(E8-C8)*IF(RAND()&lt;((D8)-(C8))/((E8)-(C8)),SQRT(RAND()*((D8)-(C8))/((E8)-(C8))),1-SQRT(RAND()*((E8)-(D8))/((E8)-(C8))))</f>
        <v>0.68973571376937137</v>
      </c>
      <c r="D829" s="68">
        <f ca="1">(C9)+(E9-C9)*IF(RAND()&lt;((D9)-(C9))/((E9)-(C9)),SQRT(RAND()*((D9)-(C9))/((E9)-(C9))),1-SQRT(RAND()*((E9)-(D9))/((E9)-(C9))))</f>
        <v>1327539.3899685163</v>
      </c>
      <c r="E829" s="68">
        <f ca="1">(C10)+(E10-C10)*IF(RAND()&lt;((D10)-(C10))/((E10)-(C10)),SQRT(RAND()*((D10)-(C10))/((E10)-(C10))),1-SQRT(RAND()*((E10)-(D10))/((E10)-(C10))))</f>
        <v>3835152.934696184</v>
      </c>
      <c r="F829" s="67">
        <f ca="1">(C11)+(E11-C11)*IF(RAND()&lt;((D11)-(C11))/((E11)-(C11)),SQRT(RAND()*((D11)-(C11))/((E11)-(C11))),1-SQRT(RAND()*((E11)-(D11))/((E11)-(C11))))</f>
        <v>6.6417349925864573E-3</v>
      </c>
      <c r="G829" s="67">
        <f ca="1">(C12)+(E12-C12)*IF(RAND()&lt;((D12)-(C12))/((E12)-(C12)),SQRT(RAND()*((D12)-(C12))/((E12)-(C12))),1-SQRT(RAND()*((E12)-(D12))/((E12)-(C12))))</f>
        <v>0.12846485647366651</v>
      </c>
      <c r="H829" s="68">
        <f t="shared" ca="1" si="24"/>
        <v>236254762.98400155</v>
      </c>
      <c r="I829" s="69">
        <f t="shared" ca="1" si="25"/>
        <v>236.05180125448132</v>
      </c>
    </row>
    <row r="830" spans="1:9" ht="16.05" customHeight="1" x14ac:dyDescent="0.3">
      <c r="A830" s="70">
        <v>814</v>
      </c>
      <c r="B830" s="71">
        <f ca="1">(C7)+(E7-C7)*IF(RAND()&lt;((D7)-(C7))/((E7)-(C7)),SQRT(RAND()*((D7)-(C7))/((E7)-(C7))),1-SQRT(RAND()*((E7)-(D7))/((E7)-(C7))))</f>
        <v>0.27030732529791091</v>
      </c>
      <c r="C830" s="71">
        <f ca="1">(C8)+(E8-C8)*IF(RAND()&lt;((D8)-(C8))/((E8)-(C8)),SQRT(RAND()*((D8)-(C8))/((E8)-(C8))),1-SQRT(RAND()*((E8)-(D8))/((E8)-(C8))))</f>
        <v>0.76348480354803594</v>
      </c>
      <c r="D830" s="72">
        <f ca="1">(C9)+(E9-C9)*IF(RAND()&lt;((D9)-(C9))/((E9)-(C9)),SQRT(RAND()*((D9)-(C9))/((E9)-(C9))),1-SQRT(RAND()*((E9)-(D9))/((E9)-(C9))))</f>
        <v>1320704.6143758511</v>
      </c>
      <c r="E830" s="72">
        <f ca="1">(C10)+(E10-C10)*IF(RAND()&lt;((D10)-(C10))/((E10)-(C10)),SQRT(RAND()*((D10)-(C10))/((E10)-(C10))),1-SQRT(RAND()*((E10)-(D10))/((E10)-(C10))))</f>
        <v>3934056.5035012299</v>
      </c>
      <c r="F830" s="71">
        <f ca="1">(C11)+(E11-C11)*IF(RAND()&lt;((D11)-(C11))/((E11)-(C11)),SQRT(RAND()*((D11)-(C11))/((E11)-(C11))),1-SQRT(RAND()*((E11)-(D11))/((E11)-(C11))))</f>
        <v>1.4689162710101393E-2</v>
      </c>
      <c r="G830" s="71">
        <f ca="1">(C12)+(E12-C12)*IF(RAND()&lt;((D12)-(C12))/((E12)-(C12)),SQRT(RAND()*((D12)-(C12))/((E12)-(C12))),1-SQRT(RAND()*((E12)-(D12))/((E12)-(C12))))</f>
        <v>0.16844782861789132</v>
      </c>
      <c r="H830" s="72">
        <f t="shared" ca="1" si="24"/>
        <v>314314939.95091093</v>
      </c>
      <c r="I830" s="73">
        <f t="shared" ca="1" si="25"/>
        <v>315.22524786777456</v>
      </c>
    </row>
    <row r="831" spans="1:9" ht="16.05" customHeight="1" x14ac:dyDescent="0.3">
      <c r="A831" s="66">
        <v>815</v>
      </c>
      <c r="B831" s="67">
        <f ca="1">(C7)+(E7-C7)*IF(RAND()&lt;((D7)-(C7))/((E7)-(C7)),SQRT(RAND()*((D7)-(C7))/((E7)-(C7))),1-SQRT(RAND()*((E7)-(D7))/((E7)-(C7))))</f>
        <v>0.21863792894753156</v>
      </c>
      <c r="C831" s="67">
        <f ca="1">(C8)+(E8-C8)*IF(RAND()&lt;((D8)-(C8))/((E8)-(C8)),SQRT(RAND()*((D8)-(C8))/((E8)-(C8))),1-SQRT(RAND()*((E8)-(D8))/((E8)-(C8))))</f>
        <v>0.6017634562628783</v>
      </c>
      <c r="D831" s="68">
        <f ca="1">(C9)+(E9-C9)*IF(RAND()&lt;((D9)-(C9))/((E9)-(C9)),SQRT(RAND()*((D9)-(C9))/((E9)-(C9))),1-SQRT(RAND()*((E9)-(D9))/((E9)-(C9))))</f>
        <v>1182239.8628032117</v>
      </c>
      <c r="E831" s="68">
        <f ca="1">(C10)+(E10-C10)*IF(RAND()&lt;((D10)-(C10))/((E10)-(C10)),SQRT(RAND()*((D10)-(C10))/((E10)-(C10))),1-SQRT(RAND()*((E10)-(D10))/((E10)-(C10))))</f>
        <v>3623638.9348455789</v>
      </c>
      <c r="F831" s="67">
        <f ca="1">(C11)+(E11-C11)*IF(RAND()&lt;((D11)-(C11))/((E11)-(C11)),SQRT(RAND()*((D11)-(C11))/((E11)-(C11))),1-SQRT(RAND()*((E11)-(D11))/((E11)-(C11))))</f>
        <v>1.0913072875126276E-2</v>
      </c>
      <c r="G831" s="67">
        <f ca="1">(C12)+(E12-C12)*IF(RAND()&lt;((D12)-(C12))/((E12)-(C12)),SQRT(RAND()*((D12)-(C12))/((E12)-(C12))),1-SQRT(RAND()*((E12)-(D12))/((E12)-(C12))))</f>
        <v>0.16495432197774001</v>
      </c>
      <c r="H831" s="68">
        <f t="shared" ca="1" si="24"/>
        <v>206988658.08027864</v>
      </c>
      <c r="I831" s="69">
        <f t="shared" ca="1" si="25"/>
        <v>232.2496482310959</v>
      </c>
    </row>
    <row r="832" spans="1:9" ht="16.05" customHeight="1" x14ac:dyDescent="0.3">
      <c r="A832" s="70">
        <v>816</v>
      </c>
      <c r="B832" s="71">
        <f ca="1">(C7)+(E7-C7)*IF(RAND()&lt;((D7)-(C7))/((E7)-(C7)),SQRT(RAND()*((D7)-(C7))/((E7)-(C7))),1-SQRT(RAND()*((E7)-(D7))/((E7)-(C7))))</f>
        <v>0.29563279874164539</v>
      </c>
      <c r="C832" s="71">
        <f ca="1">(C8)+(E8-C8)*IF(RAND()&lt;((D8)-(C8))/((E8)-(C8)),SQRT(RAND()*((D8)-(C8))/((E8)-(C8))),1-SQRT(RAND()*((E8)-(D8))/((E8)-(C8))))</f>
        <v>0.59355191430627086</v>
      </c>
      <c r="D832" s="72">
        <f ca="1">(C9)+(E9-C9)*IF(RAND()&lt;((D9)-(C9))/((E9)-(C9)),SQRT(RAND()*((D9)-(C9))/((E9)-(C9))),1-SQRT(RAND()*((E9)-(D9))/((E9)-(C9))))</f>
        <v>1211358.9013876494</v>
      </c>
      <c r="E832" s="72">
        <f ca="1">(C10)+(E10-C10)*IF(RAND()&lt;((D10)-(C10))/((E10)-(C10)),SQRT(RAND()*((D10)-(C10))/((E10)-(C10))),1-SQRT(RAND()*((E10)-(D10))/((E10)-(C10))))</f>
        <v>3366889.4992343131</v>
      </c>
      <c r="F832" s="71">
        <f ca="1">(C11)+(E11-C11)*IF(RAND()&lt;((D11)-(C11))/((E11)-(C11)),SQRT(RAND()*((D11)-(C11))/((E11)-(C11))),1-SQRT(RAND()*((E11)-(D11))/((E11)-(C11))))</f>
        <v>1.29691057817811E-2</v>
      </c>
      <c r="G832" s="71">
        <f ca="1">(C12)+(E12-C12)*IF(RAND()&lt;((D12)-(C12))/((E12)-(C12)),SQRT(RAND()*((D12)-(C12))/((E12)-(C12))),1-SQRT(RAND()*((E12)-(D12))/((E12)-(C12))))</f>
        <v>0.16830686740062251</v>
      </c>
      <c r="H832" s="72">
        <f t="shared" ca="1" si="24"/>
        <v>270539369.73949564</v>
      </c>
      <c r="I832" s="73">
        <f t="shared" ca="1" si="25"/>
        <v>295.89561581411402</v>
      </c>
    </row>
    <row r="833" spans="1:9" ht="16.05" customHeight="1" x14ac:dyDescent="0.3">
      <c r="A833" s="66">
        <v>817</v>
      </c>
      <c r="B833" s="67">
        <f ca="1">(C7)+(E7-C7)*IF(RAND()&lt;((D7)-(C7))/((E7)-(C7)),SQRT(RAND()*((D7)-(C7))/((E7)-(C7))),1-SQRT(RAND()*((E7)-(D7))/((E7)-(C7))))</f>
        <v>0.23842536078650783</v>
      </c>
      <c r="C833" s="67">
        <f ca="1">(C8)+(E8-C8)*IF(RAND()&lt;((D8)-(C8))/((E8)-(C8)),SQRT(RAND()*((D8)-(C8))/((E8)-(C8))),1-SQRT(RAND()*((E8)-(D8))/((E8)-(C8))))</f>
        <v>0.66121381544858315</v>
      </c>
      <c r="D833" s="68">
        <f ca="1">(C9)+(E9-C9)*IF(RAND()&lt;((D9)-(C9))/((E9)-(C9)),SQRT(RAND()*((D9)-(C9))/((E9)-(C9))),1-SQRT(RAND()*((E9)-(D9))/((E9)-(C9))))</f>
        <v>1389771.2186599032</v>
      </c>
      <c r="E833" s="68">
        <f ca="1">(C10)+(E10-C10)*IF(RAND()&lt;((D10)-(C10))/((E10)-(C10)),SQRT(RAND()*((D10)-(C10))/((E10)-(C10))),1-SQRT(RAND()*((E10)-(D10))/((E10)-(C10))))</f>
        <v>4228152.959333105</v>
      </c>
      <c r="F833" s="67">
        <f ca="1">(C11)+(E11-C11)*IF(RAND()&lt;((D11)-(C11))/((E11)-(C11)),SQRT(RAND()*((D11)-(C11))/((E11)-(C11))),1-SQRT(RAND()*((E11)-(D11))/((E11)-(C11))))</f>
        <v>1.7293997353509793E-2</v>
      </c>
      <c r="G833" s="67">
        <f ca="1">(C12)+(E12-C12)*IF(RAND()&lt;((D12)-(C12))/((E12)-(C12)),SQRT(RAND()*((D12)-(C12))/((E12)-(C12))),1-SQRT(RAND()*((E12)-(D12))/((E12)-(C12))))</f>
        <v>0.16597249960881011</v>
      </c>
      <c r="H833" s="68">
        <f t="shared" ca="1" si="24"/>
        <v>278920748.34358186</v>
      </c>
      <c r="I833" s="69">
        <f t="shared" ca="1" si="25"/>
        <v>266.03374680649853</v>
      </c>
    </row>
    <row r="834" spans="1:9" ht="16.05" customHeight="1" x14ac:dyDescent="0.3">
      <c r="A834" s="70">
        <v>818</v>
      </c>
      <c r="B834" s="71">
        <f ca="1">(C7)+(E7-C7)*IF(RAND()&lt;((D7)-(C7))/((E7)-(C7)),SQRT(RAND()*((D7)-(C7))/((E7)-(C7))),1-SQRT(RAND()*((E7)-(D7))/((E7)-(C7))))</f>
        <v>0.264931038410465</v>
      </c>
      <c r="C834" s="71">
        <f ca="1">(C8)+(E8-C8)*IF(RAND()&lt;((D8)-(C8))/((E8)-(C8)),SQRT(RAND()*((D8)-(C8))/((E8)-(C8))),1-SQRT(RAND()*((E8)-(D8))/((E8)-(C8))))</f>
        <v>0.64535718891612193</v>
      </c>
      <c r="D834" s="72">
        <f ca="1">(C9)+(E9-C9)*IF(RAND()&lt;((D9)-(C9))/((E9)-(C9)),SQRT(RAND()*((D9)-(C9))/((E9)-(C9))),1-SQRT(RAND()*((E9)-(D9))/((E9)-(C9))))</f>
        <v>1153977.354668115</v>
      </c>
      <c r="E834" s="72">
        <f ca="1">(C10)+(E10-C10)*IF(RAND()&lt;((D10)-(C10))/((E10)-(C10)),SQRT(RAND()*((D10)-(C10))/((E10)-(C10))),1-SQRT(RAND()*((E10)-(D10))/((E10)-(C10))))</f>
        <v>3306958.184165407</v>
      </c>
      <c r="F834" s="71">
        <f ca="1">(C11)+(E11-C11)*IF(RAND()&lt;((D11)-(C11))/((E11)-(C11)),SQRT(RAND()*((D11)-(C11))/((E11)-(C11))),1-SQRT(RAND()*((E11)-(D11))/((E11)-(C11))))</f>
        <v>2.2230774283646528E-2</v>
      </c>
      <c r="G834" s="71">
        <f ca="1">(C12)+(E12-C12)*IF(RAND()&lt;((D12)-(C12))/((E12)-(C12)),SQRT(RAND()*((D12)-(C12))/((E12)-(C12))),1-SQRT(RAND()*((E12)-(D12))/((E12)-(C12))))</f>
        <v>0.15623812712927054</v>
      </c>
      <c r="H834" s="72">
        <f t="shared" ca="1" si="24"/>
        <v>332777582.17122817</v>
      </c>
      <c r="I834" s="73">
        <f t="shared" ca="1" si="25"/>
        <v>381.68125138871028</v>
      </c>
    </row>
    <row r="835" spans="1:9" ht="16.05" customHeight="1" x14ac:dyDescent="0.3">
      <c r="A835" s="66">
        <v>819</v>
      </c>
      <c r="B835" s="67">
        <f ca="1">(C7)+(E7-C7)*IF(RAND()&lt;((D7)-(C7))/((E7)-(C7)),SQRT(RAND()*((D7)-(C7))/((E7)-(C7))),1-SQRT(RAND()*((E7)-(D7))/((E7)-(C7))))</f>
        <v>0.280134065180078</v>
      </c>
      <c r="C835" s="67">
        <f ca="1">(C8)+(E8-C8)*IF(RAND()&lt;((D8)-(C8))/((E8)-(C8)),SQRT(RAND()*((D8)-(C8))/((E8)-(C8))),1-SQRT(RAND()*((E8)-(D8))/((E8)-(C8))))</f>
        <v>0.7058863824578111</v>
      </c>
      <c r="D835" s="68">
        <f ca="1">(C9)+(E9-C9)*IF(RAND()&lt;((D9)-(C9))/((E9)-(C9)),SQRT(RAND()*((D9)-(C9))/((E9)-(C9))),1-SQRT(RAND()*((E9)-(D9))/((E9)-(C9))))</f>
        <v>1218694.7086910259</v>
      </c>
      <c r="E835" s="68">
        <f ca="1">(C10)+(E10-C10)*IF(RAND()&lt;((D10)-(C10))/((E10)-(C10)),SQRT(RAND()*((D10)-(C10))/((E10)-(C10))),1-SQRT(RAND()*((E10)-(D10))/((E10)-(C10))))</f>
        <v>3199394.9809176149</v>
      </c>
      <c r="F835" s="67">
        <f ca="1">(C11)+(E11-C11)*IF(RAND()&lt;((D11)-(C11))/((E11)-(C11)),SQRT(RAND()*((D11)-(C11))/((E11)-(C11))),1-SQRT(RAND()*((E11)-(D11))/((E11)-(C11))))</f>
        <v>1.0979497500338199E-2</v>
      </c>
      <c r="G835" s="67">
        <f ca="1">(C12)+(E12-C12)*IF(RAND()&lt;((D12)-(C12))/((E12)-(C12)),SQRT(RAND()*((D12)-(C12))/((E12)-(C12))),1-SQRT(RAND()*((E12)-(D12))/((E12)-(C12))))</f>
        <v>0.16398970355535802</v>
      </c>
      <c r="H835" s="68">
        <f t="shared" ca="1" si="24"/>
        <v>281034789.71809471</v>
      </c>
      <c r="I835" s="69">
        <f t="shared" ca="1" si="25"/>
        <v>305.48158454424748</v>
      </c>
    </row>
    <row r="836" spans="1:9" ht="16.05" customHeight="1" x14ac:dyDescent="0.3">
      <c r="A836" s="70">
        <v>820</v>
      </c>
      <c r="B836" s="71">
        <f ca="1">(C7)+(E7-C7)*IF(RAND()&lt;((D7)-(C7))/((E7)-(C7)),SQRT(RAND()*((D7)-(C7))/((E7)-(C7))),1-SQRT(RAND()*((E7)-(D7))/((E7)-(C7))))</f>
        <v>0.16402630985277639</v>
      </c>
      <c r="C836" s="71">
        <f ca="1">(C8)+(E8-C8)*IF(RAND()&lt;((D8)-(C8))/((E8)-(C8)),SQRT(RAND()*((D8)-(C8))/((E8)-(C8))),1-SQRT(RAND()*((E8)-(D8))/((E8)-(C8))))</f>
        <v>0.73152417843701434</v>
      </c>
      <c r="D836" s="72">
        <f ca="1">(C9)+(E9-C9)*IF(RAND()&lt;((D9)-(C9))/((E9)-(C9)),SQRT(RAND()*((D9)-(C9))/((E9)-(C9))),1-SQRT(RAND()*((E9)-(D9))/((E9)-(C9))))</f>
        <v>1270088.2009690921</v>
      </c>
      <c r="E836" s="72">
        <f ca="1">(C10)+(E10-C10)*IF(RAND()&lt;((D10)-(C10))/((E10)-(C10)),SQRT(RAND()*((D10)-(C10))/((E10)-(C10))),1-SQRT(RAND()*((E10)-(D10))/((E10)-(C10))))</f>
        <v>4335858.8091965616</v>
      </c>
      <c r="F836" s="71">
        <f ca="1">(C11)+(E11-C11)*IF(RAND()&lt;((D11)-(C11))/((E11)-(C11)),SQRT(RAND()*((D11)-(C11))/((E11)-(C11))),1-SQRT(RAND()*((E11)-(D11))/((E11)-(C11))))</f>
        <v>1.6104491202399682E-2</v>
      </c>
      <c r="G836" s="71">
        <f ca="1">(C12)+(E12-C12)*IF(RAND()&lt;((D12)-(C12))/((E12)-(C12)),SQRT(RAND()*((D12)-(C12))/((E12)-(C12))),1-SQRT(RAND()*((E12)-(D12))/((E12)-(C12))))</f>
        <v>0.17856378184345362</v>
      </c>
      <c r="H836" s="72">
        <f t="shared" ca="1" si="24"/>
        <v>229073264.48760843</v>
      </c>
      <c r="I836" s="73">
        <f t="shared" ca="1" si="25"/>
        <v>239.21171817318915</v>
      </c>
    </row>
    <row r="837" spans="1:9" ht="16.05" customHeight="1" x14ac:dyDescent="0.3">
      <c r="A837" s="66">
        <v>821</v>
      </c>
      <c r="B837" s="67">
        <f ca="1">(C7)+(E7-C7)*IF(RAND()&lt;((D7)-(C7))/((E7)-(C7)),SQRT(RAND()*((D7)-(C7))/((E7)-(C7))),1-SQRT(RAND()*((E7)-(D7))/((E7)-(C7))))</f>
        <v>0.28111943515728222</v>
      </c>
      <c r="C837" s="67">
        <f ca="1">(C8)+(E8-C8)*IF(RAND()&lt;((D8)-(C8))/((E8)-(C8)),SQRT(RAND()*((D8)-(C8))/((E8)-(C8))),1-SQRT(RAND()*((E8)-(D8))/((E8)-(C8))))</f>
        <v>0.78285027016966158</v>
      </c>
      <c r="D837" s="68">
        <f ca="1">(C9)+(E9-C9)*IF(RAND()&lt;((D9)-(C9))/((E9)-(C9)),SQRT(RAND()*((D9)-(C9))/((E9)-(C9))),1-SQRT(RAND()*((E9)-(D9))/((E9)-(C9))))</f>
        <v>1187299.9127426806</v>
      </c>
      <c r="E837" s="68">
        <f ca="1">(C10)+(E10-C10)*IF(RAND()&lt;((D10)-(C10))/((E10)-(C10)),SQRT(RAND()*((D10)-(C10))/((E10)-(C10))),1-SQRT(RAND()*((E10)-(D10))/((E10)-(C10))))</f>
        <v>4000451.5158767635</v>
      </c>
      <c r="F837" s="67">
        <f ca="1">(C11)+(E11-C11)*IF(RAND()&lt;((D11)-(C11))/((E11)-(C11)),SQRT(RAND()*((D11)-(C11))/((E11)-(C11))),1-SQRT(RAND()*((E11)-(D11))/((E11)-(C11))))</f>
        <v>7.5058659957912676E-3</v>
      </c>
      <c r="G837" s="67">
        <f ca="1">(C12)+(E12-C12)*IF(RAND()&lt;((D12)-(C12))/((E12)-(C12)),SQRT(RAND()*((D12)-(C12))/((E12)-(C12))),1-SQRT(RAND()*((E12)-(D12))/((E12)-(C12))))</f>
        <v>0.1640627029340333</v>
      </c>
      <c r="H837" s="68">
        <f t="shared" ca="1" si="24"/>
        <v>277253863.7888577</v>
      </c>
      <c r="I837" s="69">
        <f t="shared" ca="1" si="25"/>
        <v>309.32402481342746</v>
      </c>
    </row>
    <row r="838" spans="1:9" ht="16.05" customHeight="1" x14ac:dyDescent="0.3">
      <c r="A838" s="70">
        <v>822</v>
      </c>
      <c r="B838" s="71">
        <f ca="1">(C7)+(E7-C7)*IF(RAND()&lt;((D7)-(C7))/((E7)-(C7)),SQRT(RAND()*((D7)-(C7))/((E7)-(C7))),1-SQRT(RAND()*((E7)-(D7))/((E7)-(C7))))</f>
        <v>0.24241856229163317</v>
      </c>
      <c r="C838" s="71">
        <f ca="1">(C8)+(E8-C8)*IF(RAND()&lt;((D8)-(C8))/((E8)-(C8)),SQRT(RAND()*((D8)-(C8))/((E8)-(C8))),1-SQRT(RAND()*((E8)-(D8))/((E8)-(C8))))</f>
        <v>0.83471466385462567</v>
      </c>
      <c r="D838" s="72">
        <f ca="1">(C9)+(E9-C9)*IF(RAND()&lt;((D9)-(C9))/((E9)-(C9)),SQRT(RAND()*((D9)-(C9))/((E9)-(C9))),1-SQRT(RAND()*((E9)-(D9))/((E9)-(C9))))</f>
        <v>1175377.8770122095</v>
      </c>
      <c r="E838" s="72">
        <f ca="1">(C10)+(E10-C10)*IF(RAND()&lt;((D10)-(C10))/((E10)-(C10)),SQRT(RAND()*((D10)-(C10))/((E10)-(C10))),1-SQRT(RAND()*((E10)-(D10))/((E10)-(C10))))</f>
        <v>4311795.1715676943</v>
      </c>
      <c r="F838" s="71">
        <f ca="1">(C11)+(E11-C11)*IF(RAND()&lt;((D11)-(C11))/((E11)-(C11)),SQRT(RAND()*((D11)-(C11))/((E11)-(C11))),1-SQRT(RAND()*((E11)-(D11))/((E11)-(C11))))</f>
        <v>1.3734517348710625E-2</v>
      </c>
      <c r="G838" s="71">
        <f ca="1">(C12)+(E12-C12)*IF(RAND()&lt;((D12)-(C12))/((E12)-(C12)),SQRT(RAND()*((D12)-(C12))/((E12)-(C12))),1-SQRT(RAND()*((E12)-(D12))/((E12)-(C12))))</f>
        <v>0.12242656010174141</v>
      </c>
      <c r="H838" s="72">
        <f t="shared" ca="1" si="24"/>
        <v>301758789.52548367</v>
      </c>
      <c r="I838" s="73">
        <f t="shared" ca="1" si="25"/>
        <v>339.94714283107913</v>
      </c>
    </row>
    <row r="839" spans="1:9" ht="16.05" customHeight="1" x14ac:dyDescent="0.3">
      <c r="A839" s="66">
        <v>823</v>
      </c>
      <c r="B839" s="67">
        <f ca="1">(C7)+(E7-C7)*IF(RAND()&lt;((D7)-(C7))/((E7)-(C7)),SQRT(RAND()*((D7)-(C7))/((E7)-(C7))),1-SQRT(RAND()*((E7)-(D7))/((E7)-(C7))))</f>
        <v>0.29658457092391177</v>
      </c>
      <c r="C839" s="67">
        <f ca="1">(C8)+(E8-C8)*IF(RAND()&lt;((D8)-(C8))/((E8)-(C8)),SQRT(RAND()*((D8)-(C8))/((E8)-(C8))),1-SQRT(RAND()*((E8)-(D8))/((E8)-(C8))))</f>
        <v>0.88371180622099077</v>
      </c>
      <c r="D839" s="68">
        <f ca="1">(C9)+(E9-C9)*IF(RAND()&lt;((D9)-(C9))/((E9)-(C9)),SQRT(RAND()*((D9)-(C9))/((E9)-(C9))),1-SQRT(RAND()*((E9)-(D9))/((E9)-(C9))))</f>
        <v>1234784.6159515437</v>
      </c>
      <c r="E839" s="68">
        <f ca="1">(C10)+(E10-C10)*IF(RAND()&lt;((D10)-(C10))/((E10)-(C10)),SQRT(RAND()*((D10)-(C10))/((E10)-(C10))),1-SQRT(RAND()*((E10)-(D10))/((E10)-(C10))))</f>
        <v>3874155.0382082537</v>
      </c>
      <c r="F839" s="67">
        <f ca="1">(C11)+(E11-C11)*IF(RAND()&lt;((D11)-(C11))/((E11)-(C11)),SQRT(RAND()*((D11)-(C11))/((E11)-(C11))),1-SQRT(RAND()*((E11)-(D11))/((E11)-(C11))))</f>
        <v>7.1306824352007419E-3</v>
      </c>
      <c r="G839" s="67">
        <f ca="1">(C12)+(E12-C12)*IF(RAND()&lt;((D12)-(C12))/((E12)-(C12)),SQRT(RAND()*((D12)-(C12))/((E12)-(C12))),1-SQRT(RAND()*((E12)-(D12))/((E12)-(C12))))</f>
        <v>0.16905015999448614</v>
      </c>
      <c r="H839" s="68">
        <f t="shared" ca="1" si="24"/>
        <v>320694035.15066278</v>
      </c>
      <c r="I839" s="69">
        <f t="shared" ca="1" si="25"/>
        <v>343.88188252659234</v>
      </c>
    </row>
    <row r="840" spans="1:9" ht="16.05" customHeight="1" x14ac:dyDescent="0.3">
      <c r="A840" s="70">
        <v>824</v>
      </c>
      <c r="B840" s="71">
        <f ca="1">(C7)+(E7-C7)*IF(RAND()&lt;((D7)-(C7))/((E7)-(C7)),SQRT(RAND()*((D7)-(C7))/((E7)-(C7))),1-SQRT(RAND()*((E7)-(D7))/((E7)-(C7))))</f>
        <v>0.21811055653076178</v>
      </c>
      <c r="C840" s="71">
        <f ca="1">(C8)+(E8-C8)*IF(RAND()&lt;((D8)-(C8))/((E8)-(C8)),SQRT(RAND()*((D8)-(C8))/((E8)-(C8))),1-SQRT(RAND()*((E8)-(D8))/((E8)-(C8))))</f>
        <v>0.84220015190977726</v>
      </c>
      <c r="D840" s="72">
        <f ca="1">(C9)+(E9-C9)*IF(RAND()&lt;((D9)-(C9))/((E9)-(C9)),SQRT(RAND()*((D9)-(C9))/((E9)-(C9))),1-SQRT(RAND()*((E9)-(D9))/((E9)-(C9))))</f>
        <v>1208003.1088774675</v>
      </c>
      <c r="E840" s="72">
        <f ca="1">(C10)+(E10-C10)*IF(RAND()&lt;((D10)-(C10))/((E10)-(C10)),SQRT(RAND()*((D10)-(C10))/((E10)-(C10))),1-SQRT(RAND()*((E10)-(D10))/((E10)-(C10))))</f>
        <v>4108668.0371839567</v>
      </c>
      <c r="F840" s="71">
        <f ca="1">(C11)+(E11-C11)*IF(RAND()&lt;((D11)-(C11))/((E11)-(C11)),SQRT(RAND()*((D11)-(C11))/((E11)-(C11))),1-SQRT(RAND()*((E11)-(D11))/((E11)-(C11))))</f>
        <v>7.9367628236658317E-3</v>
      </c>
      <c r="G840" s="71">
        <f ca="1">(C12)+(E12-C12)*IF(RAND()&lt;((D12)-(C12))/((E12)-(C12)),SQRT(RAND()*((D12)-(C12))/((E12)-(C12))),1-SQRT(RAND()*((E12)-(D12))/((E12)-(C12))))</f>
        <v>0.14269076572290451</v>
      </c>
      <c r="H840" s="72">
        <f t="shared" ca="1" si="24"/>
        <v>240351338.81559581</v>
      </c>
      <c r="I840" s="73">
        <f t="shared" ca="1" si="25"/>
        <v>263.75240839126093</v>
      </c>
    </row>
    <row r="841" spans="1:9" ht="16.05" customHeight="1" x14ac:dyDescent="0.3">
      <c r="A841" s="66">
        <v>825</v>
      </c>
      <c r="B841" s="67">
        <f ca="1">(C7)+(E7-C7)*IF(RAND()&lt;((D7)-(C7))/((E7)-(C7)),SQRT(RAND()*((D7)-(C7))/((E7)-(C7))),1-SQRT(RAND()*((E7)-(D7))/((E7)-(C7))))</f>
        <v>0.21496462124889359</v>
      </c>
      <c r="C841" s="67">
        <f ca="1">(C8)+(E8-C8)*IF(RAND()&lt;((D8)-(C8))/((E8)-(C8)),SQRT(RAND()*((D8)-(C8))/((E8)-(C8))),1-SQRT(RAND()*((E8)-(D8))/((E8)-(C8))))</f>
        <v>0.75453071044497522</v>
      </c>
      <c r="D841" s="68">
        <f ca="1">(C9)+(E9-C9)*IF(RAND()&lt;((D9)-(C9))/((E9)-(C9)),SQRT(RAND()*((D9)-(C9))/((E9)-(C9))),1-SQRT(RAND()*((E9)-(D9))/((E9)-(C9))))</f>
        <v>1089548.6748771067</v>
      </c>
      <c r="E841" s="68">
        <f ca="1">(C10)+(E10-C10)*IF(RAND()&lt;((D10)-(C10))/((E10)-(C10)),SQRT(RAND()*((D10)-(C10))/((E10)-(C10))),1-SQRT(RAND()*((E10)-(D10))/((E10)-(C10))))</f>
        <v>3909934.1576616997</v>
      </c>
      <c r="F841" s="67">
        <f ca="1">(C11)+(E11-C11)*IF(RAND()&lt;((D11)-(C11))/((E11)-(C11)),SQRT(RAND()*((D11)-(C11))/((E11)-(C11))),1-SQRT(RAND()*((E11)-(D11))/((E11)-(C11))))</f>
        <v>1.6055844170061388E-2</v>
      </c>
      <c r="G841" s="67">
        <f ca="1">(C12)+(E12-C12)*IF(RAND()&lt;((D12)-(C12))/((E12)-(C12)),SQRT(RAND()*((D12)-(C12))/((E12)-(C12))),1-SQRT(RAND()*((E12)-(D12))/((E12)-(C12))))</f>
        <v>0.16037899298851682</v>
      </c>
      <c r="H841" s="68">
        <f t="shared" ca="1" si="24"/>
        <v>276437928.57745045</v>
      </c>
      <c r="I841" s="69">
        <f t="shared" ca="1" si="25"/>
        <v>335.96961310031719</v>
      </c>
    </row>
    <row r="842" spans="1:9" ht="16.05" customHeight="1" x14ac:dyDescent="0.3">
      <c r="A842" s="70">
        <v>826</v>
      </c>
      <c r="B842" s="71">
        <f ca="1">(C7)+(E7-C7)*IF(RAND()&lt;((D7)-(C7))/((E7)-(C7)),SQRT(RAND()*((D7)-(C7))/((E7)-(C7))),1-SQRT(RAND()*((E7)-(D7))/((E7)-(C7))))</f>
        <v>0.17272434667463857</v>
      </c>
      <c r="C842" s="71">
        <f ca="1">(C8)+(E8-C8)*IF(RAND()&lt;((D8)-(C8))/((E8)-(C8)),SQRT(RAND()*((D8)-(C8))/((E8)-(C8))),1-SQRT(RAND()*((E8)-(D8))/((E8)-(C8))))</f>
        <v>0.85986170957148511</v>
      </c>
      <c r="D842" s="72">
        <f ca="1">(C9)+(E9-C9)*IF(RAND()&lt;((D9)-(C9))/((E9)-(C9)),SQRT(RAND()*((D9)-(C9))/((E9)-(C9))),1-SQRT(RAND()*((E9)-(D9))/((E9)-(C9))))</f>
        <v>1203177.1144566271</v>
      </c>
      <c r="E842" s="72">
        <f ca="1">(C10)+(E10-C10)*IF(RAND()&lt;((D10)-(C10))/((E10)-(C10)),SQRT(RAND()*((D10)-(C10))/((E10)-(C10))),1-SQRT(RAND()*((E10)-(D10))/((E10)-(C10))))</f>
        <v>2863897.8027215814</v>
      </c>
      <c r="F842" s="71">
        <f ca="1">(C11)+(E11-C11)*IF(RAND()&lt;((D11)-(C11))/((E11)-(C11)),SQRT(RAND()*((D11)-(C11))/((E11)-(C11))),1-SQRT(RAND()*((E11)-(D11))/((E11)-(C11))))</f>
        <v>1.4877487252963799E-2</v>
      </c>
      <c r="G842" s="71">
        <f ca="1">(C12)+(E12-C12)*IF(RAND()&lt;((D12)-(C12))/((E12)-(C12)),SQRT(RAND()*((D12)-(C12))/((E12)-(C12))),1-SQRT(RAND()*((E12)-(D12))/((E12)-(C12))))</f>
        <v>0.17092993121704422</v>
      </c>
      <c r="H842" s="72">
        <f t="shared" ca="1" si="24"/>
        <v>256903176.48097172</v>
      </c>
      <c r="I842" s="73">
        <f t="shared" ca="1" si="25"/>
        <v>282.95005380958065</v>
      </c>
    </row>
    <row r="843" spans="1:9" ht="16.05" customHeight="1" x14ac:dyDescent="0.3">
      <c r="A843" s="66">
        <v>827</v>
      </c>
      <c r="B843" s="67">
        <f ca="1">(C7)+(E7-C7)*IF(RAND()&lt;((D7)-(C7))/((E7)-(C7)),SQRT(RAND()*((D7)-(C7))/((E7)-(C7))),1-SQRT(RAND()*((E7)-(D7))/((E7)-(C7))))</f>
        <v>0.272512152715914</v>
      </c>
      <c r="C843" s="67">
        <f ca="1">(C8)+(E8-C8)*IF(RAND()&lt;((D8)-(C8))/((E8)-(C8)),SQRT(RAND()*((D8)-(C8))/((E8)-(C8))),1-SQRT(RAND()*((E8)-(D8))/((E8)-(C8))))</f>
        <v>0.73333976626007102</v>
      </c>
      <c r="D843" s="68">
        <f ca="1">(C9)+(E9-C9)*IF(RAND()&lt;((D9)-(C9))/((E9)-(C9)),SQRT(RAND()*((D9)-(C9))/((E9)-(C9))),1-SQRT(RAND()*((E9)-(D9))/((E9)-(C9))))</f>
        <v>1305869.3806517685</v>
      </c>
      <c r="E843" s="68">
        <f ca="1">(C10)+(E10-C10)*IF(RAND()&lt;((D10)-(C10))/((E10)-(C10)),SQRT(RAND()*((D10)-(C10))/((E10)-(C10))),1-SQRT(RAND()*((E10)-(D10))/((E10)-(C10))))</f>
        <v>3457064.8888084134</v>
      </c>
      <c r="F843" s="67">
        <f ca="1">(C11)+(E11-C11)*IF(RAND()&lt;((D11)-(C11))/((E11)-(C11)),SQRT(RAND()*((D11)-(C11))/((E11)-(C11))),1-SQRT(RAND()*((E11)-(D11))/((E11)-(C11))))</f>
        <v>8.5935233011784854E-3</v>
      </c>
      <c r="G843" s="67">
        <f ca="1">(C12)+(E12-C12)*IF(RAND()&lt;((D12)-(C12))/((E12)-(C12)),SQRT(RAND()*((D12)-(C12))/((E12)-(C12))),1-SQRT(RAND()*((E12)-(D12))/((E12)-(C12))))</f>
        <v>0.16239891047231167</v>
      </c>
      <c r="H843" s="68">
        <f t="shared" ca="1" si="24"/>
        <v>265035684.74940503</v>
      </c>
      <c r="I843" s="69">
        <f t="shared" ca="1" si="25"/>
        <v>269.01707035736939</v>
      </c>
    </row>
    <row r="844" spans="1:9" ht="16.05" customHeight="1" x14ac:dyDescent="0.3">
      <c r="A844" s="70">
        <v>828</v>
      </c>
      <c r="B844" s="71">
        <f ca="1">(C7)+(E7-C7)*IF(RAND()&lt;((D7)-(C7))/((E7)-(C7)),SQRT(RAND()*((D7)-(C7))/((E7)-(C7))),1-SQRT(RAND()*((E7)-(D7))/((E7)-(C7))))</f>
        <v>0.19228634670786049</v>
      </c>
      <c r="C844" s="71">
        <f ca="1">(C8)+(E8-C8)*IF(RAND()&lt;((D8)-(C8))/((E8)-(C8)),SQRT(RAND()*((D8)-(C8))/((E8)-(C8))),1-SQRT(RAND()*((E8)-(D8))/((E8)-(C8))))</f>
        <v>0.65845175590473981</v>
      </c>
      <c r="D844" s="72">
        <f ca="1">(C9)+(E9-C9)*IF(RAND()&lt;((D9)-(C9))/((E9)-(C9)),SQRT(RAND()*((D9)-(C9))/((E9)-(C9))),1-SQRT(RAND()*((E9)-(D9))/((E9)-(C9))))</f>
        <v>1206264.7764569107</v>
      </c>
      <c r="E844" s="72">
        <f ca="1">(C10)+(E10-C10)*IF(RAND()&lt;((D10)-(C10))/((E10)-(C10)),SQRT(RAND()*((D10)-(C10))/((E10)-(C10))),1-SQRT(RAND()*((E10)-(D10))/((E10)-(C10))))</f>
        <v>5057571.3075858168</v>
      </c>
      <c r="F844" s="71">
        <f ca="1">(C11)+(E11-C11)*IF(RAND()&lt;((D11)-(C11))/((E11)-(C11)),SQRT(RAND()*((D11)-(C11))/((E11)-(C11))),1-SQRT(RAND()*((E11)-(D11))/((E11)-(C11))))</f>
        <v>6.0969647557185111E-3</v>
      </c>
      <c r="G844" s="71">
        <f ca="1">(C12)+(E12-C12)*IF(RAND()&lt;((D12)-(C12))/((E12)-(C12)),SQRT(RAND()*((D12)-(C12))/((E12)-(C12))),1-SQRT(RAND()*((E12)-(D12))/((E12)-(C12))))</f>
        <v>0.14098745793677367</v>
      </c>
      <c r="H844" s="72">
        <f t="shared" ca="1" si="24"/>
        <v>161374846.9606199</v>
      </c>
      <c r="I844" s="73">
        <f t="shared" ca="1" si="25"/>
        <v>177.77393710783647</v>
      </c>
    </row>
    <row r="845" spans="1:9" ht="16.05" customHeight="1" x14ac:dyDescent="0.3">
      <c r="A845" s="66">
        <v>829</v>
      </c>
      <c r="B845" s="67">
        <f ca="1">(C7)+(E7-C7)*IF(RAND()&lt;((D7)-(C7))/((E7)-(C7)),SQRT(RAND()*((D7)-(C7))/((E7)-(C7))),1-SQRT(RAND()*((E7)-(D7))/((E7)-(C7))))</f>
        <v>0.25042300472694867</v>
      </c>
      <c r="C845" s="67">
        <f ca="1">(C8)+(E8-C8)*IF(RAND()&lt;((D8)-(C8))/((E8)-(C8)),SQRT(RAND()*((D8)-(C8))/((E8)-(C8))),1-SQRT(RAND()*((E8)-(D8))/((E8)-(C8))))</f>
        <v>0.69436193957151082</v>
      </c>
      <c r="D845" s="68">
        <f ca="1">(C9)+(E9-C9)*IF(RAND()&lt;((D9)-(C9))/((E9)-(C9)),SQRT(RAND()*((D9)-(C9))/((E9)-(C9))),1-SQRT(RAND()*((E9)-(D9))/((E9)-(C9))))</f>
        <v>1235445.4334683877</v>
      </c>
      <c r="E845" s="68">
        <f ca="1">(C10)+(E10-C10)*IF(RAND()&lt;((D10)-(C10))/((E10)-(C10)),SQRT(RAND()*((D10)-(C10))/((E10)-(C10))),1-SQRT(RAND()*((E10)-(D10))/((E10)-(C10))))</f>
        <v>3903365.7609437378</v>
      </c>
      <c r="F845" s="67">
        <f ca="1">(C11)+(E11-C11)*IF(RAND()&lt;((D11)-(C11))/((E11)-(C11)),SQRT(RAND()*((D11)-(C11))/((E11)-(C11))),1-SQRT(RAND()*((E11)-(D11))/((E11)-(C11))))</f>
        <v>1.4389757858563439E-2</v>
      </c>
      <c r="G845" s="67">
        <f ca="1">(C12)+(E12-C12)*IF(RAND()&lt;((D12)-(C12))/((E12)-(C12)),SQRT(RAND()*((D12)-(C12))/((E12)-(C12))),1-SQRT(RAND()*((E12)-(D12))/((E12)-(C12))))</f>
        <v>0.19011408801868493</v>
      </c>
      <c r="H845" s="68">
        <f t="shared" ca="1" si="24"/>
        <v>277006406.31093299</v>
      </c>
      <c r="I845" s="69">
        <f t="shared" ca="1" si="25"/>
        <v>297.05682482380638</v>
      </c>
    </row>
    <row r="846" spans="1:9" ht="16.05" customHeight="1" x14ac:dyDescent="0.3">
      <c r="A846" s="70">
        <v>830</v>
      </c>
      <c r="B846" s="71">
        <f ca="1">(C7)+(E7-C7)*IF(RAND()&lt;((D7)-(C7))/((E7)-(C7)),SQRT(RAND()*((D7)-(C7))/((E7)-(C7))),1-SQRT(RAND()*((E7)-(D7))/((E7)-(C7))))</f>
        <v>0.2155940681703884</v>
      </c>
      <c r="C846" s="71">
        <f ca="1">(C8)+(E8-C8)*IF(RAND()&lt;((D8)-(C8))/((E8)-(C8)),SQRT(RAND()*((D8)-(C8))/((E8)-(C8))),1-SQRT(RAND()*((E8)-(D8))/((E8)-(C8))))</f>
        <v>0.70111608446963181</v>
      </c>
      <c r="D846" s="72">
        <f ca="1">(C9)+(E9-C9)*IF(RAND()&lt;((D9)-(C9))/((E9)-(C9)),SQRT(RAND()*((D9)-(C9))/((E9)-(C9))),1-SQRT(RAND()*((E9)-(D9))/((E9)-(C9))))</f>
        <v>1222146.7892081894</v>
      </c>
      <c r="E846" s="72">
        <f ca="1">(C10)+(E10-C10)*IF(RAND()&lt;((D10)-(C10))/((E10)-(C10)),SQRT(RAND()*((D10)-(C10))/((E10)-(C10))),1-SQRT(RAND()*((E10)-(D10))/((E10)-(C10))))</f>
        <v>3579349.806685654</v>
      </c>
      <c r="F846" s="71">
        <f ca="1">(C11)+(E11-C11)*IF(RAND()&lt;((D11)-(C11))/((E11)-(C11)),SQRT(RAND()*((D11)-(C11))/((E11)-(C11))),1-SQRT(RAND()*((E11)-(D11))/((E11)-(C11))))</f>
        <v>1.4471356917506324E-2</v>
      </c>
      <c r="G846" s="71">
        <f ca="1">(C12)+(E12-C12)*IF(RAND()&lt;((D12)-(C12))/((E12)-(C12)),SQRT(RAND()*((D12)-(C12))/((E12)-(C12))),1-SQRT(RAND()*((E12)-(D12))/((E12)-(C12))))</f>
        <v>0.16808632390846673</v>
      </c>
      <c r="H846" s="72">
        <f t="shared" ca="1" si="24"/>
        <v>254110163.96158522</v>
      </c>
      <c r="I846" s="73">
        <f t="shared" ca="1" si="25"/>
        <v>275.56436320222758</v>
      </c>
    </row>
    <row r="847" spans="1:9" ht="16.05" customHeight="1" x14ac:dyDescent="0.3">
      <c r="A847" s="66">
        <v>831</v>
      </c>
      <c r="B847" s="67">
        <f ca="1">(C7)+(E7-C7)*IF(RAND()&lt;((D7)-(C7))/((E7)-(C7)),SQRT(RAND()*((D7)-(C7))/((E7)-(C7))),1-SQRT(RAND()*((E7)-(D7))/((E7)-(C7))))</f>
        <v>0.30133434252298918</v>
      </c>
      <c r="C847" s="67">
        <f ca="1">(C8)+(E8-C8)*IF(RAND()&lt;((D8)-(C8))/((E8)-(C8)),SQRT(RAND()*((D8)-(C8))/((E8)-(C8))),1-SQRT(RAND()*((E8)-(D8))/((E8)-(C8))))</f>
        <v>0.74245049574490385</v>
      </c>
      <c r="D847" s="68">
        <f ca="1">(C9)+(E9-C9)*IF(RAND()&lt;((D9)-(C9))/((E9)-(C9)),SQRT(RAND()*((D9)-(C9))/((E9)-(C9))),1-SQRT(RAND()*((E9)-(D9))/((E9)-(C9))))</f>
        <v>1287455.1836529337</v>
      </c>
      <c r="E847" s="68">
        <f ca="1">(C10)+(E10-C10)*IF(RAND()&lt;((D10)-(C10))/((E10)-(C10)),SQRT(RAND()*((D10)-(C10))/((E10)-(C10))),1-SQRT(RAND()*((E10)-(D10))/((E10)-(C10))))</f>
        <v>4036124.6922260746</v>
      </c>
      <c r="F847" s="67">
        <f ca="1">(C11)+(E11-C11)*IF(RAND()&lt;((D11)-(C11))/((E11)-(C11)),SQRT(RAND()*((D11)-(C11))/((E11)-(C11))),1-SQRT(RAND()*((E11)-(D11))/((E11)-(C11))))</f>
        <v>2.0746690610774381E-2</v>
      </c>
      <c r="G847" s="67">
        <f ca="1">(C12)+(E12-C12)*IF(RAND()&lt;((D12)-(C12))/((E12)-(C12)),SQRT(RAND()*((D12)-(C12))/((E12)-(C12))),1-SQRT(RAND()*((E12)-(D12))/((E12)-(C12))))</f>
        <v>0.1478003989325013</v>
      </c>
      <c r="H847" s="68">
        <f t="shared" ca="1" si="24"/>
        <v>376558791.5350768</v>
      </c>
      <c r="I847" s="69">
        <f t="shared" ca="1" si="25"/>
        <v>387.10041824267716</v>
      </c>
    </row>
    <row r="848" spans="1:9" ht="16.05" customHeight="1" x14ac:dyDescent="0.3">
      <c r="A848" s="70">
        <v>832</v>
      </c>
      <c r="B848" s="71">
        <f ca="1">(C7)+(E7-C7)*IF(RAND()&lt;((D7)-(C7))/((E7)-(C7)),SQRT(RAND()*((D7)-(C7))/((E7)-(C7))),1-SQRT(RAND()*((E7)-(D7))/((E7)-(C7))))</f>
        <v>0.34540177920530107</v>
      </c>
      <c r="C848" s="71">
        <f ca="1">(C8)+(E8-C8)*IF(RAND()&lt;((D8)-(C8))/((E8)-(C8)),SQRT(RAND()*((D8)-(C8))/((E8)-(C8))),1-SQRT(RAND()*((E8)-(D8))/((E8)-(C8))))</f>
        <v>0.60839003385494683</v>
      </c>
      <c r="D848" s="72">
        <f ca="1">(C9)+(E9-C9)*IF(RAND()&lt;((D9)-(C9))/((E9)-(C9)),SQRT(RAND()*((D9)-(C9))/((E9)-(C9))),1-SQRT(RAND()*((E9)-(D9))/((E9)-(C9))))</f>
        <v>1341214.9340440035</v>
      </c>
      <c r="E848" s="72">
        <f ca="1">(C10)+(E10-C10)*IF(RAND()&lt;((D10)-(C10))/((E10)-(C10)),SQRT(RAND()*((D10)-(C10))/((E10)-(C10))),1-SQRT(RAND()*((E10)-(D10))/((E10)-(C10))))</f>
        <v>2978814.6324046273</v>
      </c>
      <c r="F848" s="71">
        <f ca="1">(C11)+(E11-C11)*IF(RAND()&lt;((D11)-(C11))/((E11)-(C11)),SQRT(RAND()*((D11)-(C11))/((E11)-(C11))),1-SQRT(RAND()*((E11)-(D11))/((E11)-(C11))))</f>
        <v>1.8965821272822418E-2</v>
      </c>
      <c r="G848" s="71">
        <f ca="1">(C12)+(E12-C12)*IF(RAND()&lt;((D12)-(C12))/((E12)-(C12)),SQRT(RAND()*((D12)-(C12))/((E12)-(C12))),1-SQRT(RAND()*((E12)-(D12))/((E12)-(C12))))</f>
        <v>0.13803817795957646</v>
      </c>
      <c r="H848" s="72">
        <f t="shared" ca="1" si="24"/>
        <v>352877490.38088816</v>
      </c>
      <c r="I848" s="73">
        <f t="shared" ca="1" si="25"/>
        <v>348.34835096381954</v>
      </c>
    </row>
    <row r="849" spans="1:9" ht="16.05" customHeight="1" x14ac:dyDescent="0.3">
      <c r="A849" s="66">
        <v>833</v>
      </c>
      <c r="B849" s="67">
        <f ca="1">(C7)+(E7-C7)*IF(RAND()&lt;((D7)-(C7))/((E7)-(C7)),SQRT(RAND()*((D7)-(C7))/((E7)-(C7))),1-SQRT(RAND()*((E7)-(D7))/((E7)-(C7))))</f>
        <v>0.30116324413347179</v>
      </c>
      <c r="C849" s="67">
        <f ca="1">(C8)+(E8-C8)*IF(RAND()&lt;((D8)-(C8))/((E8)-(C8)),SQRT(RAND()*((D8)-(C8))/((E8)-(C8))),1-SQRT(RAND()*((E8)-(D8))/((E8)-(C8))))</f>
        <v>0.58528343109756142</v>
      </c>
      <c r="D849" s="68">
        <f ca="1">(C9)+(E9-C9)*IF(RAND()&lt;((D9)-(C9))/((E9)-(C9)),SQRT(RAND()*((D9)-(C9))/((E9)-(C9))),1-SQRT(RAND()*((E9)-(D9))/((E9)-(C9))))</f>
        <v>1291826.9999783258</v>
      </c>
      <c r="E849" s="68">
        <f ca="1">(C10)+(E10-C10)*IF(RAND()&lt;((D10)-(C10))/((E10)-(C10)),SQRT(RAND()*((D10)-(C10))/((E10)-(C10))),1-SQRT(RAND()*((E10)-(D10))/((E10)-(C10))))</f>
        <v>4605163.0718772141</v>
      </c>
      <c r="F849" s="67">
        <f ca="1">(C11)+(E11-C11)*IF(RAND()&lt;((D11)-(C11))/((E11)-(C11)),SQRT(RAND()*((D11)-(C11))/((E11)-(C11))),1-SQRT(RAND()*((E11)-(D11))/((E11)-(C11))))</f>
        <v>1.5065790558514064E-2</v>
      </c>
      <c r="G849" s="67">
        <f ca="1">(C12)+(E12-C12)*IF(RAND()&lt;((D12)-(C12))/((E12)-(C12)),SQRT(RAND()*((D12)-(C12))/((E12)-(C12))),1-SQRT(RAND()*((E12)-(D12))/((E12)-(C12))))</f>
        <v>0.15071792167004761</v>
      </c>
      <c r="H849" s="68">
        <f t="shared" ref="H849:H912" ca="1" si="26">-D849+($L$1*B849*C849+$M$1*F849-E849)*(1-(1+$N$1)^-5)/$N$1</f>
        <v>281760167.4377349</v>
      </c>
      <c r="I849" s="69">
        <f t="shared" ref="I849:I912" ca="1" si="27">($L$1*B849*C849+$M$1*F849-E849)*5/D849</f>
        <v>289.00310594162283</v>
      </c>
    </row>
    <row r="850" spans="1:9" ht="16.05" customHeight="1" x14ac:dyDescent="0.3">
      <c r="A850" s="70">
        <v>834</v>
      </c>
      <c r="B850" s="71">
        <f ca="1">(C7)+(E7-C7)*IF(RAND()&lt;((D7)-(C7))/((E7)-(C7)),SQRT(RAND()*((D7)-(C7))/((E7)-(C7))),1-SQRT(RAND()*((E7)-(D7))/((E7)-(C7))))</f>
        <v>0.31821212108346797</v>
      </c>
      <c r="C850" s="71">
        <f ca="1">(C8)+(E8-C8)*IF(RAND()&lt;((D8)-(C8))/((E8)-(C8)),SQRT(RAND()*((D8)-(C8))/((E8)-(C8))),1-SQRT(RAND()*((E8)-(D8))/((E8)-(C8))))</f>
        <v>0.62144511244599432</v>
      </c>
      <c r="D850" s="72">
        <f ca="1">(C9)+(E9-C9)*IF(RAND()&lt;((D9)-(C9))/((E9)-(C9)),SQRT(RAND()*((D9)-(C9))/((E9)-(C9))),1-SQRT(RAND()*((E9)-(D9))/((E9)-(C9))))</f>
        <v>1272907.4476526049</v>
      </c>
      <c r="E850" s="72">
        <f ca="1">(C10)+(E10-C10)*IF(RAND()&lt;((D10)-(C10))/((E10)-(C10)),SQRT(RAND()*((D10)-(C10))/((E10)-(C10))),1-SQRT(RAND()*((E10)-(D10))/((E10)-(C10))))</f>
        <v>2870279.5296286801</v>
      </c>
      <c r="F850" s="71">
        <f ca="1">(C11)+(E11-C11)*IF(RAND()&lt;((D11)-(C11))/((E11)-(C11)),SQRT(RAND()*((D11)-(C11))/((E11)-(C11))),1-SQRT(RAND()*((E11)-(D11))/((E11)-(C11))))</f>
        <v>1.0651491617160882E-2</v>
      </c>
      <c r="G850" s="71">
        <f ca="1">(C12)+(E12-C12)*IF(RAND()&lt;((D12)-(C12))/((E12)-(C12)),SQRT(RAND()*((D12)-(C12))/((E12)-(C12))),1-SQRT(RAND()*((E12)-(D12))/((E12)-(C12))))</f>
        <v>0.16091572834453377</v>
      </c>
      <c r="H850" s="72">
        <f t="shared" ca="1" si="26"/>
        <v>279870046.30890995</v>
      </c>
      <c r="I850" s="73">
        <f t="shared" ca="1" si="27"/>
        <v>291.32048477265022</v>
      </c>
    </row>
    <row r="851" spans="1:9" ht="16.05" customHeight="1" x14ac:dyDescent="0.3">
      <c r="A851" s="66">
        <v>835</v>
      </c>
      <c r="B851" s="67">
        <f ca="1">(C7)+(E7-C7)*IF(RAND()&lt;((D7)-(C7))/((E7)-(C7)),SQRT(RAND()*((D7)-(C7))/((E7)-(C7))),1-SQRT(RAND()*((E7)-(D7))/((E7)-(C7))))</f>
        <v>0.36607537329791362</v>
      </c>
      <c r="C851" s="67">
        <f ca="1">(C8)+(E8-C8)*IF(RAND()&lt;((D8)-(C8))/((E8)-(C8)),SQRT(RAND()*((D8)-(C8))/((E8)-(C8))),1-SQRT(RAND()*((E8)-(D8))/((E8)-(C8))))</f>
        <v>0.71510961808381501</v>
      </c>
      <c r="D851" s="68">
        <f ca="1">(C9)+(E9-C9)*IF(RAND()&lt;((D9)-(C9))/((E9)-(C9)),SQRT(RAND()*((D9)-(C9))/((E9)-(C9))),1-SQRT(RAND()*((E9)-(D9))/((E9)-(C9))))</f>
        <v>1327363.3506389242</v>
      </c>
      <c r="E851" s="68">
        <f ca="1">(C10)+(E10-C10)*IF(RAND()&lt;((D10)-(C10))/((E10)-(C10)),SQRT(RAND()*((D10)-(C10))/((E10)-(C10))),1-SQRT(RAND()*((E10)-(D10))/((E10)-(C10))))</f>
        <v>2919496.4128213068</v>
      </c>
      <c r="F851" s="67">
        <f ca="1">(C11)+(E11-C11)*IF(RAND()&lt;((D11)-(C11))/((E11)-(C11)),SQRT(RAND()*((D11)-(C11))/((E11)-(C11))),1-SQRT(RAND()*((E11)-(D11))/((E11)-(C11))))</f>
        <v>9.2294281841098901E-3</v>
      </c>
      <c r="G851" s="67">
        <f ca="1">(C12)+(E12-C12)*IF(RAND()&lt;((D12)-(C12))/((E12)-(C12)),SQRT(RAND()*((D12)-(C12))/((E12)-(C12))),1-SQRT(RAND()*((E12)-(D12))/((E12)-(C12))))</f>
        <v>0.16669962550190687</v>
      </c>
      <c r="H851" s="68">
        <f t="shared" ca="1" si="26"/>
        <v>339029748.59318453</v>
      </c>
      <c r="I851" s="69">
        <f t="shared" ca="1" si="27"/>
        <v>338.20938576516255</v>
      </c>
    </row>
    <row r="852" spans="1:9" ht="16.05" customHeight="1" x14ac:dyDescent="0.3">
      <c r="A852" s="70">
        <v>836</v>
      </c>
      <c r="B852" s="71">
        <f ca="1">(C7)+(E7-C7)*IF(RAND()&lt;((D7)-(C7))/((E7)-(C7)),SQRT(RAND()*((D7)-(C7))/((E7)-(C7))),1-SQRT(RAND()*((E7)-(D7))/((E7)-(C7))))</f>
        <v>0.22295675014024907</v>
      </c>
      <c r="C852" s="71">
        <f ca="1">(C8)+(E8-C8)*IF(RAND()&lt;((D8)-(C8))/((E8)-(C8)),SQRT(RAND()*((D8)-(C8))/((E8)-(C8))),1-SQRT(RAND()*((E8)-(D8))/((E8)-(C8))))</f>
        <v>0.55849295361528151</v>
      </c>
      <c r="D852" s="72">
        <f ca="1">(C9)+(E9-C9)*IF(RAND()&lt;((D9)-(C9))/((E9)-(C9)),SQRT(RAND()*((D9)-(C9))/((E9)-(C9))),1-SQRT(RAND()*((E9)-(D9))/((E9)-(C9))))</f>
        <v>1103161.2639749872</v>
      </c>
      <c r="E852" s="72">
        <f ca="1">(C10)+(E10-C10)*IF(RAND()&lt;((D10)-(C10))/((E10)-(C10)),SQRT(RAND()*((D10)-(C10))/((E10)-(C10))),1-SQRT(RAND()*((E10)-(D10))/((E10)-(C10))))</f>
        <v>4216103.9368772898</v>
      </c>
      <c r="F852" s="71">
        <f ca="1">(C11)+(E11-C11)*IF(RAND()&lt;((D11)-(C11))/((E11)-(C11)),SQRT(RAND()*((D11)-(C11))/((E11)-(C11))),1-SQRT(RAND()*((E11)-(D11))/((E11)-(C11))))</f>
        <v>1.9075396483777502E-2</v>
      </c>
      <c r="G852" s="71">
        <f ca="1">(C12)+(E12-C12)*IF(RAND()&lt;((D12)-(C12))/((E12)-(C12)),SQRT(RAND()*((D12)-(C12))/((E12)-(C12))),1-SQRT(RAND()*((E12)-(D12))/((E12)-(C12))))</f>
        <v>0.15531964344251942</v>
      </c>
      <c r="H852" s="72">
        <f t="shared" ca="1" si="26"/>
        <v>256066186.51468</v>
      </c>
      <c r="I852" s="73">
        <f t="shared" ca="1" si="27"/>
        <v>307.48281460313808</v>
      </c>
    </row>
    <row r="853" spans="1:9" ht="16.05" customHeight="1" x14ac:dyDescent="0.3">
      <c r="A853" s="66">
        <v>837</v>
      </c>
      <c r="B853" s="67">
        <f ca="1">(C7)+(E7-C7)*IF(RAND()&lt;((D7)-(C7))/((E7)-(C7)),SQRT(RAND()*((D7)-(C7))/((E7)-(C7))),1-SQRT(RAND()*((E7)-(D7))/((E7)-(C7))))</f>
        <v>0.27922986339380451</v>
      </c>
      <c r="C853" s="67">
        <f ca="1">(C8)+(E8-C8)*IF(RAND()&lt;((D8)-(C8))/((E8)-(C8)),SQRT(RAND()*((D8)-(C8))/((E8)-(C8))),1-SQRT(RAND()*((E8)-(D8))/((E8)-(C8))))</f>
        <v>0.61131119101890441</v>
      </c>
      <c r="D853" s="68">
        <f ca="1">(C9)+(E9-C9)*IF(RAND()&lt;((D9)-(C9))/((E9)-(C9)),SQRT(RAND()*((D9)-(C9))/((E9)-(C9))),1-SQRT(RAND()*((E9)-(D9))/((E9)-(C9))))</f>
        <v>1218139.6804147097</v>
      </c>
      <c r="E853" s="68">
        <f ca="1">(C10)+(E10-C10)*IF(RAND()&lt;((D10)-(C10))/((E10)-(C10)),SQRT(RAND()*((D10)-(C10))/((E10)-(C10))),1-SQRT(RAND()*((E10)-(D10))/((E10)-(C10))))</f>
        <v>3807225.5964418557</v>
      </c>
      <c r="F853" s="67">
        <f ca="1">(C11)+(E11-C11)*IF(RAND()&lt;((D11)-(C11))/((E11)-(C11)),SQRT(RAND()*((D11)-(C11))/((E11)-(C11))),1-SQRT(RAND()*((E11)-(D11))/((E11)-(C11))))</f>
        <v>9.2779120951536637E-3</v>
      </c>
      <c r="G853" s="67">
        <f ca="1">(C12)+(E12-C12)*IF(RAND()&lt;((D12)-(C12))/((E12)-(C12)),SQRT(RAND()*((D12)-(C12))/((E12)-(C12))),1-SQRT(RAND()*((E12)-(D12))/((E12)-(C12))))</f>
        <v>0.17061944323049344</v>
      </c>
      <c r="H853" s="68">
        <f t="shared" ca="1" si="26"/>
        <v>237024350.45448479</v>
      </c>
      <c r="I853" s="69">
        <f t="shared" ca="1" si="27"/>
        <v>257.96618288658493</v>
      </c>
    </row>
    <row r="854" spans="1:9" ht="16.05" customHeight="1" x14ac:dyDescent="0.3">
      <c r="A854" s="70">
        <v>838</v>
      </c>
      <c r="B854" s="71">
        <f ca="1">(C7)+(E7-C7)*IF(RAND()&lt;((D7)-(C7))/((E7)-(C7)),SQRT(RAND()*((D7)-(C7))/((E7)-(C7))),1-SQRT(RAND()*((E7)-(D7))/((E7)-(C7))))</f>
        <v>0.261860506005272</v>
      </c>
      <c r="C854" s="71">
        <f ca="1">(C8)+(E8-C8)*IF(RAND()&lt;((D8)-(C8))/((E8)-(C8)),SQRT(RAND()*((D8)-(C8))/((E8)-(C8))),1-SQRT(RAND()*((E8)-(D8))/((E8)-(C8))))</f>
        <v>0.57729659943817513</v>
      </c>
      <c r="D854" s="72">
        <f ca="1">(C9)+(E9-C9)*IF(RAND()&lt;((D9)-(C9))/((E9)-(C9)),SQRT(RAND()*((D9)-(C9))/((E9)-(C9))),1-SQRT(RAND()*((E9)-(D9))/((E9)-(C9))))</f>
        <v>1318135.356220609</v>
      </c>
      <c r="E854" s="72">
        <f ca="1">(C10)+(E10-C10)*IF(RAND()&lt;((D10)-(C10))/((E10)-(C10)),SQRT(RAND()*((D10)-(C10))/((E10)-(C10))),1-SQRT(RAND()*((E10)-(D10))/((E10)-(C10))))</f>
        <v>3002301.4118604292</v>
      </c>
      <c r="F854" s="71">
        <f ca="1">(C11)+(E11-C11)*IF(RAND()&lt;((D11)-(C11))/((E11)-(C11)),SQRT(RAND()*((D11)-(C11))/((E11)-(C11))),1-SQRT(RAND()*((E11)-(D11))/((E11)-(C11))))</f>
        <v>1.4882313289390457E-2</v>
      </c>
      <c r="G854" s="71">
        <f ca="1">(C12)+(E12-C12)*IF(RAND()&lt;((D12)-(C12))/((E12)-(C12)),SQRT(RAND()*((D12)-(C12))/((E12)-(C12))),1-SQRT(RAND()*((E12)-(D12))/((E12)-(C12))))</f>
        <v>0.1824603160818285</v>
      </c>
      <c r="H854" s="72">
        <f t="shared" ca="1" si="26"/>
        <v>259183789.99172172</v>
      </c>
      <c r="I854" s="73">
        <f t="shared" ca="1" si="27"/>
        <v>260.67031479226449</v>
      </c>
    </row>
    <row r="855" spans="1:9" ht="16.05" customHeight="1" x14ac:dyDescent="0.3">
      <c r="A855" s="66">
        <v>839</v>
      </c>
      <c r="B855" s="67">
        <f ca="1">(C7)+(E7-C7)*IF(RAND()&lt;((D7)-(C7))/((E7)-(C7)),SQRT(RAND()*((D7)-(C7))/((E7)-(C7))),1-SQRT(RAND()*((E7)-(D7))/((E7)-(C7))))</f>
        <v>0.23689927645721373</v>
      </c>
      <c r="C855" s="67">
        <f ca="1">(C8)+(E8-C8)*IF(RAND()&lt;((D8)-(C8))/((E8)-(C8)),SQRT(RAND()*((D8)-(C8))/((E8)-(C8))),1-SQRT(RAND()*((E8)-(D8))/((E8)-(C8))))</f>
        <v>0.65062691219772317</v>
      </c>
      <c r="D855" s="68">
        <f ca="1">(C9)+(E9-C9)*IF(RAND()&lt;((D9)-(C9))/((E9)-(C9)),SQRT(RAND()*((D9)-(C9))/((E9)-(C9))),1-SQRT(RAND()*((E9)-(D9))/((E9)-(C9))))</f>
        <v>1299825.7330847452</v>
      </c>
      <c r="E855" s="68">
        <f ca="1">(C10)+(E10-C10)*IF(RAND()&lt;((D10)-(C10))/((E10)-(C10)),SQRT(RAND()*((D10)-(C10))/((E10)-(C10))),1-SQRT(RAND()*((E10)-(D10))/((E10)-(C10))))</f>
        <v>3276954.4720837376</v>
      </c>
      <c r="F855" s="67">
        <f ca="1">(C11)+(E11-C11)*IF(RAND()&lt;((D11)-(C11))/((E11)-(C11)),SQRT(RAND()*((D11)-(C11))/((E11)-(C11))),1-SQRT(RAND()*((E11)-(D11))/((E11)-(C11))))</f>
        <v>1.1425330717468724E-2</v>
      </c>
      <c r="G855" s="67">
        <f ca="1">(C12)+(E12-C12)*IF(RAND()&lt;((D12)-(C12))/((E12)-(C12)),SQRT(RAND()*((D12)-(C12))/((E12)-(C12))),1-SQRT(RAND()*((E12)-(D12))/((E12)-(C12))))</f>
        <v>0.16556372981662493</v>
      </c>
      <c r="H855" s="68">
        <f t="shared" ca="1" si="26"/>
        <v>236432008.80281749</v>
      </c>
      <c r="I855" s="69">
        <f t="shared" ca="1" si="27"/>
        <v>241.23641138590801</v>
      </c>
    </row>
    <row r="856" spans="1:9" ht="16.05" customHeight="1" x14ac:dyDescent="0.3">
      <c r="A856" s="70">
        <v>840</v>
      </c>
      <c r="B856" s="71">
        <f ca="1">(C7)+(E7-C7)*IF(RAND()&lt;((D7)-(C7))/((E7)-(C7)),SQRT(RAND()*((D7)-(C7))/((E7)-(C7))),1-SQRT(RAND()*((E7)-(D7))/((E7)-(C7))))</f>
        <v>0.24861965516932261</v>
      </c>
      <c r="C856" s="71">
        <f ca="1">(C8)+(E8-C8)*IF(RAND()&lt;((D8)-(C8))/((E8)-(C8)),SQRT(RAND()*((D8)-(C8))/((E8)-(C8))),1-SQRT(RAND()*((E8)-(D8))/((E8)-(C8))))</f>
        <v>0.85371932808632089</v>
      </c>
      <c r="D856" s="72">
        <f ca="1">(C9)+(E9-C9)*IF(RAND()&lt;((D9)-(C9))/((E9)-(C9)),SQRT(RAND()*((D9)-(C9))/((E9)-(C9))),1-SQRT(RAND()*((E9)-(D9))/((E9)-(C9))))</f>
        <v>1448386.4399489909</v>
      </c>
      <c r="E856" s="72">
        <f ca="1">(C10)+(E10-C10)*IF(RAND()&lt;((D10)-(C10))/((E10)-(C10)),SQRT(RAND()*((D10)-(C10))/((E10)-(C10))),1-SQRT(RAND()*((E10)-(D10))/((E10)-(C10))))</f>
        <v>3550206.6685736058</v>
      </c>
      <c r="F856" s="71">
        <f ca="1">(C11)+(E11-C11)*IF(RAND()&lt;((D11)-(C11))/((E11)-(C11)),SQRT(RAND()*((D11)-(C11))/((E11)-(C11))),1-SQRT(RAND()*((E11)-(D11))/((E11)-(C11))))</f>
        <v>1.4577730222633062E-2</v>
      </c>
      <c r="G856" s="71">
        <f ca="1">(C12)+(E12-C12)*IF(RAND()&lt;((D12)-(C12))/((E12)-(C12)),SQRT(RAND()*((D12)-(C12))/((E12)-(C12))),1-SQRT(RAND()*((E12)-(D12))/((E12)-(C12))))</f>
        <v>0.16567451215750598</v>
      </c>
      <c r="H856" s="72">
        <f t="shared" ca="1" si="26"/>
        <v>321230756.06911296</v>
      </c>
      <c r="I856" s="73">
        <f t="shared" ca="1" si="27"/>
        <v>293.85094526947154</v>
      </c>
    </row>
    <row r="857" spans="1:9" ht="16.05" customHeight="1" x14ac:dyDescent="0.3">
      <c r="A857" s="66">
        <v>841</v>
      </c>
      <c r="B857" s="67">
        <f ca="1">(C7)+(E7-C7)*IF(RAND()&lt;((D7)-(C7))/((E7)-(C7)),SQRT(RAND()*((D7)-(C7))/((E7)-(C7))),1-SQRT(RAND()*((E7)-(D7))/((E7)-(C7))))</f>
        <v>0.30866207466553031</v>
      </c>
      <c r="C857" s="67">
        <f ca="1">(C8)+(E8-C8)*IF(RAND()&lt;((D8)-(C8))/((E8)-(C8)),SQRT(RAND()*((D8)-(C8))/((E8)-(C8))),1-SQRT(RAND()*((E8)-(D8))/((E8)-(C8))))</f>
        <v>0.84448190318883398</v>
      </c>
      <c r="D857" s="68">
        <f ca="1">(C9)+(E9-C9)*IF(RAND()&lt;((D9)-(C9))/((E9)-(C9)),SQRT(RAND()*((D9)-(C9))/((E9)-(C9))),1-SQRT(RAND()*((E9)-(D9))/((E9)-(C9))))</f>
        <v>1194084.7089210283</v>
      </c>
      <c r="E857" s="68">
        <f ca="1">(C10)+(E10-C10)*IF(RAND()&lt;((D10)-(C10))/((E10)-(C10)),SQRT(RAND()*((D10)-(C10))/((E10)-(C10))),1-SQRT(RAND()*((E10)-(D10))/((E10)-(C10))))</f>
        <v>3789314.1496399026</v>
      </c>
      <c r="F857" s="67">
        <f ca="1">(C11)+(E11-C11)*IF(RAND()&lt;((D11)-(C11))/((E11)-(C11)),SQRT(RAND()*((D11)-(C11))/((E11)-(C11))),1-SQRT(RAND()*((E11)-(D11))/((E11)-(C11))))</f>
        <v>1.4749395540645978E-2</v>
      </c>
      <c r="G857" s="67">
        <f ca="1">(C12)+(E12-C12)*IF(RAND()&lt;((D12)-(C12))/((E12)-(C12)),SQRT(RAND()*((D12)-(C12))/((E12)-(C12))),1-SQRT(RAND()*((E12)-(D12))/((E12)-(C12))))</f>
        <v>0.20221363999885322</v>
      </c>
      <c r="H857" s="68">
        <f t="shared" ca="1" si="26"/>
        <v>374483581.22854519</v>
      </c>
      <c r="I857" s="69">
        <f t="shared" ca="1" si="27"/>
        <v>414.97400111045096</v>
      </c>
    </row>
    <row r="858" spans="1:9" ht="16.05" customHeight="1" x14ac:dyDescent="0.3">
      <c r="A858" s="70">
        <v>842</v>
      </c>
      <c r="B858" s="71">
        <f ca="1">(C7)+(E7-C7)*IF(RAND()&lt;((D7)-(C7))/((E7)-(C7)),SQRT(RAND()*((D7)-(C7))/((E7)-(C7))),1-SQRT(RAND()*((E7)-(D7))/((E7)-(C7))))</f>
        <v>0.23345853683624734</v>
      </c>
      <c r="C858" s="71">
        <f ca="1">(C8)+(E8-C8)*IF(RAND()&lt;((D8)-(C8))/((E8)-(C8)),SQRT(RAND()*((D8)-(C8))/((E8)-(C8))),1-SQRT(RAND()*((E8)-(D8))/((E8)-(C8))))</f>
        <v>0.62773087862862931</v>
      </c>
      <c r="D858" s="72">
        <f ca="1">(C9)+(E9-C9)*IF(RAND()&lt;((D9)-(C9))/((E9)-(C9)),SQRT(RAND()*((D9)-(C9))/((E9)-(C9))),1-SQRT(RAND()*((E9)-(D9))/((E9)-(C9))))</f>
        <v>1178330.0141826787</v>
      </c>
      <c r="E858" s="72">
        <f ca="1">(C10)+(E10-C10)*IF(RAND()&lt;((D10)-(C10))/((E10)-(C10)),SQRT(RAND()*((D10)-(C10))/((E10)-(C10))),1-SQRT(RAND()*((E10)-(D10))/((E10)-(C10))))</f>
        <v>3412141.1078403294</v>
      </c>
      <c r="F858" s="71">
        <f ca="1">(C11)+(E11-C11)*IF(RAND()&lt;((D11)-(C11))/((E11)-(C11)),SQRT(RAND()*((D11)-(C11))/((E11)-(C11))),1-SQRT(RAND()*((E11)-(D11))/((E11)-(C11))))</f>
        <v>6.9322387777724665E-3</v>
      </c>
      <c r="G858" s="71">
        <f ca="1">(C12)+(E12-C12)*IF(RAND()&lt;((D12)-(C12))/((E12)-(C12)),SQRT(RAND()*((D12)-(C12))/((E12)-(C12))),1-SQRT(RAND()*((E12)-(D12))/((E12)-(C12))))</f>
        <v>0.16551672243236357</v>
      </c>
      <c r="H858" s="72">
        <f t="shared" ca="1" si="26"/>
        <v>195360478.40218756</v>
      </c>
      <c r="I858" s="73">
        <f t="shared" ca="1" si="27"/>
        <v>219.99966866074286</v>
      </c>
    </row>
    <row r="859" spans="1:9" ht="16.05" customHeight="1" x14ac:dyDescent="0.3">
      <c r="A859" s="66">
        <v>843</v>
      </c>
      <c r="B859" s="67">
        <f ca="1">(C7)+(E7-C7)*IF(RAND()&lt;((D7)-(C7))/((E7)-(C7)),SQRT(RAND()*((D7)-(C7))/((E7)-(C7))),1-SQRT(RAND()*((E7)-(D7))/((E7)-(C7))))</f>
        <v>0.21609592193464827</v>
      </c>
      <c r="C859" s="67">
        <f ca="1">(C8)+(E8-C8)*IF(RAND()&lt;((D8)-(C8))/((E8)-(C8)),SQRT(RAND()*((D8)-(C8))/((E8)-(C8))),1-SQRT(RAND()*((E8)-(D8))/((E8)-(C8))))</f>
        <v>0.73830105734536422</v>
      </c>
      <c r="D859" s="68">
        <f ca="1">(C9)+(E9-C9)*IF(RAND()&lt;((D9)-(C9))/((E9)-(C9)),SQRT(RAND()*((D9)-(C9))/((E9)-(C9))),1-SQRT(RAND()*((E9)-(D9))/((E9)-(C9))))</f>
        <v>1343362.2717216525</v>
      </c>
      <c r="E859" s="68">
        <f ca="1">(C10)+(E10-C10)*IF(RAND()&lt;((D10)-(C10))/((E10)-(C10)),SQRT(RAND()*((D10)-(C10))/((E10)-(C10))),1-SQRT(RAND()*((E10)-(D10))/((E10)-(C10))))</f>
        <v>3229846.2842688398</v>
      </c>
      <c r="F859" s="67">
        <f ca="1">(C11)+(E11-C11)*IF(RAND()&lt;((D11)-(C11))/((E11)-(C11)),SQRT(RAND()*((D11)-(C11))/((E11)-(C11))),1-SQRT(RAND()*((E11)-(D11))/((E11)-(C11))))</f>
        <v>9.7657634281185981E-3</v>
      </c>
      <c r="G859" s="67">
        <f ca="1">(C12)+(E12-C12)*IF(RAND()&lt;((D12)-(C12))/((E12)-(C12)),SQRT(RAND()*((D12)-(C12))/((E12)-(C12))),1-SQRT(RAND()*((E12)-(D12))/((E12)-(C12))))</f>
        <v>0.16645687430140196</v>
      </c>
      <c r="H859" s="68">
        <f t="shared" ca="1" si="26"/>
        <v>230475574.64482042</v>
      </c>
      <c r="I859" s="69">
        <f t="shared" ca="1" si="27"/>
        <v>227.61265835136857</v>
      </c>
    </row>
    <row r="860" spans="1:9" ht="16.05" customHeight="1" x14ac:dyDescent="0.3">
      <c r="A860" s="70">
        <v>844</v>
      </c>
      <c r="B860" s="71">
        <f ca="1">(C7)+(E7-C7)*IF(RAND()&lt;((D7)-(C7))/((E7)-(C7)),SQRT(RAND()*((D7)-(C7))/((E7)-(C7))),1-SQRT(RAND()*((E7)-(D7))/((E7)-(C7))))</f>
        <v>0.28522660006546985</v>
      </c>
      <c r="C860" s="71">
        <f ca="1">(C8)+(E8-C8)*IF(RAND()&lt;((D8)-(C8))/((E8)-(C8)),SQRT(RAND()*((D8)-(C8))/((E8)-(C8))),1-SQRT(RAND()*((E8)-(D8))/((E8)-(C8))))</f>
        <v>0.62575927562286593</v>
      </c>
      <c r="D860" s="72">
        <f ca="1">(C9)+(E9-C9)*IF(RAND()&lt;((D9)-(C9))/((E9)-(C9)),SQRT(RAND()*((D9)-(C9))/((E9)-(C9))),1-SQRT(RAND()*((E9)-(D9))/((E9)-(C9))))</f>
        <v>1285938.6084823185</v>
      </c>
      <c r="E860" s="72">
        <f ca="1">(C10)+(E10-C10)*IF(RAND()&lt;((D10)-(C10))/((E10)-(C10)),SQRT(RAND()*((D10)-(C10))/((E10)-(C10))),1-SQRT(RAND()*((E10)-(D10))/((E10)-(C10))))</f>
        <v>4141512.2108053053</v>
      </c>
      <c r="F860" s="71">
        <f ca="1">(C11)+(E11-C11)*IF(RAND()&lt;((D11)-(C11))/((E11)-(C11)),SQRT(RAND()*((D11)-(C11))/((E11)-(C11))),1-SQRT(RAND()*((E11)-(D11))/((E11)-(C11))))</f>
        <v>4.4387438986165017E-3</v>
      </c>
      <c r="G860" s="71">
        <f ca="1">(C12)+(E12-C12)*IF(RAND()&lt;((D12)-(C12))/((E12)-(C12)),SQRT(RAND()*((D12)-(C12))/((E12)-(C12))),1-SQRT(RAND()*((E12)-(D12))/((E12)-(C12))))</f>
        <v>0.15142117909094238</v>
      </c>
      <c r="H860" s="72">
        <f t="shared" ca="1" si="26"/>
        <v>209233630.11546469</v>
      </c>
      <c r="I860" s="73">
        <f t="shared" ca="1" si="27"/>
        <v>215.92995000327443</v>
      </c>
    </row>
    <row r="861" spans="1:9" ht="16.05" customHeight="1" x14ac:dyDescent="0.3">
      <c r="A861" s="66">
        <v>845</v>
      </c>
      <c r="B861" s="67">
        <f ca="1">(C7)+(E7-C7)*IF(RAND()&lt;((D7)-(C7))/((E7)-(C7)),SQRT(RAND()*((D7)-(C7))/((E7)-(C7))),1-SQRT(RAND()*((E7)-(D7))/((E7)-(C7))))</f>
        <v>0.32594160543004969</v>
      </c>
      <c r="C861" s="67">
        <f ca="1">(C8)+(E8-C8)*IF(RAND()&lt;((D8)-(C8))/((E8)-(C8)),SQRT(RAND()*((D8)-(C8))/((E8)-(C8))),1-SQRT(RAND()*((E8)-(D8))/((E8)-(C8))))</f>
        <v>0.63870015189699403</v>
      </c>
      <c r="D861" s="68">
        <f ca="1">(C9)+(E9-C9)*IF(RAND()&lt;((D9)-(C9))/((E9)-(C9)),SQRT(RAND()*((D9)-(C9))/((E9)-(C9))),1-SQRT(RAND()*((E9)-(D9))/((E9)-(C9))))</f>
        <v>1255875.1789288442</v>
      </c>
      <c r="E861" s="68">
        <f ca="1">(C10)+(E10-C10)*IF(RAND()&lt;((D10)-(C10))/((E10)-(C10)),SQRT(RAND()*((D10)-(C10))/((E10)-(C10))),1-SQRT(RAND()*((E10)-(D10))/((E10)-(C10))))</f>
        <v>3800311.2498869449</v>
      </c>
      <c r="F861" s="67">
        <f ca="1">(C11)+(E11-C11)*IF(RAND()&lt;((D11)-(C11))/((E11)-(C11)),SQRT(RAND()*((D11)-(C11))/((E11)-(C11))),1-SQRT(RAND()*((E11)-(D11))/((E11)-(C11))))</f>
        <v>1.1617155521730402E-2</v>
      </c>
      <c r="G861" s="67">
        <f ca="1">(C12)+(E12-C12)*IF(RAND()&lt;((D12)-(C12))/((E12)-(C12)),SQRT(RAND()*((D12)-(C12))/((E12)-(C12))),1-SQRT(RAND()*((E12)-(D12))/((E12)-(C12))))</f>
        <v>0.14860801452223182</v>
      </c>
      <c r="H861" s="68">
        <f t="shared" ca="1" si="26"/>
        <v>294676110.63815957</v>
      </c>
      <c r="I861" s="69">
        <f t="shared" ca="1" si="27"/>
        <v>310.80362784030029</v>
      </c>
    </row>
    <row r="862" spans="1:9" ht="16.05" customHeight="1" x14ac:dyDescent="0.3">
      <c r="A862" s="70">
        <v>846</v>
      </c>
      <c r="B862" s="71">
        <f ca="1">(C7)+(E7-C7)*IF(RAND()&lt;((D7)-(C7))/((E7)-(C7)),SQRT(RAND()*((D7)-(C7))/((E7)-(C7))),1-SQRT(RAND()*((E7)-(D7))/((E7)-(C7))))</f>
        <v>0.29481263521317019</v>
      </c>
      <c r="C862" s="71">
        <f ca="1">(C8)+(E8-C8)*IF(RAND()&lt;((D8)-(C8))/((E8)-(C8)),SQRT(RAND()*((D8)-(C8))/((E8)-(C8))),1-SQRT(RAND()*((E8)-(D8))/((E8)-(C8))))</f>
        <v>0.7069332747467546</v>
      </c>
      <c r="D862" s="72">
        <f ca="1">(C9)+(E9-C9)*IF(RAND()&lt;((D9)-(C9))/((E9)-(C9)),SQRT(RAND()*((D9)-(C9))/((E9)-(C9))),1-SQRT(RAND()*((E9)-(D9))/((E9)-(C9))))</f>
        <v>1162991.4439326811</v>
      </c>
      <c r="E862" s="72">
        <f ca="1">(C10)+(E10-C10)*IF(RAND()&lt;((D10)-(C10))/((E10)-(C10)),SQRT(RAND()*((D10)-(C10))/((E10)-(C10))),1-SQRT(RAND()*((E10)-(D10))/((E10)-(C10))))</f>
        <v>4090244.8474944304</v>
      </c>
      <c r="F862" s="71">
        <f ca="1">(C11)+(E11-C11)*IF(RAND()&lt;((D11)-(C11))/((E11)-(C11)),SQRT(RAND()*((D11)-(C11))/((E11)-(C11))),1-SQRT(RAND()*((E11)-(D11))/((E11)-(C11))))</f>
        <v>1.3067861955697917E-2</v>
      </c>
      <c r="G862" s="71">
        <f ca="1">(C12)+(E12-C12)*IF(RAND()&lt;((D12)-(C12))/((E12)-(C12)),SQRT(RAND()*((D12)-(C12))/((E12)-(C12))),1-SQRT(RAND()*((E12)-(D12))/((E12)-(C12))))</f>
        <v>0.13531191897388803</v>
      </c>
      <c r="H862" s="72">
        <f t="shared" ca="1" si="26"/>
        <v>304395103.22126293</v>
      </c>
      <c r="I862" s="73">
        <f t="shared" ca="1" si="27"/>
        <v>346.54363120915042</v>
      </c>
    </row>
    <row r="863" spans="1:9" ht="16.05" customHeight="1" x14ac:dyDescent="0.3">
      <c r="A863" s="66">
        <v>847</v>
      </c>
      <c r="B863" s="67">
        <f ca="1">(C7)+(E7-C7)*IF(RAND()&lt;((D7)-(C7))/((E7)-(C7)),SQRT(RAND()*((D7)-(C7))/((E7)-(C7))),1-SQRT(RAND()*((E7)-(D7))/((E7)-(C7))))</f>
        <v>0.25751551631673275</v>
      </c>
      <c r="C863" s="67">
        <f ca="1">(C8)+(E8-C8)*IF(RAND()&lt;((D8)-(C8))/((E8)-(C8)),SQRT(RAND()*((D8)-(C8))/((E8)-(C8))),1-SQRT(RAND()*((E8)-(D8))/((E8)-(C8))))</f>
        <v>0.60852927741673013</v>
      </c>
      <c r="D863" s="68">
        <f ca="1">(C9)+(E9-C9)*IF(RAND()&lt;((D9)-(C9))/((E9)-(C9)),SQRT(RAND()*((D9)-(C9))/((E9)-(C9))),1-SQRT(RAND()*((E9)-(D9))/((E9)-(C9))))</f>
        <v>1294324.6610082234</v>
      </c>
      <c r="E863" s="68">
        <f ca="1">(C10)+(E10-C10)*IF(RAND()&lt;((D10)-(C10))/((E10)-(C10)),SQRT(RAND()*((D10)-(C10))/((E10)-(C10))),1-SQRT(RAND()*((E10)-(D10))/((E10)-(C10))))</f>
        <v>3809726.1680222768</v>
      </c>
      <c r="F863" s="67">
        <f ca="1">(C11)+(E11-C11)*IF(RAND()&lt;((D11)-(C11))/((E11)-(C11)),SQRT(RAND()*((D11)-(C11))/((E11)-(C11))),1-SQRT(RAND()*((E11)-(D11))/((E11)-(C11))))</f>
        <v>6.7167209566686209E-3</v>
      </c>
      <c r="G863" s="67">
        <f ca="1">(C12)+(E12-C12)*IF(RAND()&lt;((D12)-(C12))/((E12)-(C12)),SQRT(RAND()*((D12)-(C12))/((E12)-(C12))),1-SQRT(RAND()*((E12)-(D12))/((E12)-(C12))))</f>
        <v>0.15518208645055448</v>
      </c>
      <c r="H863" s="68">
        <f t="shared" ca="1" si="26"/>
        <v>203231720.04340795</v>
      </c>
      <c r="I863" s="69">
        <f t="shared" ca="1" si="27"/>
        <v>208.42319155037572</v>
      </c>
    </row>
    <row r="864" spans="1:9" ht="16.05" customHeight="1" x14ac:dyDescent="0.3">
      <c r="A864" s="70">
        <v>848</v>
      </c>
      <c r="B864" s="71">
        <f ca="1">(C7)+(E7-C7)*IF(RAND()&lt;((D7)-(C7))/((E7)-(C7)),SQRT(RAND()*((D7)-(C7))/((E7)-(C7))),1-SQRT(RAND()*((E7)-(D7))/((E7)-(C7))))</f>
        <v>0.25851313968754935</v>
      </c>
      <c r="C864" s="71">
        <f ca="1">(C8)+(E8-C8)*IF(RAND()&lt;((D8)-(C8))/((E8)-(C8)),SQRT(RAND()*((D8)-(C8))/((E8)-(C8))),1-SQRT(RAND()*((E8)-(D8))/((E8)-(C8))))</f>
        <v>0.64653800064439659</v>
      </c>
      <c r="D864" s="72">
        <f ca="1">(C9)+(E9-C9)*IF(RAND()&lt;((D9)-(C9))/((E9)-(C9)),SQRT(RAND()*((D9)-(C9))/((E9)-(C9))),1-SQRT(RAND()*((E9)-(D9))/((E9)-(C9))))</f>
        <v>1193969.7012326708</v>
      </c>
      <c r="E864" s="72">
        <f ca="1">(C10)+(E10-C10)*IF(RAND()&lt;((D10)-(C10))/((E10)-(C10)),SQRT(RAND()*((D10)-(C10))/((E10)-(C10))),1-SQRT(RAND()*((E10)-(D10))/((E10)-(C10))))</f>
        <v>3164927.761653265</v>
      </c>
      <c r="F864" s="71">
        <f ca="1">(C11)+(E11-C11)*IF(RAND()&lt;((D11)-(C11))/((E11)-(C11)),SQRT(RAND()*((D11)-(C11))/((E11)-(C11))),1-SQRT(RAND()*((E11)-(D11))/((E11)-(C11))))</f>
        <v>1.350678148643689E-2</v>
      </c>
      <c r="G864" s="71">
        <f ca="1">(C12)+(E12-C12)*IF(RAND()&lt;((D12)-(C12))/((E12)-(C12)),SQRT(RAND()*((D12)-(C12))/((E12)-(C12))),1-SQRT(RAND()*((E12)-(D12))/((E12)-(C12))))</f>
        <v>0.16702294800136505</v>
      </c>
      <c r="H864" s="72">
        <f t="shared" ca="1" si="26"/>
        <v>266135169.03076556</v>
      </c>
      <c r="I864" s="73">
        <f t="shared" ca="1" si="27"/>
        <v>295.32053144951453</v>
      </c>
    </row>
    <row r="865" spans="1:9" ht="16.05" customHeight="1" x14ac:dyDescent="0.3">
      <c r="A865" s="66">
        <v>849</v>
      </c>
      <c r="B865" s="67">
        <f ca="1">(C7)+(E7-C7)*IF(RAND()&lt;((D7)-(C7))/((E7)-(C7)),SQRT(RAND()*((D7)-(C7))/((E7)-(C7))),1-SQRT(RAND()*((E7)-(D7))/((E7)-(C7))))</f>
        <v>0.25957533692776419</v>
      </c>
      <c r="C865" s="67">
        <f ca="1">(C8)+(E8-C8)*IF(RAND()&lt;((D8)-(C8))/((E8)-(C8)),SQRT(RAND()*((D8)-(C8))/((E8)-(C8))),1-SQRT(RAND()*((E8)-(D8))/((E8)-(C8))))</f>
        <v>0.71259499319228303</v>
      </c>
      <c r="D865" s="68">
        <f ca="1">(C9)+(E9-C9)*IF(RAND()&lt;((D9)-(C9))/((E9)-(C9)),SQRT(RAND()*((D9)-(C9))/((E9)-(C9))),1-SQRT(RAND()*((E9)-(D9))/((E9)-(C9))))</f>
        <v>1332500.9125367522</v>
      </c>
      <c r="E865" s="68">
        <f ca="1">(C10)+(E10-C10)*IF(RAND()&lt;((D10)-(C10))/((E10)-(C10)),SQRT(RAND()*((D10)-(C10))/((E10)-(C10))),1-SQRT(RAND()*((E10)-(D10))/((E10)-(C10))))</f>
        <v>3103727.3193712989</v>
      </c>
      <c r="F865" s="67">
        <f ca="1">(C11)+(E11-C11)*IF(RAND()&lt;((D11)-(C11))/((E11)-(C11)),SQRT(RAND()*((D11)-(C11))/((E11)-(C11))),1-SQRT(RAND()*((E11)-(D11))/((E11)-(C11))))</f>
        <v>9.2123976443154055E-3</v>
      </c>
      <c r="G865" s="67">
        <f ca="1">(C12)+(E12-C12)*IF(RAND()&lt;((D12)-(C12))/((E12)-(C12)),SQRT(RAND()*((D12)-(C12))/((E12)-(C12))),1-SQRT(RAND()*((E12)-(D12))/((E12)-(C12))))</f>
        <v>0.17654725856267095</v>
      </c>
      <c r="H865" s="68">
        <f t="shared" ca="1" si="26"/>
        <v>254635319.99459028</v>
      </c>
      <c r="I865" s="69">
        <f t="shared" ca="1" si="27"/>
        <v>253.37193274889498</v>
      </c>
    </row>
    <row r="866" spans="1:9" ht="16.05" customHeight="1" x14ac:dyDescent="0.3">
      <c r="A866" s="70">
        <v>850</v>
      </c>
      <c r="B866" s="71">
        <f ca="1">(C7)+(E7-C7)*IF(RAND()&lt;((D7)-(C7))/((E7)-(C7)),SQRT(RAND()*((D7)-(C7))/((E7)-(C7))),1-SQRT(RAND()*((E7)-(D7))/((E7)-(C7))))</f>
        <v>0.2167341267122625</v>
      </c>
      <c r="C866" s="71">
        <f ca="1">(C8)+(E8-C8)*IF(RAND()&lt;((D8)-(C8))/((E8)-(C8)),SQRT(RAND()*((D8)-(C8))/((E8)-(C8))),1-SQRT(RAND()*((E8)-(D8))/((E8)-(C8))))</f>
        <v>0.60114548536534906</v>
      </c>
      <c r="D866" s="72">
        <f ca="1">(C9)+(E9-C9)*IF(RAND()&lt;((D9)-(C9))/((E9)-(C9)),SQRT(RAND()*((D9)-(C9))/((E9)-(C9))),1-SQRT(RAND()*((E9)-(D9))/((E9)-(C9))))</f>
        <v>1285705.1524284142</v>
      </c>
      <c r="E866" s="72">
        <f ca="1">(C10)+(E10-C10)*IF(RAND()&lt;((D10)-(C10))/((E10)-(C10)),SQRT(RAND()*((D10)-(C10))/((E10)-(C10))),1-SQRT(RAND()*((E10)-(D10))/((E10)-(C10))))</f>
        <v>4326257.9001417924</v>
      </c>
      <c r="F866" s="71">
        <f ca="1">(C11)+(E11-C11)*IF(RAND()&lt;((D11)-(C11))/((E11)-(C11)),SQRT(RAND()*((D11)-(C11))/((E11)-(C11))),1-SQRT(RAND()*((E11)-(D11))/((E11)-(C11))))</f>
        <v>2.0835701700272307E-2</v>
      </c>
      <c r="G866" s="71">
        <f ca="1">(C12)+(E12-C12)*IF(RAND()&lt;((D12)-(C12))/((E12)-(C12)),SQRT(RAND()*((D12)-(C12))/((E12)-(C12))),1-SQRT(RAND()*((E12)-(D12))/((E12)-(C12))))</f>
        <v>0.14222850476314175</v>
      </c>
      <c r="H866" s="72">
        <f t="shared" ca="1" si="26"/>
        <v>274447735.56873572</v>
      </c>
      <c r="I866" s="73">
        <f t="shared" ca="1" si="27"/>
        <v>282.87118121804457</v>
      </c>
    </row>
    <row r="867" spans="1:9" ht="16.05" customHeight="1" x14ac:dyDescent="0.3">
      <c r="A867" s="66">
        <v>851</v>
      </c>
      <c r="B867" s="67">
        <f ca="1">(C7)+(E7-C7)*IF(RAND()&lt;((D7)-(C7))/((E7)-(C7)),SQRT(RAND()*((D7)-(C7))/((E7)-(C7))),1-SQRT(RAND()*((E7)-(D7))/((E7)-(C7))))</f>
        <v>0.29133769246396146</v>
      </c>
      <c r="C867" s="67">
        <f ca="1">(C8)+(E8-C8)*IF(RAND()&lt;((D8)-(C8))/((E8)-(C8)),SQRT(RAND()*((D8)-(C8))/((E8)-(C8))),1-SQRT(RAND()*((E8)-(D8))/((E8)-(C8))))</f>
        <v>0.58600073833568944</v>
      </c>
      <c r="D867" s="68">
        <f ca="1">(C9)+(E9-C9)*IF(RAND()&lt;((D9)-(C9))/((E9)-(C9)),SQRT(RAND()*((D9)-(C9))/((E9)-(C9))),1-SQRT(RAND()*((E9)-(D9))/((E9)-(C9))))</f>
        <v>1267659.2373388936</v>
      </c>
      <c r="E867" s="68">
        <f ca="1">(C10)+(E10-C10)*IF(RAND()&lt;((D10)-(C10))/((E10)-(C10)),SQRT(RAND()*((D10)-(C10))/((E10)-(C10))),1-SQRT(RAND()*((E10)-(D10))/((E10)-(C10))))</f>
        <v>2792636.3851854401</v>
      </c>
      <c r="F867" s="67">
        <f ca="1">(C11)+(E11-C11)*IF(RAND()&lt;((D11)-(C11))/((E11)-(C11)),SQRT(RAND()*((D11)-(C11))/((E11)-(C11))),1-SQRT(RAND()*((E11)-(D11))/((E11)-(C11))))</f>
        <v>6.2916824152793012E-3</v>
      </c>
      <c r="G867" s="67">
        <f ca="1">(C12)+(E12-C12)*IF(RAND()&lt;((D12)-(C12))/((E12)-(C12)),SQRT(RAND()*((D12)-(C12))/((E12)-(C12))),1-SQRT(RAND()*((E12)-(D12))/((E12)-(C12))))</f>
        <v>0.17034183376290257</v>
      </c>
      <c r="H867" s="68">
        <f t="shared" ca="1" si="26"/>
        <v>219297542.0956184</v>
      </c>
      <c r="I867" s="69">
        <f t="shared" ca="1" si="27"/>
        <v>229.49599840712148</v>
      </c>
    </row>
    <row r="868" spans="1:9" ht="16.05" customHeight="1" x14ac:dyDescent="0.3">
      <c r="A868" s="70">
        <v>852</v>
      </c>
      <c r="B868" s="71">
        <f ca="1">(C7)+(E7-C7)*IF(RAND()&lt;((D7)-(C7))/((E7)-(C7)),SQRT(RAND()*((D7)-(C7))/((E7)-(C7))),1-SQRT(RAND()*((E7)-(D7))/((E7)-(C7))))</f>
        <v>0.27511465581003847</v>
      </c>
      <c r="C868" s="71">
        <f ca="1">(C8)+(E8-C8)*IF(RAND()&lt;((D8)-(C8))/((E8)-(C8)),SQRT(RAND()*((D8)-(C8))/((E8)-(C8))),1-SQRT(RAND()*((E8)-(D8))/((E8)-(C8))))</f>
        <v>0.72625994241548375</v>
      </c>
      <c r="D868" s="72">
        <f ca="1">(C9)+(E9-C9)*IF(RAND()&lt;((D9)-(C9))/((E9)-(C9)),SQRT(RAND()*((D9)-(C9))/((E9)-(C9))),1-SQRT(RAND()*((E9)-(D9))/((E9)-(C9))))</f>
        <v>1055768.3458376157</v>
      </c>
      <c r="E868" s="72">
        <f ca="1">(C10)+(E10-C10)*IF(RAND()&lt;((D10)-(C10))/((E10)-(C10)),SQRT(RAND()*((D10)-(C10))/((E10)-(C10))),1-SQRT(RAND()*((E10)-(D10))/((E10)-(C10))))</f>
        <v>3869410.56024097</v>
      </c>
      <c r="F868" s="71">
        <f ca="1">(C11)+(E11-C11)*IF(RAND()&lt;((D11)-(C11))/((E11)-(C11)),SQRT(RAND()*((D11)-(C11))/((E11)-(C11))),1-SQRT(RAND()*((E11)-(D11))/((E11)-(C11))))</f>
        <v>1.6906543157355375E-2</v>
      </c>
      <c r="G868" s="71">
        <f ca="1">(C12)+(E12-C12)*IF(RAND()&lt;((D12)-(C12))/((E12)-(C12)),SQRT(RAND()*((D12)-(C12))/((E12)-(C12))),1-SQRT(RAND()*((E12)-(D12))/((E12)-(C12))))</f>
        <v>0.1886304577049496</v>
      </c>
      <c r="H868" s="72">
        <f t="shared" ca="1" si="26"/>
        <v>323680509.55960715</v>
      </c>
      <c r="I868" s="73">
        <f t="shared" ca="1" si="27"/>
        <v>405.69795624131359</v>
      </c>
    </row>
    <row r="869" spans="1:9" ht="16.05" customHeight="1" x14ac:dyDescent="0.3">
      <c r="A869" s="66">
        <v>853</v>
      </c>
      <c r="B869" s="67">
        <f ca="1">(C7)+(E7-C7)*IF(RAND()&lt;((D7)-(C7))/((E7)-(C7)),SQRT(RAND()*((D7)-(C7))/((E7)-(C7))),1-SQRT(RAND()*((E7)-(D7))/((E7)-(C7))))</f>
        <v>0.24042593241218774</v>
      </c>
      <c r="C869" s="67">
        <f ca="1">(C8)+(E8-C8)*IF(RAND()&lt;((D8)-(C8))/((E8)-(C8)),SQRT(RAND()*((D8)-(C8))/((E8)-(C8))),1-SQRT(RAND()*((E8)-(D8))/((E8)-(C8))))</f>
        <v>0.85081890167495122</v>
      </c>
      <c r="D869" s="68">
        <f ca="1">(C9)+(E9-C9)*IF(RAND()&lt;((D9)-(C9))/((E9)-(C9)),SQRT(RAND()*((D9)-(C9))/((E9)-(C9))),1-SQRT(RAND()*((E9)-(D9))/((E9)-(C9))))</f>
        <v>1238150.0566273206</v>
      </c>
      <c r="E869" s="68">
        <f ca="1">(C10)+(E10-C10)*IF(RAND()&lt;((D10)-(C10))/((E10)-(C10)),SQRT(RAND()*((D10)-(C10))/((E10)-(C10))),1-SQRT(RAND()*((E10)-(D10))/((E10)-(C10))))</f>
        <v>3325637.0869571371</v>
      </c>
      <c r="F869" s="67">
        <f ca="1">(C11)+(E11-C11)*IF(RAND()&lt;((D11)-(C11))/((E11)-(C11)),SQRT(RAND()*((D11)-(C11))/((E11)-(C11))),1-SQRT(RAND()*((E11)-(D11))/((E11)-(C11))))</f>
        <v>8.0089159138102464E-3</v>
      </c>
      <c r="G869" s="67">
        <f ca="1">(C12)+(E12-C12)*IF(RAND()&lt;((D12)-(C12))/((E12)-(C12)),SQRT(RAND()*((D12)-(C12))/((E12)-(C12))),1-SQRT(RAND()*((E12)-(D12))/((E12)-(C12))))</f>
        <v>0.18925435582465683</v>
      </c>
      <c r="H869" s="68">
        <f t="shared" ca="1" si="26"/>
        <v>266511757.42596209</v>
      </c>
      <c r="I869" s="69">
        <f t="shared" ca="1" si="27"/>
        <v>285.23098108694404</v>
      </c>
    </row>
    <row r="870" spans="1:9" ht="16.05" customHeight="1" x14ac:dyDescent="0.3">
      <c r="A870" s="70">
        <v>854</v>
      </c>
      <c r="B870" s="71">
        <f ca="1">(C7)+(E7-C7)*IF(RAND()&lt;((D7)-(C7))/((E7)-(C7)),SQRT(RAND()*((D7)-(C7))/((E7)-(C7))),1-SQRT(RAND()*((E7)-(D7))/((E7)-(C7))))</f>
        <v>0.30176523629557939</v>
      </c>
      <c r="C870" s="71">
        <f ca="1">(C8)+(E8-C8)*IF(RAND()&lt;((D8)-(C8))/((E8)-(C8)),SQRT(RAND()*((D8)-(C8))/((E8)-(C8))),1-SQRT(RAND()*((E8)-(D8))/((E8)-(C8))))</f>
        <v>0.70063110813793106</v>
      </c>
      <c r="D870" s="72">
        <f ca="1">(C9)+(E9-C9)*IF(RAND()&lt;((D9)-(C9))/((E9)-(C9)),SQRT(RAND()*((D9)-(C9))/((E9)-(C9))),1-SQRT(RAND()*((E9)-(D9))/((E9)-(C9))))</f>
        <v>1200195.4345752802</v>
      </c>
      <c r="E870" s="72">
        <f ca="1">(C10)+(E10-C10)*IF(RAND()&lt;((D10)-(C10))/((E10)-(C10)),SQRT(RAND()*((D10)-(C10))/((E10)-(C10))),1-SQRT(RAND()*((E10)-(D10))/((E10)-(C10))))</f>
        <v>3792371.1733443178</v>
      </c>
      <c r="F870" s="71">
        <f ca="1">(C11)+(E11-C11)*IF(RAND()&lt;((D11)-(C11))/((E11)-(C11)),SQRT(RAND()*((D11)-(C11))/((E11)-(C11))),1-SQRT(RAND()*((E11)-(D11))/((E11)-(C11))))</f>
        <v>1.2344312757749448E-2</v>
      </c>
      <c r="G870" s="71">
        <f ca="1">(C12)+(E12-C12)*IF(RAND()&lt;((D12)-(C12))/((E12)-(C12)),SQRT(RAND()*((D12)-(C12))/((E12)-(C12))),1-SQRT(RAND()*((E12)-(D12))/((E12)-(C12))))</f>
        <v>0.17486177932370059</v>
      </c>
      <c r="H870" s="72">
        <f t="shared" ca="1" si="26"/>
        <v>303543027.25071251</v>
      </c>
      <c r="I870" s="73">
        <f t="shared" ca="1" si="27"/>
        <v>334.90584998808635</v>
      </c>
    </row>
    <row r="871" spans="1:9" ht="16.05" customHeight="1" x14ac:dyDescent="0.3">
      <c r="A871" s="66">
        <v>855</v>
      </c>
      <c r="B871" s="67">
        <f ca="1">(C7)+(E7-C7)*IF(RAND()&lt;((D7)-(C7))/((E7)-(C7)),SQRT(RAND()*((D7)-(C7))/((E7)-(C7))),1-SQRT(RAND()*((E7)-(D7))/((E7)-(C7))))</f>
        <v>0.28348763995982829</v>
      </c>
      <c r="C871" s="67">
        <f ca="1">(C8)+(E8-C8)*IF(RAND()&lt;((D8)-(C8))/((E8)-(C8)),SQRT(RAND()*((D8)-(C8))/((E8)-(C8))),1-SQRT(RAND()*((E8)-(D8))/((E8)-(C8))))</f>
        <v>0.78510605674091671</v>
      </c>
      <c r="D871" s="68">
        <f ca="1">(C9)+(E9-C9)*IF(RAND()&lt;((D9)-(C9))/((E9)-(C9)),SQRT(RAND()*((D9)-(C9))/((E9)-(C9))),1-SQRT(RAND()*((E9)-(D9))/((E9)-(C9))))</f>
        <v>1242422.1859271608</v>
      </c>
      <c r="E871" s="68">
        <f ca="1">(C10)+(E10-C10)*IF(RAND()&lt;((D10)-(C10))/((E10)-(C10)),SQRT(RAND()*((D10)-(C10))/((E10)-(C10))),1-SQRT(RAND()*((E10)-(D10))/((E10)-(C10))))</f>
        <v>2346783.096871322</v>
      </c>
      <c r="F871" s="67">
        <f ca="1">(C11)+(E11-C11)*IF(RAND()&lt;((D11)-(C11))/((E11)-(C11)),SQRT(RAND()*((D11)-(C11))/((E11)-(C11))),1-SQRT(RAND()*((E11)-(D11))/((E11)-(C11))))</f>
        <v>9.6277985097556976E-3</v>
      </c>
      <c r="G871" s="67">
        <f ca="1">(C12)+(E12-C12)*IF(RAND()&lt;((D12)-(C12))/((E12)-(C12)),SQRT(RAND()*((D12)-(C12))/((E12)-(C12))),1-SQRT(RAND()*((E12)-(D12))/((E12)-(C12))))</f>
        <v>0.17649757278711165</v>
      </c>
      <c r="H871" s="68">
        <f t="shared" ca="1" si="26"/>
        <v>301495578.75074357</v>
      </c>
      <c r="I871" s="69">
        <f t="shared" ca="1" si="27"/>
        <v>321.39446193297846</v>
      </c>
    </row>
    <row r="872" spans="1:9" ht="16.05" customHeight="1" x14ac:dyDescent="0.3">
      <c r="A872" s="70">
        <v>856</v>
      </c>
      <c r="B872" s="71">
        <f ca="1">(C7)+(E7-C7)*IF(RAND()&lt;((D7)-(C7))/((E7)-(C7)),SQRT(RAND()*((D7)-(C7))/((E7)-(C7))),1-SQRT(RAND()*((E7)-(D7))/((E7)-(C7))))</f>
        <v>0.27405666415008262</v>
      </c>
      <c r="C872" s="71">
        <f ca="1">(C8)+(E8-C8)*IF(RAND()&lt;((D8)-(C8))/((E8)-(C8)),SQRT(RAND()*((D8)-(C8))/((E8)-(C8))),1-SQRT(RAND()*((E8)-(D8))/((E8)-(C8))))</f>
        <v>0.75564100707673565</v>
      </c>
      <c r="D872" s="72">
        <f ca="1">(C9)+(E9-C9)*IF(RAND()&lt;((D9)-(C9))/((E9)-(C9)),SQRT(RAND()*((D9)-(C9))/((E9)-(C9))),1-SQRT(RAND()*((E9)-(D9))/((E9)-(C9))))</f>
        <v>1242858.2650051503</v>
      </c>
      <c r="E872" s="72">
        <f ca="1">(C10)+(E10-C10)*IF(RAND()&lt;((D10)-(C10))/((E10)-(C10)),SQRT(RAND()*((D10)-(C10))/((E10)-(C10))),1-SQRT(RAND()*((E10)-(D10))/((E10)-(C10))))</f>
        <v>3447685.2862344324</v>
      </c>
      <c r="F872" s="71">
        <f ca="1">(C11)+(E11-C11)*IF(RAND()&lt;((D11)-(C11))/((E11)-(C11)),SQRT(RAND()*((D11)-(C11))/((E11)-(C11))),1-SQRT(RAND()*((E11)-(D11))/((E11)-(C11))))</f>
        <v>8.0341442490725334E-3</v>
      </c>
      <c r="G872" s="71">
        <f ca="1">(C12)+(E12-C12)*IF(RAND()&lt;((D12)-(C12))/((E12)-(C12)),SQRT(RAND()*((D12)-(C12))/((E12)-(C12))),1-SQRT(RAND()*((E12)-(D12))/((E12)-(C12))))</f>
        <v>0.13657169650991346</v>
      </c>
      <c r="H872" s="72">
        <f t="shared" ca="1" si="26"/>
        <v>268978492.44521505</v>
      </c>
      <c r="I872" s="73">
        <f t="shared" ca="1" si="27"/>
        <v>286.77329338922669</v>
      </c>
    </row>
    <row r="873" spans="1:9" ht="16.05" customHeight="1" x14ac:dyDescent="0.3">
      <c r="A873" s="66">
        <v>857</v>
      </c>
      <c r="B873" s="67">
        <f ca="1">(C7)+(E7-C7)*IF(RAND()&lt;((D7)-(C7))/((E7)-(C7)),SQRT(RAND()*((D7)-(C7))/((E7)-(C7))),1-SQRT(RAND()*((E7)-(D7))/((E7)-(C7))))</f>
        <v>0.18039356654325062</v>
      </c>
      <c r="C873" s="67">
        <f ca="1">(C8)+(E8-C8)*IF(RAND()&lt;((D8)-(C8))/((E8)-(C8)),SQRT(RAND()*((D8)-(C8))/((E8)-(C8))),1-SQRT(RAND()*((E8)-(D8))/((E8)-(C8))))</f>
        <v>0.6162144306556846</v>
      </c>
      <c r="D873" s="68">
        <f ca="1">(C9)+(E9-C9)*IF(RAND()&lt;((D9)-(C9))/((E9)-(C9)),SQRT(RAND()*((D9)-(C9))/((E9)-(C9))),1-SQRT(RAND()*((E9)-(D9))/((E9)-(C9))))</f>
        <v>1369497.4565475585</v>
      </c>
      <c r="E873" s="68">
        <f ca="1">(C10)+(E10-C10)*IF(RAND()&lt;((D10)-(C10))/((E10)-(C10)),SQRT(RAND()*((D10)-(C10))/((E10)-(C10))),1-SQRT(RAND()*((E10)-(D10))/((E10)-(C10))))</f>
        <v>3145460.1128846202</v>
      </c>
      <c r="F873" s="67">
        <f ca="1">(C11)+(E11-C11)*IF(RAND()&lt;((D11)-(C11))/((E11)-(C11)),SQRT(RAND()*((D11)-(C11))/((E11)-(C11))),1-SQRT(RAND()*((E11)-(D11))/((E11)-(C11))))</f>
        <v>1.6258999782873321E-2</v>
      </c>
      <c r="G873" s="67">
        <f ca="1">(C12)+(E12-C12)*IF(RAND()&lt;((D12)-(C12))/((E12)-(C12)),SQRT(RAND()*((D12)-(C12))/((E12)-(C12))),1-SQRT(RAND()*((E12)-(D12))/((E12)-(C12))))</f>
        <v>0.1309005055989173</v>
      </c>
      <c r="H873" s="68">
        <f t="shared" ca="1" si="26"/>
        <v>224997018.32102382</v>
      </c>
      <c r="I873" s="69">
        <f t="shared" ca="1" si="27"/>
        <v>218.01762505257184</v>
      </c>
    </row>
    <row r="874" spans="1:9" ht="16.05" customHeight="1" x14ac:dyDescent="0.3">
      <c r="A874" s="70">
        <v>858</v>
      </c>
      <c r="B874" s="71">
        <f ca="1">(C7)+(E7-C7)*IF(RAND()&lt;((D7)-(C7))/((E7)-(C7)),SQRT(RAND()*((D7)-(C7))/((E7)-(C7))),1-SQRT(RAND()*((E7)-(D7))/((E7)-(C7))))</f>
        <v>0.18403196074892109</v>
      </c>
      <c r="C874" s="71">
        <f ca="1">(C8)+(E8-C8)*IF(RAND()&lt;((D8)-(C8))/((E8)-(C8)),SQRT(RAND()*((D8)-(C8))/((E8)-(C8))),1-SQRT(RAND()*((E8)-(D8))/((E8)-(C8))))</f>
        <v>0.75498414216210774</v>
      </c>
      <c r="D874" s="72">
        <f ca="1">(C9)+(E9-C9)*IF(RAND()&lt;((D9)-(C9))/((E9)-(C9)),SQRT(RAND()*((D9)-(C9))/((E9)-(C9))),1-SQRT(RAND()*((E9)-(D9))/((E9)-(C9))))</f>
        <v>1196731.1059989079</v>
      </c>
      <c r="E874" s="72">
        <f ca="1">(C10)+(E10-C10)*IF(RAND()&lt;((D10)-(C10))/((E10)-(C10)),SQRT(RAND()*((D10)-(C10))/((E10)-(C10))),1-SQRT(RAND()*((E10)-(D10))/((E10)-(C10))))</f>
        <v>2879358.3346341401</v>
      </c>
      <c r="F874" s="71">
        <f ca="1">(C11)+(E11-C11)*IF(RAND()&lt;((D11)-(C11))/((E11)-(C11)),SQRT(RAND()*((D11)-(C11))/((E11)-(C11))),1-SQRT(RAND()*((E11)-(D11))/((E11)-(C11))))</f>
        <v>1.3110971662090359E-2</v>
      </c>
      <c r="G874" s="71">
        <f ca="1">(C12)+(E12-C12)*IF(RAND()&lt;((D12)-(C12))/((E12)-(C12)),SQRT(RAND()*((D12)-(C12))/((E12)-(C12))),1-SQRT(RAND()*((E12)-(D12))/((E12)-(C12))))</f>
        <v>0.13872974778007824</v>
      </c>
      <c r="H874" s="72">
        <f t="shared" ca="1" si="26"/>
        <v>233680642.90089092</v>
      </c>
      <c r="I874" s="73">
        <f t="shared" ca="1" si="27"/>
        <v>258.87210271427193</v>
      </c>
    </row>
    <row r="875" spans="1:9" ht="16.05" customHeight="1" x14ac:dyDescent="0.3">
      <c r="A875" s="66">
        <v>859</v>
      </c>
      <c r="B875" s="67">
        <f ca="1">(C7)+(E7-C7)*IF(RAND()&lt;((D7)-(C7))/((E7)-(C7)),SQRT(RAND()*((D7)-(C7))/((E7)-(C7))),1-SQRT(RAND()*((E7)-(D7))/((E7)-(C7))))</f>
        <v>0.27086370784763281</v>
      </c>
      <c r="C875" s="67">
        <f ca="1">(C8)+(E8-C8)*IF(RAND()&lt;((D8)-(C8))/((E8)-(C8)),SQRT(RAND()*((D8)-(C8))/((E8)-(C8))),1-SQRT(RAND()*((E8)-(D8))/((E8)-(C8))))</f>
        <v>0.57877372052538167</v>
      </c>
      <c r="D875" s="68">
        <f ca="1">(C9)+(E9-C9)*IF(RAND()&lt;((D9)-(C9))/((E9)-(C9)),SQRT(RAND()*((D9)-(C9))/((E9)-(C9))),1-SQRT(RAND()*((E9)-(D9))/((E9)-(C9))))</f>
        <v>1162421.5473677921</v>
      </c>
      <c r="E875" s="68">
        <f ca="1">(C10)+(E10-C10)*IF(RAND()&lt;((D10)-(C10))/((E10)-(C10)),SQRT(RAND()*((D10)-(C10))/((E10)-(C10))),1-SQRT(RAND()*((E10)-(D10))/((E10)-(C10))))</f>
        <v>2887255.39508085</v>
      </c>
      <c r="F875" s="67">
        <f ca="1">(C11)+(E11-C11)*IF(RAND()&lt;((D11)-(C11))/((E11)-(C11)),SQRT(RAND()*((D11)-(C11))/((E11)-(C11))),1-SQRT(RAND()*((E11)-(D11))/((E11)-(C11))))</f>
        <v>8.1948785007979613E-3</v>
      </c>
      <c r="G875" s="67">
        <f ca="1">(C12)+(E12-C12)*IF(RAND()&lt;((D12)-(C12))/((E12)-(C12)),SQRT(RAND()*((D12)-(C12))/((E12)-(C12))),1-SQRT(RAND()*((E12)-(D12))/((E12)-(C12))))</f>
        <v>0.15417597412734108</v>
      </c>
      <c r="H875" s="68">
        <f t="shared" ca="1" si="26"/>
        <v>217597960.59563249</v>
      </c>
      <c r="I875" s="69">
        <f t="shared" ca="1" si="27"/>
        <v>248.22508597545891</v>
      </c>
    </row>
    <row r="876" spans="1:9" ht="16.05" customHeight="1" x14ac:dyDescent="0.3">
      <c r="A876" s="70">
        <v>860</v>
      </c>
      <c r="B876" s="71">
        <f ca="1">(C7)+(E7-C7)*IF(RAND()&lt;((D7)-(C7))/((E7)-(C7)),SQRT(RAND()*((D7)-(C7))/((E7)-(C7))),1-SQRT(RAND()*((E7)-(D7))/((E7)-(C7))))</f>
        <v>0.22718831909581971</v>
      </c>
      <c r="C876" s="71">
        <f ca="1">(C8)+(E8-C8)*IF(RAND()&lt;((D8)-(C8))/((E8)-(C8)),SQRT(RAND()*((D8)-(C8))/((E8)-(C8))),1-SQRT(RAND()*((E8)-(D8))/((E8)-(C8))))</f>
        <v>0.64625094899305124</v>
      </c>
      <c r="D876" s="72">
        <f ca="1">(C9)+(E9-C9)*IF(RAND()&lt;((D9)-(C9))/((E9)-(C9)),SQRT(RAND()*((D9)-(C9))/((E9)-(C9))),1-SQRT(RAND()*((E9)-(D9))/((E9)-(C9))))</f>
        <v>1275377.4397871564</v>
      </c>
      <c r="E876" s="72">
        <f ca="1">(C10)+(E10-C10)*IF(RAND()&lt;((D10)-(C10))/((E10)-(C10)),SQRT(RAND()*((D10)-(C10))/((E10)-(C10))),1-SQRT(RAND()*((E10)-(D10))/((E10)-(C10))))</f>
        <v>3561629.8881970886</v>
      </c>
      <c r="F876" s="71">
        <f ca="1">(C11)+(E11-C11)*IF(RAND()&lt;((D11)-(C11))/((E11)-(C11)),SQRT(RAND()*((D11)-(C11))/((E11)-(C11))),1-SQRT(RAND()*((E11)-(D11))/((E11)-(C11))))</f>
        <v>8.1385785956590677E-3</v>
      </c>
      <c r="G876" s="71">
        <f ca="1">(C12)+(E12-C12)*IF(RAND()&lt;((D12)-(C12))/((E12)-(C12)),SQRT(RAND()*((D12)-(C12))/((E12)-(C12))),1-SQRT(RAND()*((E12)-(D12))/((E12)-(C12))))</f>
        <v>0.16940856786439301</v>
      </c>
      <c r="H876" s="72">
        <f t="shared" ca="1" si="26"/>
        <v>203699116.52115837</v>
      </c>
      <c r="I876" s="73">
        <f t="shared" ca="1" si="27"/>
        <v>211.98334487984593</v>
      </c>
    </row>
    <row r="877" spans="1:9" ht="16.05" customHeight="1" x14ac:dyDescent="0.3">
      <c r="A877" s="66">
        <v>861</v>
      </c>
      <c r="B877" s="67">
        <f ca="1">(C7)+(E7-C7)*IF(RAND()&lt;((D7)-(C7))/((E7)-(C7)),SQRT(RAND()*((D7)-(C7))/((E7)-(C7))),1-SQRT(RAND()*((E7)-(D7))/((E7)-(C7))))</f>
        <v>0.25197305227605876</v>
      </c>
      <c r="C877" s="67">
        <f ca="1">(C8)+(E8-C8)*IF(RAND()&lt;((D8)-(C8))/((E8)-(C8)),SQRT(RAND()*((D8)-(C8))/((E8)-(C8))),1-SQRT(RAND()*((E8)-(D8))/((E8)-(C8))))</f>
        <v>0.62596293236276201</v>
      </c>
      <c r="D877" s="68">
        <f ca="1">(C9)+(E9-C9)*IF(RAND()&lt;((D9)-(C9))/((E9)-(C9)),SQRT(RAND()*((D9)-(C9))/((E9)-(C9))),1-SQRT(RAND()*((E9)-(D9))/((E9)-(C9))))</f>
        <v>1281673.8750993127</v>
      </c>
      <c r="E877" s="68">
        <f ca="1">(C10)+(E10-C10)*IF(RAND()&lt;((D10)-(C10))/((E10)-(C10)),SQRT(RAND()*((D10)-(C10))/((E10)-(C10))),1-SQRT(RAND()*((E10)-(D10))/((E10)-(C10))))</f>
        <v>3999447.3660389017</v>
      </c>
      <c r="F877" s="67">
        <f ca="1">(C11)+(E11-C11)*IF(RAND()&lt;((D11)-(C11))/((E11)-(C11)),SQRT(RAND()*((D11)-(C11))/((E11)-(C11))),1-SQRT(RAND()*((E11)-(D11))/((E11)-(C11))))</f>
        <v>1.6086935899624177E-2</v>
      </c>
      <c r="G877" s="67">
        <f ca="1">(C12)+(E12-C12)*IF(RAND()&lt;((D12)-(C12))/((E12)-(C12)),SQRT(RAND()*((D12)-(C12))/((E12)-(C12))),1-SQRT(RAND()*((E12)-(D12))/((E12)-(C12))))</f>
        <v>0.10953160521651631</v>
      </c>
      <c r="H877" s="68">
        <f t="shared" ca="1" si="26"/>
        <v>271265964.92397577</v>
      </c>
      <c r="I877" s="69">
        <f t="shared" ca="1" si="27"/>
        <v>280.48235166758423</v>
      </c>
    </row>
    <row r="878" spans="1:9" ht="16.05" customHeight="1" x14ac:dyDescent="0.3">
      <c r="A878" s="70">
        <v>862</v>
      </c>
      <c r="B878" s="71">
        <f ca="1">(C7)+(E7-C7)*IF(RAND()&lt;((D7)-(C7))/((E7)-(C7)),SQRT(RAND()*((D7)-(C7))/((E7)-(C7))),1-SQRT(RAND()*((E7)-(D7))/((E7)-(C7))))</f>
        <v>0.28554763416199064</v>
      </c>
      <c r="C878" s="71">
        <f ca="1">(C8)+(E8-C8)*IF(RAND()&lt;((D8)-(C8))/((E8)-(C8)),SQRT(RAND()*((D8)-(C8))/((E8)-(C8))),1-SQRT(RAND()*((E8)-(D8))/((E8)-(C8))))</f>
        <v>0.60334194275778097</v>
      </c>
      <c r="D878" s="72">
        <f ca="1">(C9)+(E9-C9)*IF(RAND()&lt;((D9)-(C9))/((E9)-(C9)),SQRT(RAND()*((D9)-(C9))/((E9)-(C9))),1-SQRT(RAND()*((E9)-(D9))/((E9)-(C9))))</f>
        <v>1319747.5922069622</v>
      </c>
      <c r="E878" s="72">
        <f ca="1">(C10)+(E10-C10)*IF(RAND()&lt;((D10)-(C10))/((E10)-(C10)),SQRT(RAND()*((D10)-(C10))/((E10)-(C10))),1-SQRT(RAND()*((E10)-(D10))/((E10)-(C10))))</f>
        <v>3168234.4947200473</v>
      </c>
      <c r="F878" s="71">
        <f ca="1">(C11)+(E11-C11)*IF(RAND()&lt;((D11)-(C11))/((E11)-(C11)),SQRT(RAND()*((D11)-(C11))/((E11)-(C11))),1-SQRT(RAND()*((E11)-(D11))/((E11)-(C11))))</f>
        <v>2.6751495985703318E-2</v>
      </c>
      <c r="G878" s="71">
        <f ca="1">(C12)+(E12-C12)*IF(RAND()&lt;((D12)-(C12))/((E12)-(C12)),SQRT(RAND()*((D12)-(C12))/((E12)-(C12))),1-SQRT(RAND()*((E12)-(D12))/((E12)-(C12))))</f>
        <v>0.16856808722648545</v>
      </c>
      <c r="H878" s="72">
        <f t="shared" ca="1" si="26"/>
        <v>367189442.2463609</v>
      </c>
      <c r="I878" s="73">
        <f t="shared" ca="1" si="27"/>
        <v>368.29692474211402</v>
      </c>
    </row>
    <row r="879" spans="1:9" ht="16.05" customHeight="1" x14ac:dyDescent="0.3">
      <c r="A879" s="66">
        <v>863</v>
      </c>
      <c r="B879" s="67">
        <f ca="1">(C7)+(E7-C7)*IF(RAND()&lt;((D7)-(C7))/((E7)-(C7)),SQRT(RAND()*((D7)-(C7))/((E7)-(C7))),1-SQRT(RAND()*((E7)-(D7))/((E7)-(C7))))</f>
        <v>0.29265243122676321</v>
      </c>
      <c r="C879" s="67">
        <f ca="1">(C8)+(E8-C8)*IF(RAND()&lt;((D8)-(C8))/((E8)-(C8)),SQRT(RAND()*((D8)-(C8))/((E8)-(C8))),1-SQRT(RAND()*((E8)-(D8))/((E8)-(C8))))</f>
        <v>0.5697950114575836</v>
      </c>
      <c r="D879" s="68">
        <f ca="1">(C9)+(E9-C9)*IF(RAND()&lt;((D9)-(C9))/((E9)-(C9)),SQRT(RAND()*((D9)-(C9))/((E9)-(C9))),1-SQRT(RAND()*((E9)-(D9))/((E9)-(C9))))</f>
        <v>1212322.0250119583</v>
      </c>
      <c r="E879" s="68">
        <f ca="1">(C10)+(E10-C10)*IF(RAND()&lt;((D10)-(C10))/((E10)-(C10)),SQRT(RAND()*((D10)-(C10))/((E10)-(C10))),1-SQRT(RAND()*((E10)-(D10))/((E10)-(C10))))</f>
        <v>3136215.0029545631</v>
      </c>
      <c r="F879" s="67">
        <f ca="1">(C11)+(E11-C11)*IF(RAND()&lt;((D11)-(C11))/((E11)-(C11)),SQRT(RAND()*((D11)-(C11))/((E11)-(C11))),1-SQRT(RAND()*((E11)-(D11))/((E11)-(C11))))</f>
        <v>9.7320851795187745E-3</v>
      </c>
      <c r="G879" s="67">
        <f ca="1">(C12)+(E12-C12)*IF(RAND()&lt;((D12)-(C12))/((E12)-(C12)),SQRT(RAND()*((D12)-(C12))/((E12)-(C12))),1-SQRT(RAND()*((E12)-(D12))/((E12)-(C12))))</f>
        <v>0.18182926383242351</v>
      </c>
      <c r="H879" s="68">
        <f t="shared" ca="1" si="26"/>
        <v>238560510.41153207</v>
      </c>
      <c r="I879" s="69">
        <f t="shared" ca="1" si="27"/>
        <v>260.86909193601826</v>
      </c>
    </row>
    <row r="880" spans="1:9" ht="16.05" customHeight="1" x14ac:dyDescent="0.3">
      <c r="A880" s="70">
        <v>864</v>
      </c>
      <c r="B880" s="71">
        <f ca="1">(C7)+(E7-C7)*IF(RAND()&lt;((D7)-(C7))/((E7)-(C7)),SQRT(RAND()*((D7)-(C7))/((E7)-(C7))),1-SQRT(RAND()*((E7)-(D7))/((E7)-(C7))))</f>
        <v>0.22051410031958552</v>
      </c>
      <c r="C880" s="71">
        <f ca="1">(C8)+(E8-C8)*IF(RAND()&lt;((D8)-(C8))/((E8)-(C8)),SQRT(RAND()*((D8)-(C8))/((E8)-(C8))),1-SQRT(RAND()*((E8)-(D8))/((E8)-(C8))))</f>
        <v>0.67365277113701472</v>
      </c>
      <c r="D880" s="72">
        <f ca="1">(C9)+(E9-C9)*IF(RAND()&lt;((D9)-(C9))/((E9)-(C9)),SQRT(RAND()*((D9)-(C9))/((E9)-(C9))),1-SQRT(RAND()*((E9)-(D9))/((E9)-(C9))))</f>
        <v>1049832.0569160087</v>
      </c>
      <c r="E880" s="72">
        <f ca="1">(C10)+(E10-C10)*IF(RAND()&lt;((D10)-(C10))/((E10)-(C10)),SQRT(RAND()*((D10)-(C10))/((E10)-(C10))),1-SQRT(RAND()*((E10)-(D10))/((E10)-(C10))))</f>
        <v>4068678.4252577173</v>
      </c>
      <c r="F880" s="71">
        <f ca="1">(C11)+(E11-C11)*IF(RAND()&lt;((D11)-(C11))/((E11)-(C11)),SQRT(RAND()*((D11)-(C11))/((E11)-(C11))),1-SQRT(RAND()*((E11)-(D11))/((E11)-(C11))))</f>
        <v>1.4226981360035982E-2</v>
      </c>
      <c r="G880" s="71">
        <f ca="1">(C12)+(E12-C12)*IF(RAND()&lt;((D12)-(C12))/((E12)-(C12)),SQRT(RAND()*((D12)-(C12))/((E12)-(C12))),1-SQRT(RAND()*((E12)-(D12))/((E12)-(C12))))</f>
        <v>0.15031700911929627</v>
      </c>
      <c r="H880" s="72">
        <f t="shared" ca="1" si="26"/>
        <v>247827925.08148712</v>
      </c>
      <c r="I880" s="73">
        <f t="shared" ca="1" si="27"/>
        <v>312.68489529563738</v>
      </c>
    </row>
    <row r="881" spans="1:9" ht="16.05" customHeight="1" x14ac:dyDescent="0.3">
      <c r="A881" s="66">
        <v>865</v>
      </c>
      <c r="B881" s="67">
        <f ca="1">(C7)+(E7-C7)*IF(RAND()&lt;((D7)-(C7))/((E7)-(C7)),SQRT(RAND()*((D7)-(C7))/((E7)-(C7))),1-SQRT(RAND()*((E7)-(D7))/((E7)-(C7))))</f>
        <v>0.24857729646218671</v>
      </c>
      <c r="C881" s="67">
        <f ca="1">(C8)+(E8-C8)*IF(RAND()&lt;((D8)-(C8))/((E8)-(C8)),SQRT(RAND()*((D8)-(C8))/((E8)-(C8))),1-SQRT(RAND()*((E8)-(D8))/((E8)-(C8))))</f>
        <v>0.73993477914710382</v>
      </c>
      <c r="D881" s="68">
        <f ca="1">(C9)+(E9-C9)*IF(RAND()&lt;((D9)-(C9))/((E9)-(C9)),SQRT(RAND()*((D9)-(C9))/((E9)-(C9))),1-SQRT(RAND()*((E9)-(D9))/((E9)-(C9))))</f>
        <v>1182135.5182364041</v>
      </c>
      <c r="E881" s="68">
        <f ca="1">(C10)+(E10-C10)*IF(RAND()&lt;((D10)-(C10))/((E10)-(C10)),SQRT(RAND()*((D10)-(C10))/((E10)-(C10))),1-SQRT(RAND()*((E10)-(D10))/((E10)-(C10))))</f>
        <v>3938637.900414404</v>
      </c>
      <c r="F881" s="67">
        <f ca="1">(C11)+(E11-C11)*IF(RAND()&lt;((D11)-(C11))/((E11)-(C11)),SQRT(RAND()*((D11)-(C11))/((E11)-(C11))),1-SQRT(RAND()*((E11)-(D11))/((E11)-(C11))))</f>
        <v>2.246372891489201E-3</v>
      </c>
      <c r="G881" s="67">
        <f ca="1">(C12)+(E12-C12)*IF(RAND()&lt;((D12)-(C12))/((E12)-(C12)),SQRT(RAND()*((D12)-(C12))/((E12)-(C12))),1-SQRT(RAND()*((E12)-(D12))/((E12)-(C12))))</f>
        <v>0.14833975769213148</v>
      </c>
      <c r="H881" s="68">
        <f t="shared" ca="1" si="26"/>
        <v>200209663.9109394</v>
      </c>
      <c r="I881" s="69">
        <f t="shared" ca="1" si="27"/>
        <v>224.70625627337293</v>
      </c>
    </row>
    <row r="882" spans="1:9" ht="16.05" customHeight="1" x14ac:dyDescent="0.3">
      <c r="A882" s="70">
        <v>866</v>
      </c>
      <c r="B882" s="71">
        <f ca="1">(C7)+(E7-C7)*IF(RAND()&lt;((D7)-(C7))/((E7)-(C7)),SQRT(RAND()*((D7)-(C7))/((E7)-(C7))),1-SQRT(RAND()*((E7)-(D7))/((E7)-(C7))))</f>
        <v>0.25010309180471268</v>
      </c>
      <c r="C882" s="71">
        <f ca="1">(C8)+(E8-C8)*IF(RAND()&lt;((D8)-(C8))/((E8)-(C8)),SQRT(RAND()*((D8)-(C8))/((E8)-(C8))),1-SQRT(RAND()*((E8)-(D8))/((E8)-(C8))))</f>
        <v>0.74364018573812851</v>
      </c>
      <c r="D882" s="72">
        <f ca="1">(C9)+(E9-C9)*IF(RAND()&lt;((D9)-(C9))/((E9)-(C9)),SQRT(RAND()*((D9)-(C9))/((E9)-(C9))),1-SQRT(RAND()*((E9)-(D9))/((E9)-(C9))))</f>
        <v>1232187.4485377197</v>
      </c>
      <c r="E882" s="72">
        <f ca="1">(C10)+(E10-C10)*IF(RAND()&lt;((D10)-(C10))/((E10)-(C10)),SQRT(RAND()*((D10)-(C10))/((E10)-(C10))),1-SQRT(RAND()*((E10)-(D10))/((E10)-(C10))))</f>
        <v>2983578.4811810297</v>
      </c>
      <c r="F882" s="71">
        <f ca="1">(C11)+(E11-C11)*IF(RAND()&lt;((D11)-(C11))/((E11)-(C11)),SQRT(RAND()*((D11)-(C11))/((E11)-(C11))),1-SQRT(RAND()*((E11)-(D11))/((E11)-(C11))))</f>
        <v>2.0641566130473153E-2</v>
      </c>
      <c r="G882" s="71">
        <f ca="1">(C12)+(E12-C12)*IF(RAND()&lt;((D12)-(C12))/((E12)-(C12)),SQRT(RAND()*((D12)-(C12))/((E12)-(C12))),1-SQRT(RAND()*((E12)-(D12))/((E12)-(C12))))</f>
        <v>0.18471080369994522</v>
      </c>
      <c r="H882" s="72">
        <f t="shared" ca="1" si="26"/>
        <v>338786787.82237482</v>
      </c>
      <c r="I882" s="73">
        <f t="shared" ca="1" si="27"/>
        <v>363.9712009943093</v>
      </c>
    </row>
    <row r="883" spans="1:9" ht="16.05" customHeight="1" x14ac:dyDescent="0.3">
      <c r="A883" s="66">
        <v>867</v>
      </c>
      <c r="B883" s="67">
        <f ca="1">(C7)+(E7-C7)*IF(RAND()&lt;((D7)-(C7))/((E7)-(C7)),SQRT(RAND()*((D7)-(C7))/((E7)-(C7))),1-SQRT(RAND()*((E7)-(D7))/((E7)-(C7))))</f>
        <v>0.2087945298288906</v>
      </c>
      <c r="C883" s="67">
        <f ca="1">(C8)+(E8-C8)*IF(RAND()&lt;((D8)-(C8))/((E8)-(C8)),SQRT(RAND()*((D8)-(C8))/((E8)-(C8))),1-SQRT(RAND()*((E8)-(D8))/((E8)-(C8))))</f>
        <v>0.71140682632833285</v>
      </c>
      <c r="D883" s="68">
        <f ca="1">(C9)+(E9-C9)*IF(RAND()&lt;((D9)-(C9))/((E9)-(C9)),SQRT(RAND()*((D9)-(C9))/((E9)-(C9))),1-SQRT(RAND()*((E9)-(D9))/((E9)-(C9))))</f>
        <v>1184158.6256804266</v>
      </c>
      <c r="E883" s="68">
        <f ca="1">(C10)+(E10-C10)*IF(RAND()&lt;((D10)-(C10))/((E10)-(C10)),SQRT(RAND()*((D10)-(C10))/((E10)-(C10))),1-SQRT(RAND()*((E10)-(D10))/((E10)-(C10))))</f>
        <v>4006595.091355077</v>
      </c>
      <c r="F883" s="67">
        <f ca="1">(C11)+(E11-C11)*IF(RAND()&lt;((D11)-(C11))/((E11)-(C11)),SQRT(RAND()*((D11)-(C11))/((E11)-(C11))),1-SQRT(RAND()*((E11)-(D11))/((E11)-(C11))))</f>
        <v>2.3102844457417251E-2</v>
      </c>
      <c r="G883" s="67">
        <f ca="1">(C12)+(E12-C12)*IF(RAND()&lt;((D12)-(C12))/((E12)-(C12)),SQRT(RAND()*((D12)-(C12))/((E12)-(C12))),1-SQRT(RAND()*((E12)-(D12))/((E12)-(C12))))</f>
        <v>0.14532165441530237</v>
      </c>
      <c r="H883" s="68">
        <f t="shared" ca="1" si="26"/>
        <v>311978744.04156703</v>
      </c>
      <c r="I883" s="69">
        <f t="shared" ca="1" si="27"/>
        <v>348.81975695832404</v>
      </c>
    </row>
    <row r="884" spans="1:9" ht="16.05" customHeight="1" x14ac:dyDescent="0.3">
      <c r="A884" s="70">
        <v>868</v>
      </c>
      <c r="B884" s="71">
        <f ca="1">(C7)+(E7-C7)*IF(RAND()&lt;((D7)-(C7))/((E7)-(C7)),SQRT(RAND()*((D7)-(C7))/((E7)-(C7))),1-SQRT(RAND()*((E7)-(D7))/((E7)-(C7))))</f>
        <v>0.21781812180139654</v>
      </c>
      <c r="C884" s="71">
        <f ca="1">(C8)+(E8-C8)*IF(RAND()&lt;((D8)-(C8))/((E8)-(C8)),SQRT(RAND()*((D8)-(C8))/((E8)-(C8))),1-SQRT(RAND()*((E8)-(D8))/((E8)-(C8))))</f>
        <v>0.58168234993913792</v>
      </c>
      <c r="D884" s="72">
        <f ca="1">(C9)+(E9-C9)*IF(RAND()&lt;((D9)-(C9))/((E9)-(C9)),SQRT(RAND()*((D9)-(C9))/((E9)-(C9))),1-SQRT(RAND()*((E9)-(D9))/((E9)-(C9))))</f>
        <v>1302247.3164560352</v>
      </c>
      <c r="E884" s="72">
        <f ca="1">(C10)+(E10-C10)*IF(RAND()&lt;((D10)-(C10))/((E10)-(C10)),SQRT(RAND()*((D10)-(C10))/((E10)-(C10))),1-SQRT(RAND()*((E10)-(D10))/((E10)-(C10))))</f>
        <v>3715305.678923374</v>
      </c>
      <c r="F884" s="71">
        <f ca="1">(C11)+(E11-C11)*IF(RAND()&lt;((D11)-(C11))/((E11)-(C11)),SQRT(RAND()*((D11)-(C11))/((E11)-(C11))),1-SQRT(RAND()*((E11)-(D11))/((E11)-(C11))))</f>
        <v>1.0125355580919006E-2</v>
      </c>
      <c r="G884" s="71">
        <f ca="1">(C12)+(E12-C12)*IF(RAND()&lt;((D12)-(C12))/((E12)-(C12)),SQRT(RAND()*((D12)-(C12))/((E12)-(C12))),1-SQRT(RAND()*((E12)-(D12))/((E12)-(C12))))</f>
        <v>0.15474892595212883</v>
      </c>
      <c r="H884" s="72">
        <f t="shared" ca="1" si="26"/>
        <v>195540216.20898232</v>
      </c>
      <c r="I884" s="73">
        <f t="shared" ca="1" si="27"/>
        <v>199.37282778495648</v>
      </c>
    </row>
    <row r="885" spans="1:9" ht="16.05" customHeight="1" x14ac:dyDescent="0.3">
      <c r="A885" s="66">
        <v>869</v>
      </c>
      <c r="B885" s="67">
        <f ca="1">(C7)+(E7-C7)*IF(RAND()&lt;((D7)-(C7))/((E7)-(C7)),SQRT(RAND()*((D7)-(C7))/((E7)-(C7))),1-SQRT(RAND()*((E7)-(D7))/((E7)-(C7))))</f>
        <v>0.2793052272686084</v>
      </c>
      <c r="C885" s="67">
        <f ca="1">(C8)+(E8-C8)*IF(RAND()&lt;((D8)-(C8))/((E8)-(C8)),SQRT(RAND()*((D8)-(C8))/((E8)-(C8))),1-SQRT(RAND()*((E8)-(D8))/((E8)-(C8))))</f>
        <v>0.70009990379626363</v>
      </c>
      <c r="D885" s="68">
        <f ca="1">(C9)+(E9-C9)*IF(RAND()&lt;((D9)-(C9))/((E9)-(C9)),SQRT(RAND()*((D9)-(C9))/((E9)-(C9))),1-SQRT(RAND()*((E9)-(D9))/((E9)-(C9))))</f>
        <v>1250426.4714694491</v>
      </c>
      <c r="E885" s="68">
        <f ca="1">(C10)+(E10-C10)*IF(RAND()&lt;((D10)-(C10))/((E10)-(C10)),SQRT(RAND()*((D10)-(C10))/((E10)-(C10))),1-SQRT(RAND()*((E10)-(D10))/((E10)-(C10))))</f>
        <v>5254257.6895183893</v>
      </c>
      <c r="F885" s="67">
        <f ca="1">(C11)+(E11-C11)*IF(RAND()&lt;((D11)-(C11))/((E11)-(C11)),SQRT(RAND()*((D11)-(C11))/((E11)-(C11))),1-SQRT(RAND()*((E11)-(D11))/((E11)-(C11))))</f>
        <v>5.5629387755296066E-3</v>
      </c>
      <c r="G885" s="67">
        <f ca="1">(C12)+(E12-C12)*IF(RAND()&lt;((D12)-(C12))/((E12)-(C12)),SQRT(RAND()*((D12)-(C12))/((E12)-(C12))),1-SQRT(RAND()*((E12)-(D12))/((E12)-(C12))))</f>
        <v>0.20130622877194759</v>
      </c>
      <c r="H885" s="68">
        <f t="shared" ca="1" si="26"/>
        <v>231723770.47867441</v>
      </c>
      <c r="I885" s="69">
        <f t="shared" ca="1" si="27"/>
        <v>245.74818131210813</v>
      </c>
    </row>
    <row r="886" spans="1:9" ht="16.05" customHeight="1" x14ac:dyDescent="0.3">
      <c r="A886" s="70">
        <v>870</v>
      </c>
      <c r="B886" s="71">
        <f ca="1">(C7)+(E7-C7)*IF(RAND()&lt;((D7)-(C7))/((E7)-(C7)),SQRT(RAND()*((D7)-(C7))/((E7)-(C7))),1-SQRT(RAND()*((E7)-(D7))/((E7)-(C7))))</f>
        <v>0.33471546424857684</v>
      </c>
      <c r="C886" s="71">
        <f ca="1">(C8)+(E8-C8)*IF(RAND()&lt;((D8)-(C8))/((E8)-(C8)),SQRT(RAND()*((D8)-(C8))/((E8)-(C8))),1-SQRT(RAND()*((E8)-(D8))/((E8)-(C8))))</f>
        <v>0.60606258259621515</v>
      </c>
      <c r="D886" s="72">
        <f ca="1">(C9)+(E9-C9)*IF(RAND()&lt;((D9)-(C9))/((E9)-(C9)),SQRT(RAND()*((D9)-(C9))/((E9)-(C9))),1-SQRT(RAND()*((E9)-(D9))/((E9)-(C9))))</f>
        <v>1276301.1537348719</v>
      </c>
      <c r="E886" s="72">
        <f ca="1">(C10)+(E10-C10)*IF(RAND()&lt;((D10)-(C10))/((E10)-(C10)),SQRT(RAND()*((D10)-(C10))/((E10)-(C10))),1-SQRT(RAND()*((E10)-(D10))/((E10)-(C10))))</f>
        <v>3479235.8339261832</v>
      </c>
      <c r="F886" s="71">
        <f ca="1">(C11)+(E11-C11)*IF(RAND()&lt;((D11)-(C11))/((E11)-(C11)),SQRT(RAND()*((D11)-(C11))/((E11)-(C11))),1-SQRT(RAND()*((E11)-(D11))/((E11)-(C11))))</f>
        <v>6.812825589049643E-3</v>
      </c>
      <c r="G886" s="71">
        <f ca="1">(C12)+(E12-C12)*IF(RAND()&lt;((D12)-(C12))/((E12)-(C12)),SQRT(RAND()*((D12)-(C12))/((E12)-(C12))),1-SQRT(RAND()*((E12)-(D12))/((E12)-(C12))))</f>
        <v>0.16567624061005687</v>
      </c>
      <c r="H886" s="72">
        <f t="shared" ca="1" si="26"/>
        <v>255408405.42410842</v>
      </c>
      <c r="I886" s="73">
        <f t="shared" ca="1" si="27"/>
        <v>265.26959861951013</v>
      </c>
    </row>
    <row r="887" spans="1:9" ht="16.05" customHeight="1" x14ac:dyDescent="0.3">
      <c r="A887" s="66">
        <v>871</v>
      </c>
      <c r="B887" s="67">
        <f ca="1">(C7)+(E7-C7)*IF(RAND()&lt;((D7)-(C7))/((E7)-(C7)),SQRT(RAND()*((D7)-(C7))/((E7)-(C7))),1-SQRT(RAND()*((E7)-(D7))/((E7)-(C7))))</f>
        <v>0.20932137634592493</v>
      </c>
      <c r="C887" s="67">
        <f ca="1">(C8)+(E8-C8)*IF(RAND()&lt;((D8)-(C8))/((E8)-(C8)),SQRT(RAND()*((D8)-(C8))/((E8)-(C8))),1-SQRT(RAND()*((E8)-(D8))/((E8)-(C8))))</f>
        <v>0.59410415601465316</v>
      </c>
      <c r="D887" s="68">
        <f ca="1">(C9)+(E9-C9)*IF(RAND()&lt;((D9)-(C9))/((E9)-(C9)),SQRT(RAND()*((D9)-(C9))/((E9)-(C9))),1-SQRT(RAND()*((E9)-(D9))/((E9)-(C9))))</f>
        <v>1198251.4514237086</v>
      </c>
      <c r="E887" s="68">
        <f ca="1">(C10)+(E10-C10)*IF(RAND()&lt;((D10)-(C10))/((E10)-(C10)),SQRT(RAND()*((D10)-(C10))/((E10)-(C10))),1-SQRT(RAND()*((E10)-(D10))/((E10)-(C10))))</f>
        <v>4676634.1195331719</v>
      </c>
      <c r="F887" s="67">
        <f ca="1">(C11)+(E11-C11)*IF(RAND()&lt;((D11)-(C11))/((E11)-(C11)),SQRT(RAND()*((D11)-(C11))/((E11)-(C11))),1-SQRT(RAND()*((E11)-(D11))/((E11)-(C11))))</f>
        <v>5.7030369322467371E-3</v>
      </c>
      <c r="G887" s="67">
        <f ca="1">(C12)+(E12-C12)*IF(RAND()&lt;((D12)-(C12))/((E12)-(C12)),SQRT(RAND()*((D12)-(C12))/((E12)-(C12))),1-SQRT(RAND()*((E12)-(D12))/((E12)-(C12))))</f>
        <v>0.13142757729036206</v>
      </c>
      <c r="H887" s="68">
        <f t="shared" ca="1" si="26"/>
        <v>157532964.88571665</v>
      </c>
      <c r="I887" s="69">
        <f t="shared" ca="1" si="27"/>
        <v>174.7249917514051</v>
      </c>
    </row>
    <row r="888" spans="1:9" ht="16.05" customHeight="1" x14ac:dyDescent="0.3">
      <c r="A888" s="70">
        <v>872</v>
      </c>
      <c r="B888" s="71">
        <f ca="1">(C7)+(E7-C7)*IF(RAND()&lt;((D7)-(C7))/((E7)-(C7)),SQRT(RAND()*((D7)-(C7))/((E7)-(C7))),1-SQRT(RAND()*((E7)-(D7))/((E7)-(C7))))</f>
        <v>0.33844586305464175</v>
      </c>
      <c r="C888" s="71">
        <f ca="1">(C8)+(E8-C8)*IF(RAND()&lt;((D8)-(C8))/((E8)-(C8)),SQRT(RAND()*((D8)-(C8))/((E8)-(C8))),1-SQRT(RAND()*((E8)-(D8))/((E8)-(C8))))</f>
        <v>0.59869293075138308</v>
      </c>
      <c r="D888" s="72">
        <f ca="1">(C9)+(E9-C9)*IF(RAND()&lt;((D9)-(C9))/((E9)-(C9)),SQRT(RAND()*((D9)-(C9))/((E9)-(C9))),1-SQRT(RAND()*((E9)-(D9))/((E9)-(C9))))</f>
        <v>1217209.4687781346</v>
      </c>
      <c r="E888" s="72">
        <f ca="1">(C10)+(E10-C10)*IF(RAND()&lt;((D10)-(C10))/((E10)-(C10)),SQRT(RAND()*((D10)-(C10))/((E10)-(C10))),1-SQRT(RAND()*((E10)-(D10))/((E10)-(C10))))</f>
        <v>3256265.5159364906</v>
      </c>
      <c r="F888" s="71">
        <f ca="1">(C11)+(E11-C11)*IF(RAND()&lt;((D11)-(C11))/((E11)-(C11)),SQRT(RAND()*((D11)-(C11))/((E11)-(C11))),1-SQRT(RAND()*((E11)-(D11))/((E11)-(C11))))</f>
        <v>1.0014560662185961E-2</v>
      </c>
      <c r="G888" s="71">
        <f ca="1">(C12)+(E12-C12)*IF(RAND()&lt;((D12)-(C12))/((E12)-(C12)),SQRT(RAND()*((D12)-(C12))/((E12)-(C12))),1-SQRT(RAND()*((E12)-(D12))/((E12)-(C12))))</f>
        <v>0.1357278289239354</v>
      </c>
      <c r="H888" s="72">
        <f t="shared" ca="1" si="26"/>
        <v>279167859.27563542</v>
      </c>
      <c r="I888" s="73">
        <f t="shared" ca="1" si="27"/>
        <v>303.82968866273097</v>
      </c>
    </row>
    <row r="889" spans="1:9" ht="16.05" customHeight="1" x14ac:dyDescent="0.3">
      <c r="A889" s="66">
        <v>873</v>
      </c>
      <c r="B889" s="67">
        <f ca="1">(C7)+(E7-C7)*IF(RAND()&lt;((D7)-(C7))/((E7)-(C7)),SQRT(RAND()*((D7)-(C7))/((E7)-(C7))),1-SQRT(RAND()*((E7)-(D7))/((E7)-(C7))))</f>
        <v>0.27441180467022386</v>
      </c>
      <c r="C889" s="67">
        <f ca="1">(C8)+(E8-C8)*IF(RAND()&lt;((D8)-(C8))/((E8)-(C8)),SQRT(RAND()*((D8)-(C8))/((E8)-(C8))),1-SQRT(RAND()*((E8)-(D8))/((E8)-(C8))))</f>
        <v>0.68941670530119725</v>
      </c>
      <c r="D889" s="68">
        <f ca="1">(C9)+(E9-C9)*IF(RAND()&lt;((D9)-(C9))/((E9)-(C9)),SQRT(RAND()*((D9)-(C9))/((E9)-(C9))),1-SQRT(RAND()*((E9)-(D9))/((E9)-(C9))))</f>
        <v>1280712.1616483105</v>
      </c>
      <c r="E889" s="68">
        <f ca="1">(C10)+(E10-C10)*IF(RAND()&lt;((D10)-(C10))/((E10)-(C10)),SQRT(RAND()*((D10)-(C10))/((E10)-(C10))),1-SQRT(RAND()*((E10)-(D10))/((E10)-(C10))))</f>
        <v>3456605.7026187833</v>
      </c>
      <c r="F889" s="67">
        <f ca="1">(C11)+(E11-C11)*IF(RAND()&lt;((D11)-(C11))/((E11)-(C11)),SQRT(RAND()*((D11)-(C11))/((E11)-(C11))),1-SQRT(RAND()*((E11)-(D11))/((E11)-(C11))))</f>
        <v>9.1996453540202291E-3</v>
      </c>
      <c r="G889" s="67">
        <f ca="1">(C12)+(E12-C12)*IF(RAND()&lt;((D12)-(C12))/((E12)-(C12)),SQRT(RAND()*((D12)-(C12))/((E12)-(C12))),1-SQRT(RAND()*((E12)-(D12))/((E12)-(C12))))</f>
        <v>0.14323540901164378</v>
      </c>
      <c r="H889" s="68">
        <f t="shared" ca="1" si="26"/>
        <v>257839846.75127923</v>
      </c>
      <c r="I889" s="69">
        <f t="shared" ca="1" si="27"/>
        <v>266.86461138692357</v>
      </c>
    </row>
    <row r="890" spans="1:9" ht="16.05" customHeight="1" x14ac:dyDescent="0.3">
      <c r="A890" s="70">
        <v>874</v>
      </c>
      <c r="B890" s="71">
        <f ca="1">(C7)+(E7-C7)*IF(RAND()&lt;((D7)-(C7))/((E7)-(C7)),SQRT(RAND()*((D7)-(C7))/((E7)-(C7))),1-SQRT(RAND()*((E7)-(D7))/((E7)-(C7))))</f>
        <v>0.22228315800680187</v>
      </c>
      <c r="C890" s="71">
        <f ca="1">(C8)+(E8-C8)*IF(RAND()&lt;((D8)-(C8))/((E8)-(C8)),SQRT(RAND()*((D8)-(C8))/((E8)-(C8))),1-SQRT(RAND()*((E8)-(D8))/((E8)-(C8))))</f>
        <v>0.75324226941602967</v>
      </c>
      <c r="D890" s="72">
        <f ca="1">(C9)+(E9-C9)*IF(RAND()&lt;((D9)-(C9))/((E9)-(C9)),SQRT(RAND()*((D9)-(C9))/((E9)-(C9))),1-SQRT(RAND()*((E9)-(D9))/((E9)-(C9))))</f>
        <v>1187533.388422502</v>
      </c>
      <c r="E890" s="72">
        <f ca="1">(C10)+(E10-C10)*IF(RAND()&lt;((D10)-(C10))/((E10)-(C10)),SQRT(RAND()*((D10)-(C10))/((E10)-(C10))),1-SQRT(RAND()*((E10)-(D10))/((E10)-(C10))))</f>
        <v>3196731.2805127148</v>
      </c>
      <c r="F890" s="71">
        <f ca="1">(C11)+(E11-C11)*IF(RAND()&lt;((D11)-(C11))/((E11)-(C11)),SQRT(RAND()*((D11)-(C11))/((E11)-(C11))),1-SQRT(RAND()*((E11)-(D11))/((E11)-(C11))))</f>
        <v>1.1109127656750579E-2</v>
      </c>
      <c r="G890" s="71">
        <f ca="1">(C12)+(E12-C12)*IF(RAND()&lt;((D12)-(C12))/((E12)-(C12)),SQRT(RAND()*((D12)-(C12))/((E12)-(C12))),1-SQRT(RAND()*((E12)-(D12))/((E12)-(C12))))</f>
        <v>0.12236884601585632</v>
      </c>
      <c r="H890" s="72">
        <f t="shared" ca="1" si="26"/>
        <v>249036004.68710408</v>
      </c>
      <c r="I890" s="73">
        <f t="shared" ca="1" si="27"/>
        <v>277.92203412299932</v>
      </c>
    </row>
    <row r="891" spans="1:9" ht="16.05" customHeight="1" x14ac:dyDescent="0.3">
      <c r="A891" s="66">
        <v>875</v>
      </c>
      <c r="B891" s="67">
        <f ca="1">(C7)+(E7-C7)*IF(RAND()&lt;((D7)-(C7))/((E7)-(C7)),SQRT(RAND()*((D7)-(C7))/((E7)-(C7))),1-SQRT(RAND()*((E7)-(D7))/((E7)-(C7))))</f>
        <v>0.28403795633080109</v>
      </c>
      <c r="C891" s="67">
        <f ca="1">(C8)+(E8-C8)*IF(RAND()&lt;((D8)-(C8))/((E8)-(C8)),SQRT(RAND()*((D8)-(C8))/((E8)-(C8))),1-SQRT(RAND()*((E8)-(D8))/((E8)-(C8))))</f>
        <v>0.75838069127808305</v>
      </c>
      <c r="D891" s="68">
        <f ca="1">(C9)+(E9-C9)*IF(RAND()&lt;((D9)-(C9))/((E9)-(C9)),SQRT(RAND()*((D9)-(C9))/((E9)-(C9))),1-SQRT(RAND()*((E9)-(D9))/((E9)-(C9))))</f>
        <v>1202083.395981163</v>
      </c>
      <c r="E891" s="68">
        <f ca="1">(C10)+(E10-C10)*IF(RAND()&lt;((D10)-(C10))/((E10)-(C10)),SQRT(RAND()*((D10)-(C10))/((E10)-(C10))),1-SQRT(RAND()*((E10)-(D10))/((E10)-(C10))))</f>
        <v>3405109.8495294726</v>
      </c>
      <c r="F891" s="67">
        <f ca="1">(C11)+(E11-C11)*IF(RAND()&lt;((D11)-(C11))/((E11)-(C11)),SQRT(RAND()*((D11)-(C11))/((E11)-(C11))),1-SQRT(RAND()*((E11)-(D11))/((E11)-(C11))))</f>
        <v>1.4389936196274803E-2</v>
      </c>
      <c r="G891" s="67">
        <f ca="1">(C12)+(E12-C12)*IF(RAND()&lt;((D12)-(C12))/((E12)-(C12)),SQRT(RAND()*((D12)-(C12))/((E12)-(C12))),1-SQRT(RAND()*((E12)-(D12))/((E12)-(C12))))</f>
        <v>0.14460404493100054</v>
      </c>
      <c r="H891" s="68">
        <f t="shared" ca="1" si="26"/>
        <v>324106874.02591044</v>
      </c>
      <c r="I891" s="69">
        <f t="shared" ca="1" si="27"/>
        <v>356.94563178711775</v>
      </c>
    </row>
    <row r="892" spans="1:9" ht="16.05" customHeight="1" x14ac:dyDescent="0.3">
      <c r="A892" s="70">
        <v>876</v>
      </c>
      <c r="B892" s="71">
        <f ca="1">(C7)+(E7-C7)*IF(RAND()&lt;((D7)-(C7))/((E7)-(C7)),SQRT(RAND()*((D7)-(C7))/((E7)-(C7))),1-SQRT(RAND()*((E7)-(D7))/((E7)-(C7))))</f>
        <v>0.3326970838812342</v>
      </c>
      <c r="C892" s="71">
        <f ca="1">(C8)+(E8-C8)*IF(RAND()&lt;((D8)-(C8))/((E8)-(C8)),SQRT(RAND()*((D8)-(C8))/((E8)-(C8))),1-SQRT(RAND()*((E8)-(D8))/((E8)-(C8))))</f>
        <v>0.60036860750403676</v>
      </c>
      <c r="D892" s="72">
        <f ca="1">(C9)+(E9-C9)*IF(RAND()&lt;((D9)-(C9))/((E9)-(C9)),SQRT(RAND()*((D9)-(C9))/((E9)-(C9))),1-SQRT(RAND()*((E9)-(D9))/((E9)-(C9))))</f>
        <v>1227373.9181498003</v>
      </c>
      <c r="E892" s="72">
        <f ca="1">(C10)+(E10-C10)*IF(RAND()&lt;((D10)-(C10))/((E10)-(C10)),SQRT(RAND()*((D10)-(C10))/((E10)-(C10))),1-SQRT(RAND()*((E10)-(D10))/((E10)-(C10))))</f>
        <v>3099076.2428151285</v>
      </c>
      <c r="F892" s="71">
        <f ca="1">(C11)+(E11-C11)*IF(RAND()&lt;((D11)-(C11))/((E11)-(C11)),SQRT(RAND()*((D11)-(C11))/((E11)-(C11))),1-SQRT(RAND()*((E11)-(D11))/((E11)-(C11))))</f>
        <v>9.8630894604760325E-3</v>
      </c>
      <c r="G892" s="71">
        <f ca="1">(C12)+(E12-C12)*IF(RAND()&lt;((D12)-(C12))/((E12)-(C12)),SQRT(RAND()*((D12)-(C12))/((E12)-(C12))),1-SQRT(RAND()*((E12)-(D12))/((E12)-(C12))))</f>
        <v>0.15697049398732923</v>
      </c>
      <c r="H892" s="72">
        <f t="shared" ca="1" si="26"/>
        <v>275522350.36465687</v>
      </c>
      <c r="I892" s="73">
        <f t="shared" ca="1" si="27"/>
        <v>297.40684153732525</v>
      </c>
    </row>
    <row r="893" spans="1:9" ht="16.05" customHeight="1" x14ac:dyDescent="0.3">
      <c r="A893" s="66">
        <v>877</v>
      </c>
      <c r="B893" s="67">
        <f ca="1">(C7)+(E7-C7)*IF(RAND()&lt;((D7)-(C7))/((E7)-(C7)),SQRT(RAND()*((D7)-(C7))/((E7)-(C7))),1-SQRT(RAND()*((E7)-(D7))/((E7)-(C7))))</f>
        <v>0.21953017807759578</v>
      </c>
      <c r="C893" s="67">
        <f ca="1">(C8)+(E8-C8)*IF(RAND()&lt;((D8)-(C8))/((E8)-(C8)),SQRT(RAND()*((D8)-(C8))/((E8)-(C8))),1-SQRT(RAND()*((E8)-(D8))/((E8)-(C8))))</f>
        <v>0.66718389617920448</v>
      </c>
      <c r="D893" s="68">
        <f ca="1">(C9)+(E9-C9)*IF(RAND()&lt;((D9)-(C9))/((E9)-(C9)),SQRT(RAND()*((D9)-(C9))/((E9)-(C9))),1-SQRT(RAND()*((E9)-(D9))/((E9)-(C9))))</f>
        <v>1207554.8965539243</v>
      </c>
      <c r="E893" s="68">
        <f ca="1">(C10)+(E10-C10)*IF(RAND()&lt;((D10)-(C10))/((E10)-(C10)),SQRT(RAND()*((D10)-(C10))/((E10)-(C10))),1-SQRT(RAND()*((E10)-(D10))/((E10)-(C10))))</f>
        <v>4218745.7599893874</v>
      </c>
      <c r="F893" s="67">
        <f ca="1">(C11)+(E11-C11)*IF(RAND()&lt;((D11)-(C11))/((E11)-(C11)),SQRT(RAND()*((D11)-(C11))/((E11)-(C11))),1-SQRT(RAND()*((E11)-(D11))/((E11)-(C11))))</f>
        <v>9.3020437086261468E-3</v>
      </c>
      <c r="G893" s="67">
        <f ca="1">(C12)+(E12-C12)*IF(RAND()&lt;((D12)-(C12))/((E12)-(C12)),SQRT(RAND()*((D12)-(C12))/((E12)-(C12))),1-SQRT(RAND()*((E12)-(D12))/((E12)-(C12))))</f>
        <v>0.16004590995192391</v>
      </c>
      <c r="H893" s="68">
        <f t="shared" ca="1" si="26"/>
        <v>209288671.8360061</v>
      </c>
      <c r="I893" s="69">
        <f t="shared" ca="1" si="27"/>
        <v>229.92070375977804</v>
      </c>
    </row>
    <row r="894" spans="1:9" ht="16.05" customHeight="1" x14ac:dyDescent="0.3">
      <c r="A894" s="70">
        <v>878</v>
      </c>
      <c r="B894" s="71">
        <f ca="1">(C7)+(E7-C7)*IF(RAND()&lt;((D7)-(C7))/((E7)-(C7)),SQRT(RAND()*((D7)-(C7))/((E7)-(C7))),1-SQRT(RAND()*((E7)-(D7))/((E7)-(C7))))</f>
        <v>0.22570349937256362</v>
      </c>
      <c r="C894" s="71">
        <f ca="1">(C8)+(E8-C8)*IF(RAND()&lt;((D8)-(C8))/((E8)-(C8)),SQRT(RAND()*((D8)-(C8))/((E8)-(C8))),1-SQRT(RAND()*((E8)-(D8))/((E8)-(C8))))</f>
        <v>0.61436598348287519</v>
      </c>
      <c r="D894" s="72">
        <f ca="1">(C9)+(E9-C9)*IF(RAND()&lt;((D9)-(C9))/((E9)-(C9)),SQRT(RAND()*((D9)-(C9))/((E9)-(C9))),1-SQRT(RAND()*((E9)-(D9))/((E9)-(C9))))</f>
        <v>1293876.2524575396</v>
      </c>
      <c r="E894" s="72">
        <f ca="1">(C10)+(E10-C10)*IF(RAND()&lt;((D10)-(C10))/((E10)-(C10)),SQRT(RAND()*((D10)-(C10))/((E10)-(C10))),1-SQRT(RAND()*((E10)-(D10))/((E10)-(C10))))</f>
        <v>3577718.1160494527</v>
      </c>
      <c r="F894" s="71">
        <f ca="1">(C11)+(E11-C11)*IF(RAND()&lt;((D11)-(C11))/((E11)-(C11)),SQRT(RAND()*((D11)-(C11))/((E11)-(C11))),1-SQRT(RAND()*((E11)-(D11))/((E11)-(C11))))</f>
        <v>7.895887852988559E-3</v>
      </c>
      <c r="G894" s="71">
        <f ca="1">(C12)+(E12-C12)*IF(RAND()&lt;((D12)-(C12))/((E12)-(C12)),SQRT(RAND()*((D12)-(C12))/((E12)-(C12))),1-SQRT(RAND()*((E12)-(D12))/((E12)-(C12))))</f>
        <v>0.1133189515858385</v>
      </c>
      <c r="H894" s="72">
        <f t="shared" ca="1" si="26"/>
        <v>192994479.84221902</v>
      </c>
      <c r="I894" s="73">
        <f t="shared" ca="1" si="27"/>
        <v>198.05904462726042</v>
      </c>
    </row>
    <row r="895" spans="1:9" ht="16.05" customHeight="1" x14ac:dyDescent="0.3">
      <c r="A895" s="66">
        <v>879</v>
      </c>
      <c r="B895" s="67">
        <f ca="1">(C7)+(E7-C7)*IF(RAND()&lt;((D7)-(C7))/((E7)-(C7)),SQRT(RAND()*((D7)-(C7))/((E7)-(C7))),1-SQRT(RAND()*((E7)-(D7))/((E7)-(C7))))</f>
        <v>0.26548453760920865</v>
      </c>
      <c r="C895" s="67">
        <f ca="1">(C8)+(E8-C8)*IF(RAND()&lt;((D8)-(C8))/((E8)-(C8)),SQRT(RAND()*((D8)-(C8))/((E8)-(C8))),1-SQRT(RAND()*((E8)-(D8))/((E8)-(C8))))</f>
        <v>0.6686444866640423</v>
      </c>
      <c r="D895" s="68">
        <f ca="1">(C9)+(E9-C9)*IF(RAND()&lt;((D9)-(C9))/((E9)-(C9)),SQRT(RAND()*((D9)-(C9))/((E9)-(C9))),1-SQRT(RAND()*((E9)-(D9))/((E9)-(C9))))</f>
        <v>1283775.9446576179</v>
      </c>
      <c r="E895" s="68">
        <f ca="1">(C10)+(E10-C10)*IF(RAND()&lt;((D10)-(C10))/((E10)-(C10)),SQRT(RAND()*((D10)-(C10))/((E10)-(C10))),1-SQRT(RAND()*((E10)-(D10))/((E10)-(C10))))</f>
        <v>4167384.7621194096</v>
      </c>
      <c r="F895" s="67">
        <f ca="1">(C11)+(E11-C11)*IF(RAND()&lt;((D11)-(C11))/((E11)-(C11)),SQRT(RAND()*((D11)-(C11))/((E11)-(C11))),1-SQRT(RAND()*((E11)-(D11))/((E11)-(C11))))</f>
        <v>1.1557368444875073E-2</v>
      </c>
      <c r="G895" s="67">
        <f ca="1">(C12)+(E12-C12)*IF(RAND()&lt;((D12)-(C12))/((E12)-(C12)),SQRT(RAND()*((D12)-(C12))/((E12)-(C12))),1-SQRT(RAND()*((E12)-(D12))/((E12)-(C12))))</f>
        <v>0.16235135665728861</v>
      </c>
      <c r="H895" s="68">
        <f t="shared" ca="1" si="26"/>
        <v>259463916.6375815</v>
      </c>
      <c r="I895" s="69">
        <f t="shared" ca="1" si="27"/>
        <v>267.89949099950672</v>
      </c>
    </row>
    <row r="896" spans="1:9" ht="16.05" customHeight="1" x14ac:dyDescent="0.3">
      <c r="A896" s="70">
        <v>880</v>
      </c>
      <c r="B896" s="71">
        <f ca="1">(C7)+(E7-C7)*IF(RAND()&lt;((D7)-(C7))/((E7)-(C7)),SQRT(RAND()*((D7)-(C7))/((E7)-(C7))),1-SQRT(RAND()*((E7)-(D7))/((E7)-(C7))))</f>
        <v>0.29619159284556629</v>
      </c>
      <c r="C896" s="71">
        <f ca="1">(C8)+(E8-C8)*IF(RAND()&lt;((D8)-(C8))/((E8)-(C8)),SQRT(RAND()*((D8)-(C8))/((E8)-(C8))),1-SQRT(RAND()*((E8)-(D8))/((E8)-(C8))))</f>
        <v>0.63576349551692191</v>
      </c>
      <c r="D896" s="72">
        <f ca="1">(C9)+(E9-C9)*IF(RAND()&lt;((D9)-(C9))/((E9)-(C9)),SQRT(RAND()*((D9)-(C9))/((E9)-(C9))),1-SQRT(RAND()*((E9)-(D9))/((E9)-(C9))))</f>
        <v>1130121.5434018704</v>
      </c>
      <c r="E896" s="72">
        <f ca="1">(C10)+(E10-C10)*IF(RAND()&lt;((D10)-(C10))/((E10)-(C10)),SQRT(RAND()*((D10)-(C10))/((E10)-(C10))),1-SQRT(RAND()*((E10)-(D10))/((E10)-(C10))))</f>
        <v>2200859.1604765169</v>
      </c>
      <c r="F896" s="71">
        <f ca="1">(C11)+(E11-C11)*IF(RAND()&lt;((D11)-(C11))/((E11)-(C11)),SQRT(RAND()*((D11)-(C11))/((E11)-(C11))),1-SQRT(RAND()*((E11)-(D11))/((E11)-(C11))))</f>
        <v>1.3240461319130016E-2</v>
      </c>
      <c r="G896" s="71">
        <f ca="1">(C12)+(E12-C12)*IF(RAND()&lt;((D12)-(C12))/((E12)-(C12)),SQRT(RAND()*((D12)-(C12))/((E12)-(C12))),1-SQRT(RAND()*((E12)-(D12))/((E12)-(C12))))</f>
        <v>0.18902290063391652</v>
      </c>
      <c r="H896" s="72">
        <f t="shared" ca="1" si="26"/>
        <v>290962578.70051819</v>
      </c>
      <c r="I896" s="73">
        <f t="shared" ca="1" si="27"/>
        <v>340.90721893034771</v>
      </c>
    </row>
    <row r="897" spans="1:9" ht="16.05" customHeight="1" x14ac:dyDescent="0.3">
      <c r="A897" s="66">
        <v>881</v>
      </c>
      <c r="B897" s="67">
        <f ca="1">(C7)+(E7-C7)*IF(RAND()&lt;((D7)-(C7))/((E7)-(C7)),SQRT(RAND()*((D7)-(C7))/((E7)-(C7))),1-SQRT(RAND()*((E7)-(D7))/((E7)-(C7))))</f>
        <v>0.20657873075131913</v>
      </c>
      <c r="C897" s="67">
        <f ca="1">(C8)+(E8-C8)*IF(RAND()&lt;((D8)-(C8))/((E8)-(C8)),SQRT(RAND()*((D8)-(C8))/((E8)-(C8))),1-SQRT(RAND()*((E8)-(D8))/((E8)-(C8))))</f>
        <v>0.67696933531957915</v>
      </c>
      <c r="D897" s="68">
        <f ca="1">(C9)+(E9-C9)*IF(RAND()&lt;((D9)-(C9))/((E9)-(C9)),SQRT(RAND()*((D9)-(C9))/((E9)-(C9))),1-SQRT(RAND()*((E9)-(D9))/((E9)-(C9))))</f>
        <v>1361942.5469591757</v>
      </c>
      <c r="E897" s="68">
        <f ca="1">(C10)+(E10-C10)*IF(RAND()&lt;((D10)-(C10))/((E10)-(C10)),SQRT(RAND()*((D10)-(C10))/((E10)-(C10))),1-SQRT(RAND()*((E10)-(D10))/((E10)-(C10))))</f>
        <v>2576425.9154142062</v>
      </c>
      <c r="F897" s="67">
        <f ca="1">(C11)+(E11-C11)*IF(RAND()&lt;((D11)-(C11))/((E11)-(C11)),SQRT(RAND()*((D11)-(C11))/((E11)-(C11))),1-SQRT(RAND()*((E11)-(D11))/((E11)-(C11))))</f>
        <v>1.7062277854168209E-2</v>
      </c>
      <c r="G897" s="67">
        <f ca="1">(C12)+(E12-C12)*IF(RAND()&lt;((D12)-(C12))/((E12)-(C12)),SQRT(RAND()*((D12)-(C12))/((E12)-(C12))),1-SQRT(RAND()*((E12)-(D12))/((E12)-(C12))))</f>
        <v>0.15844724690799866</v>
      </c>
      <c r="H897" s="68">
        <f t="shared" ca="1" si="26"/>
        <v>264168924.78215656</v>
      </c>
      <c r="I897" s="69">
        <f t="shared" ca="1" si="27"/>
        <v>257.15612611948188</v>
      </c>
    </row>
    <row r="898" spans="1:9" ht="16.05" customHeight="1" x14ac:dyDescent="0.3">
      <c r="A898" s="70">
        <v>882</v>
      </c>
      <c r="B898" s="71">
        <f ca="1">(C7)+(E7-C7)*IF(RAND()&lt;((D7)-(C7))/((E7)-(C7)),SQRT(RAND()*((D7)-(C7))/((E7)-(C7))),1-SQRT(RAND()*((E7)-(D7))/((E7)-(C7))))</f>
        <v>0.32819917066665227</v>
      </c>
      <c r="C898" s="71">
        <f ca="1">(C8)+(E8-C8)*IF(RAND()&lt;((D8)-(C8))/((E8)-(C8)),SQRT(RAND()*((D8)-(C8))/((E8)-(C8))),1-SQRT(RAND()*((E8)-(D8))/((E8)-(C8))))</f>
        <v>0.60583554682962293</v>
      </c>
      <c r="D898" s="72">
        <f ca="1">(C9)+(E9-C9)*IF(RAND()&lt;((D9)-(C9))/((E9)-(C9)),SQRT(RAND()*((D9)-(C9))/((E9)-(C9))),1-SQRT(RAND()*((E9)-(D9))/((E9)-(C9))))</f>
        <v>1381432.5573085374</v>
      </c>
      <c r="E898" s="72">
        <f ca="1">(C10)+(E10-C10)*IF(RAND()&lt;((D10)-(C10))/((E10)-(C10)),SQRT(RAND()*((D10)-(C10))/((E10)-(C10))),1-SQRT(RAND()*((E10)-(D10))/((E10)-(C10))))</f>
        <v>3490762.526593796</v>
      </c>
      <c r="F898" s="71">
        <f ca="1">(C11)+(E11-C11)*IF(RAND()&lt;((D11)-(C11))/((E11)-(C11)),SQRT(RAND()*((D11)-(C11))/((E11)-(C11))),1-SQRT(RAND()*((E11)-(D11))/((E11)-(C11))))</f>
        <v>1.2375331544747101E-2</v>
      </c>
      <c r="G898" s="71">
        <f ca="1">(C12)+(E12-C12)*IF(RAND()&lt;((D12)-(C12))/((E12)-(C12)),SQRT(RAND()*((D12)-(C12))/((E12)-(C12))),1-SQRT(RAND()*((E12)-(D12))/((E12)-(C12))))</f>
        <v>0.17277505145854274</v>
      </c>
      <c r="H898" s="72">
        <f t="shared" ca="1" si="26"/>
        <v>291030133.68957829</v>
      </c>
      <c r="I898" s="73">
        <f t="shared" ca="1" si="27"/>
        <v>279.19363172336966</v>
      </c>
    </row>
    <row r="899" spans="1:9" ht="16.05" customHeight="1" x14ac:dyDescent="0.3">
      <c r="A899" s="66">
        <v>883</v>
      </c>
      <c r="B899" s="67">
        <f ca="1">(C7)+(E7-C7)*IF(RAND()&lt;((D7)-(C7))/((E7)-(C7)),SQRT(RAND()*((D7)-(C7))/((E7)-(C7))),1-SQRT(RAND()*((E7)-(D7))/((E7)-(C7))))</f>
        <v>0.21645831768455218</v>
      </c>
      <c r="C899" s="67">
        <f ca="1">(C8)+(E8-C8)*IF(RAND()&lt;((D8)-(C8))/((E8)-(C8)),SQRT(RAND()*((D8)-(C8))/((E8)-(C8))),1-SQRT(RAND()*((E8)-(D8))/((E8)-(C8))))</f>
        <v>0.62908789966223511</v>
      </c>
      <c r="D899" s="68">
        <f ca="1">(C9)+(E9-C9)*IF(RAND()&lt;((D9)-(C9))/((E9)-(C9)),SQRT(RAND()*((D9)-(C9))/((E9)-(C9))),1-SQRT(RAND()*((E9)-(D9))/((E9)-(C9))))</f>
        <v>1309186.1071862045</v>
      </c>
      <c r="E899" s="68">
        <f ca="1">(C10)+(E10-C10)*IF(RAND()&lt;((D10)-(C10))/((E10)-(C10)),SQRT(RAND()*((D10)-(C10))/((E10)-(C10))),1-SQRT(RAND()*((E10)-(D10))/((E10)-(C10))))</f>
        <v>4374659.0742143523</v>
      </c>
      <c r="F899" s="67">
        <f ca="1">(C11)+(E11-C11)*IF(RAND()&lt;((D11)-(C11))/((E11)-(C11)),SQRT(RAND()*((D11)-(C11))/((E11)-(C11))),1-SQRT(RAND()*((E11)-(D11))/((E11)-(C11))))</f>
        <v>1.2868430712022653E-2</v>
      </c>
      <c r="G899" s="67">
        <f ca="1">(C12)+(E12-C12)*IF(RAND()&lt;((D12)-(C12))/((E12)-(C12)),SQRT(RAND()*((D12)-(C12))/((E12)-(C12))),1-SQRT(RAND()*((E12)-(D12))/((E12)-(C12))))</f>
        <v>0.13130925997795401</v>
      </c>
      <c r="H899" s="68">
        <f t="shared" ca="1" si="26"/>
        <v>223135711.33612239</v>
      </c>
      <c r="I899" s="69">
        <f t="shared" ca="1" si="27"/>
        <v>226.12521702523176</v>
      </c>
    </row>
    <row r="900" spans="1:9" ht="16.05" customHeight="1" x14ac:dyDescent="0.3">
      <c r="A900" s="70">
        <v>884</v>
      </c>
      <c r="B900" s="71">
        <f ca="1">(C7)+(E7-C7)*IF(RAND()&lt;((D7)-(C7))/((E7)-(C7)),SQRT(RAND()*((D7)-(C7))/((E7)-(C7))),1-SQRT(RAND()*((E7)-(D7))/((E7)-(C7))))</f>
        <v>0.30159367570584239</v>
      </c>
      <c r="C900" s="71">
        <f ca="1">(C8)+(E8-C8)*IF(RAND()&lt;((D8)-(C8))/((E8)-(C8)),SQRT(RAND()*((D8)-(C8))/((E8)-(C8))),1-SQRT(RAND()*((E8)-(D8))/((E8)-(C8))))</f>
        <v>0.78609365106102924</v>
      </c>
      <c r="D900" s="72">
        <f ca="1">(C9)+(E9-C9)*IF(RAND()&lt;((D9)-(C9))/((E9)-(C9)),SQRT(RAND()*((D9)-(C9))/((E9)-(C9))),1-SQRT(RAND()*((E9)-(D9))/((E9)-(C9))))</f>
        <v>1193671.7850031136</v>
      </c>
      <c r="E900" s="72">
        <f ca="1">(C10)+(E10-C10)*IF(RAND()&lt;((D10)-(C10))/((E10)-(C10)),SQRT(RAND()*((D10)-(C10))/((E10)-(C10))),1-SQRT(RAND()*((E10)-(D10))/((E10)-(C10))))</f>
        <v>3033597.8288210775</v>
      </c>
      <c r="F900" s="71">
        <f ca="1">(C11)+(E11-C11)*IF(RAND()&lt;((D11)-(C11))/((E11)-(C11)),SQRT(RAND()*((D11)-(C11))/((E11)-(C11))),1-SQRT(RAND()*((E11)-(D11))/((E11)-(C11))))</f>
        <v>2.7615528434235082E-2</v>
      </c>
      <c r="G900" s="71">
        <f ca="1">(C12)+(E12-C12)*IF(RAND()&lt;((D12)-(C12))/((E12)-(C12)),SQRT(RAND()*((D12)-(C12))/((E12)-(C12))),1-SQRT(RAND()*((E12)-(D12))/((E12)-(C12))))</f>
        <v>0.14720177011442187</v>
      </c>
      <c r="H900" s="72">
        <f t="shared" ca="1" si="26"/>
        <v>444559557.92634976</v>
      </c>
      <c r="I900" s="73">
        <f t="shared" ca="1" si="27"/>
        <v>492.54988067624271</v>
      </c>
    </row>
    <row r="901" spans="1:9" ht="16.05" customHeight="1" x14ac:dyDescent="0.3">
      <c r="A901" s="66">
        <v>885</v>
      </c>
      <c r="B901" s="67">
        <f ca="1">(C7)+(E7-C7)*IF(RAND()&lt;((D7)-(C7))/((E7)-(C7)),SQRT(RAND()*((D7)-(C7))/((E7)-(C7))),1-SQRT(RAND()*((E7)-(D7))/((E7)-(C7))))</f>
        <v>0.24799841466498396</v>
      </c>
      <c r="C901" s="67">
        <f ca="1">(C8)+(E8-C8)*IF(RAND()&lt;((D8)-(C8))/((E8)-(C8)),SQRT(RAND()*((D8)-(C8))/((E8)-(C8))),1-SQRT(RAND()*((E8)-(D8))/((E8)-(C8))))</f>
        <v>0.76281309501675176</v>
      </c>
      <c r="D901" s="68">
        <f ca="1">(C9)+(E9-C9)*IF(RAND()&lt;((D9)-(C9))/((E9)-(C9)),SQRT(RAND()*((D9)-(C9))/((E9)-(C9))),1-SQRT(RAND()*((E9)-(D9))/((E9)-(C9))))</f>
        <v>1297307.7798572052</v>
      </c>
      <c r="E901" s="68">
        <f ca="1">(C10)+(E10-C10)*IF(RAND()&lt;((D10)-(C10))/((E10)-(C10)),SQRT(RAND()*((D10)-(C10))/((E10)-(C10))),1-SQRT(RAND()*((E10)-(D10))/((E10)-(C10))))</f>
        <v>4137086.0628570705</v>
      </c>
      <c r="F901" s="67">
        <f ca="1">(C11)+(E11-C11)*IF(RAND()&lt;((D11)-(C11))/((E11)-(C11)),SQRT(RAND()*((D11)-(C11))/((E11)-(C11))),1-SQRT(RAND()*((E11)-(D11))/((E11)-(C11))))</f>
        <v>9.380818383520487E-3</v>
      </c>
      <c r="G901" s="67">
        <f ca="1">(C12)+(E12-C12)*IF(RAND()&lt;((D12)-(C12))/((E12)-(C12)),SQRT(RAND()*((D12)-(C12))/((E12)-(C12))),1-SQRT(RAND()*((E12)-(D12))/((E12)-(C12))))</f>
        <v>0.17344682503727421</v>
      </c>
      <c r="H901" s="68">
        <f t="shared" ca="1" si="26"/>
        <v>256543023.79629678</v>
      </c>
      <c r="I901" s="69">
        <f t="shared" ca="1" si="27"/>
        <v>262.14916372642864</v>
      </c>
    </row>
    <row r="902" spans="1:9" ht="16.05" customHeight="1" x14ac:dyDescent="0.3">
      <c r="A902" s="70">
        <v>886</v>
      </c>
      <c r="B902" s="71">
        <f ca="1">(C7)+(E7-C7)*IF(RAND()&lt;((D7)-(C7))/((E7)-(C7)),SQRT(RAND()*((D7)-(C7))/((E7)-(C7))),1-SQRT(RAND()*((E7)-(D7))/((E7)-(C7))))</f>
        <v>0.32239909540008271</v>
      </c>
      <c r="C902" s="71">
        <f ca="1">(C8)+(E8-C8)*IF(RAND()&lt;((D8)-(C8))/((E8)-(C8)),SQRT(RAND()*((D8)-(C8))/((E8)-(C8))),1-SQRT(RAND()*((E8)-(D8))/((E8)-(C8))))</f>
        <v>0.83265512175817413</v>
      </c>
      <c r="D902" s="72">
        <f ca="1">(C9)+(E9-C9)*IF(RAND()&lt;((D9)-(C9))/((E9)-(C9)),SQRT(RAND()*((D9)-(C9))/((E9)-(C9))),1-SQRT(RAND()*((E9)-(D9))/((E9)-(C9))))</f>
        <v>1350737.7273417683</v>
      </c>
      <c r="E902" s="72">
        <f ca="1">(C10)+(E10-C10)*IF(RAND()&lt;((D10)-(C10))/((E10)-(C10)),SQRT(RAND()*((D10)-(C10))/((E10)-(C10))),1-SQRT(RAND()*((E10)-(D10))/((E10)-(C10))))</f>
        <v>3512903.4172136043</v>
      </c>
      <c r="F902" s="71">
        <f ca="1">(C11)+(E11-C11)*IF(RAND()&lt;((D11)-(C11))/((E11)-(C11)),SQRT(RAND()*((D11)-(C11))/((E11)-(C11))),1-SQRT(RAND()*((E11)-(D11))/((E11)-(C11))))</f>
        <v>2.3754662602404313E-2</v>
      </c>
      <c r="G902" s="71">
        <f ca="1">(C12)+(E12-C12)*IF(RAND()&lt;((D12)-(C12))/((E12)-(C12)),SQRT(RAND()*((D12)-(C12))/((E12)-(C12))),1-SQRT(RAND()*((E12)-(D12))/((E12)-(C12))))</f>
        <v>0.12470154423601931</v>
      </c>
      <c r="H902" s="72">
        <f t="shared" ca="1" si="26"/>
        <v>448844377.38915616</v>
      </c>
      <c r="I902" s="73">
        <f t="shared" ca="1" si="27"/>
        <v>439.61286795309644</v>
      </c>
    </row>
    <row r="903" spans="1:9" ht="16.05" customHeight="1" x14ac:dyDescent="0.3">
      <c r="A903" s="66">
        <v>887</v>
      </c>
      <c r="B903" s="67">
        <f ca="1">(C7)+(E7-C7)*IF(RAND()&lt;((D7)-(C7))/((E7)-(C7)),SQRT(RAND()*((D7)-(C7))/((E7)-(C7))),1-SQRT(RAND()*((E7)-(D7))/((E7)-(C7))))</f>
        <v>0.23459901270530487</v>
      </c>
      <c r="C903" s="67">
        <f ca="1">(C8)+(E8-C8)*IF(RAND()&lt;((D8)-(C8))/((E8)-(C8)),SQRT(RAND()*((D8)-(C8))/((E8)-(C8))),1-SQRT(RAND()*((E8)-(D8))/((E8)-(C8))))</f>
        <v>0.80806256110078323</v>
      </c>
      <c r="D903" s="68">
        <f ca="1">(C9)+(E9-C9)*IF(RAND()&lt;((D9)-(C9))/((E9)-(C9)),SQRT(RAND()*((D9)-(C9))/((E9)-(C9))),1-SQRT(RAND()*((E9)-(D9))/((E9)-(C9))))</f>
        <v>1224547.2437178525</v>
      </c>
      <c r="E903" s="68">
        <f ca="1">(C10)+(E10-C10)*IF(RAND()&lt;((D10)-(C10))/((E10)-(C10)),SQRT(RAND()*((D10)-(C10))/((E10)-(C10))),1-SQRT(RAND()*((E10)-(D10))/((E10)-(C10))))</f>
        <v>3258239.3731046645</v>
      </c>
      <c r="F903" s="67">
        <f ca="1">(C11)+(E11-C11)*IF(RAND()&lt;((D11)-(C11))/((E11)-(C11)),SQRT(RAND()*((D11)-(C11))/((E11)-(C11))),1-SQRT(RAND()*((E11)-(D11))/((E11)-(C11))))</f>
        <v>2.365893812432868E-2</v>
      </c>
      <c r="G903" s="67">
        <f ca="1">(C12)+(E12-C12)*IF(RAND()&lt;((D12)-(C12))/((E12)-(C12)),SQRT(RAND()*((D12)-(C12))/((E12)-(C12))),1-SQRT(RAND()*((E12)-(D12))/((E12)-(C12))))</f>
        <v>0.12162356195625544</v>
      </c>
      <c r="H903" s="68">
        <f t="shared" ca="1" si="26"/>
        <v>363430806.58991027</v>
      </c>
      <c r="I903" s="69">
        <f t="shared" ca="1" si="27"/>
        <v>392.7784909611533</v>
      </c>
    </row>
    <row r="904" spans="1:9" ht="16.05" customHeight="1" x14ac:dyDescent="0.3">
      <c r="A904" s="70">
        <v>888</v>
      </c>
      <c r="B904" s="71">
        <f ca="1">(C7)+(E7-C7)*IF(RAND()&lt;((D7)-(C7))/((E7)-(C7)),SQRT(RAND()*((D7)-(C7))/((E7)-(C7))),1-SQRT(RAND()*((E7)-(D7))/((E7)-(C7))))</f>
        <v>0.24332947629726831</v>
      </c>
      <c r="C904" s="71">
        <f ca="1">(C8)+(E8-C8)*IF(RAND()&lt;((D8)-(C8))/((E8)-(C8)),SQRT(RAND()*((D8)-(C8))/((E8)-(C8))),1-SQRT(RAND()*((E8)-(D8))/((E8)-(C8))))</f>
        <v>0.72113952373035795</v>
      </c>
      <c r="D904" s="72">
        <f ca="1">(C9)+(E9-C9)*IF(RAND()&lt;((D9)-(C9))/((E9)-(C9)),SQRT(RAND()*((D9)-(C9))/((E9)-(C9))),1-SQRT(RAND()*((E9)-(D9))/((E9)-(C9))))</f>
        <v>1148228.4708847299</v>
      </c>
      <c r="E904" s="72">
        <f ca="1">(C10)+(E10-C10)*IF(RAND()&lt;((D10)-(C10))/((E10)-(C10)),SQRT(RAND()*((D10)-(C10))/((E10)-(C10))),1-SQRT(RAND()*((E10)-(D10))/((E10)-(C10))))</f>
        <v>3073641.223892882</v>
      </c>
      <c r="F904" s="71">
        <f ca="1">(C11)+(E11-C11)*IF(RAND()&lt;((D11)-(C11))/((E11)-(C11)),SQRT(RAND()*((D11)-(C11))/((E11)-(C11))),1-SQRT(RAND()*((E11)-(D11))/((E11)-(C11))))</f>
        <v>1.1485560113247403E-2</v>
      </c>
      <c r="G904" s="71">
        <f ca="1">(C12)+(E12-C12)*IF(RAND()&lt;((D12)-(C12))/((E12)-(C12)),SQRT(RAND()*((D12)-(C12))/((E12)-(C12))),1-SQRT(RAND()*((E12)-(D12))/((E12)-(C12))))</f>
        <v>0.15486428648246561</v>
      </c>
      <c r="H904" s="72">
        <f t="shared" ca="1" si="26"/>
        <v>261007601.38370115</v>
      </c>
      <c r="I904" s="73">
        <f t="shared" ca="1" si="27"/>
        <v>301.14236515146541</v>
      </c>
    </row>
    <row r="905" spans="1:9" ht="16.05" customHeight="1" x14ac:dyDescent="0.3">
      <c r="A905" s="66">
        <v>889</v>
      </c>
      <c r="B905" s="67">
        <f ca="1">(C7)+(E7-C7)*IF(RAND()&lt;((D7)-(C7))/((E7)-(C7)),SQRT(RAND()*((D7)-(C7))/((E7)-(C7))),1-SQRT(RAND()*((E7)-(D7))/((E7)-(C7))))</f>
        <v>0.25781001338959864</v>
      </c>
      <c r="C905" s="67">
        <f ca="1">(C8)+(E8-C8)*IF(RAND()&lt;((D8)-(C8))/((E8)-(C8)),SQRT(RAND()*((D8)-(C8))/((E8)-(C8))),1-SQRT(RAND()*((E8)-(D8))/((E8)-(C8))))</f>
        <v>0.61822136812870709</v>
      </c>
      <c r="D905" s="68">
        <f ca="1">(C9)+(E9-C9)*IF(RAND()&lt;((D9)-(C9))/((E9)-(C9)),SQRT(RAND()*((D9)-(C9))/((E9)-(C9))),1-SQRT(RAND()*((E9)-(D9))/((E9)-(C9))))</f>
        <v>1202110.0848244803</v>
      </c>
      <c r="E905" s="68">
        <f ca="1">(C10)+(E10-C10)*IF(RAND()&lt;((D10)-(C10))/((E10)-(C10)),SQRT(RAND()*((D10)-(C10))/((E10)-(C10))),1-SQRT(RAND()*((E10)-(D10))/((E10)-(C10))))</f>
        <v>4635479.8822145388</v>
      </c>
      <c r="F905" s="67">
        <f ca="1">(C11)+(E11-C11)*IF(RAND()&lt;((D11)-(C11))/((E11)-(C11)),SQRT(RAND()*((D11)-(C11))/((E11)-(C11))),1-SQRT(RAND()*((E11)-(D11))/((E11)-(C11))))</f>
        <v>6.7890821520578482E-3</v>
      </c>
      <c r="G905" s="67">
        <f ca="1">(C12)+(E12-C12)*IF(RAND()&lt;((D12)-(C12))/((E12)-(C12)),SQRT(RAND()*((D12)-(C12))/((E12)-(C12))),1-SQRT(RAND()*((E12)-(D12))/((E12)-(C12))))</f>
        <v>0.15213857667015121</v>
      </c>
      <c r="H905" s="68">
        <f t="shared" ca="1" si="26"/>
        <v>203629424.17198166</v>
      </c>
      <c r="I905" s="69">
        <f t="shared" ca="1" si="27"/>
        <v>224.74664927279724</v>
      </c>
    </row>
    <row r="906" spans="1:9" ht="16.05" customHeight="1" x14ac:dyDescent="0.3">
      <c r="A906" s="70">
        <v>890</v>
      </c>
      <c r="B906" s="71">
        <f ca="1">(C7)+(E7-C7)*IF(RAND()&lt;((D7)-(C7))/((E7)-(C7)),SQRT(RAND()*((D7)-(C7))/((E7)-(C7))),1-SQRT(RAND()*((E7)-(D7))/((E7)-(C7))))</f>
        <v>0.23373486484931871</v>
      </c>
      <c r="C906" s="71">
        <f ca="1">(C8)+(E8-C8)*IF(RAND()&lt;((D8)-(C8))/((E8)-(C8)),SQRT(RAND()*((D8)-(C8))/((E8)-(C8))),1-SQRT(RAND()*((E8)-(D8))/((E8)-(C8))))</f>
        <v>0.70342411388901394</v>
      </c>
      <c r="D906" s="72">
        <f ca="1">(C9)+(E9-C9)*IF(RAND()&lt;((D9)-(C9))/((E9)-(C9)),SQRT(RAND()*((D9)-(C9))/((E9)-(C9))),1-SQRT(RAND()*((E9)-(D9))/((E9)-(C9))))</f>
        <v>1166102.6168142497</v>
      </c>
      <c r="E906" s="72">
        <f ca="1">(C10)+(E10-C10)*IF(RAND()&lt;((D10)-(C10))/((E10)-(C10)),SQRT(RAND()*((D10)-(C10))/((E10)-(C10))),1-SQRT(RAND()*((E10)-(D10))/((E10)-(C10))))</f>
        <v>2856670.7757389536</v>
      </c>
      <c r="F906" s="71">
        <f ca="1">(C11)+(E11-C11)*IF(RAND()&lt;((D11)-(C11))/((E11)-(C11)),SQRT(RAND()*((D11)-(C11))/((E11)-(C11))),1-SQRT(RAND()*((E11)-(D11))/((E11)-(C11))))</f>
        <v>8.49821177318596E-3</v>
      </c>
      <c r="G906" s="71">
        <f ca="1">(C12)+(E12-C12)*IF(RAND()&lt;((D12)-(C12))/((E12)-(C12)),SQRT(RAND()*((D12)-(C12))/((E12)-(C12))),1-SQRT(RAND()*((E12)-(D12))/((E12)-(C12))))</f>
        <v>0.1418446101541386</v>
      </c>
      <c r="H906" s="72">
        <f t="shared" ca="1" si="26"/>
        <v>228218024.52911034</v>
      </c>
      <c r="I906" s="73">
        <f t="shared" ca="1" si="27"/>
        <v>259.45810429921767</v>
      </c>
    </row>
    <row r="907" spans="1:9" ht="16.05" customHeight="1" x14ac:dyDescent="0.3">
      <c r="A907" s="66">
        <v>891</v>
      </c>
      <c r="B907" s="67">
        <f ca="1">(C7)+(E7-C7)*IF(RAND()&lt;((D7)-(C7))/((E7)-(C7)),SQRT(RAND()*((D7)-(C7))/((E7)-(C7))),1-SQRT(RAND()*((E7)-(D7))/((E7)-(C7))))</f>
        <v>0.22677873347384744</v>
      </c>
      <c r="C907" s="67">
        <f ca="1">(C8)+(E8-C8)*IF(RAND()&lt;((D8)-(C8))/((E8)-(C8)),SQRT(RAND()*((D8)-(C8))/((E8)-(C8))),1-SQRT(RAND()*((E8)-(D8))/((E8)-(C8))))</f>
        <v>0.65316906677162978</v>
      </c>
      <c r="D907" s="68">
        <f ca="1">(C9)+(E9-C9)*IF(RAND()&lt;((D9)-(C9))/((E9)-(C9)),SQRT(RAND()*((D9)-(C9))/((E9)-(C9))),1-SQRT(RAND()*((E9)-(D9))/((E9)-(C9))))</f>
        <v>1215757.1592119096</v>
      </c>
      <c r="E907" s="68">
        <f ca="1">(C10)+(E10-C10)*IF(RAND()&lt;((D10)-(C10))/((E10)-(C10)),SQRT(RAND()*((D10)-(C10))/((E10)-(C10))),1-SQRT(RAND()*((E10)-(D10))/((E10)-(C10))))</f>
        <v>3088087.2310492578</v>
      </c>
      <c r="F907" s="67">
        <f ca="1">(C11)+(E11-C11)*IF(RAND()&lt;((D11)-(C11))/((E11)-(C11)),SQRT(RAND()*((D11)-(C11))/((E11)-(C11))),1-SQRT(RAND()*((E11)-(D11))/((E11)-(C11))))</f>
        <v>1.3252454728482518E-2</v>
      </c>
      <c r="G907" s="67">
        <f ca="1">(C12)+(E12-C12)*IF(RAND()&lt;((D12)-(C12))/((E12)-(C12)),SQRT(RAND()*((D12)-(C12))/((E12)-(C12))),1-SQRT(RAND()*((E12)-(D12))/((E12)-(C12))))</f>
        <v>0.17391679230915391</v>
      </c>
      <c r="H907" s="68">
        <f t="shared" ca="1" si="26"/>
        <v>243882942.7640475</v>
      </c>
      <c r="I907" s="69">
        <f t="shared" ca="1" si="27"/>
        <v>265.91009189588192</v>
      </c>
    </row>
    <row r="908" spans="1:9" ht="16.05" customHeight="1" x14ac:dyDescent="0.3">
      <c r="A908" s="70">
        <v>892</v>
      </c>
      <c r="B908" s="71">
        <f ca="1">(C7)+(E7-C7)*IF(RAND()&lt;((D7)-(C7))/((E7)-(C7)),SQRT(RAND()*((D7)-(C7))/((E7)-(C7))),1-SQRT(RAND()*((E7)-(D7))/((E7)-(C7))))</f>
        <v>0.23408160633438443</v>
      </c>
      <c r="C908" s="71">
        <f ca="1">(C8)+(E8-C8)*IF(RAND()&lt;((D8)-(C8))/((E8)-(C8)),SQRT(RAND()*((D8)-(C8))/((E8)-(C8))),1-SQRT(RAND()*((E8)-(D8))/((E8)-(C8))))</f>
        <v>0.68442611142855225</v>
      </c>
      <c r="D908" s="72">
        <f ca="1">(C9)+(E9-C9)*IF(RAND()&lt;((D9)-(C9))/((E9)-(C9)),SQRT(RAND()*((D9)-(C9))/((E9)-(C9))),1-SQRT(RAND()*((E9)-(D9))/((E9)-(C9))))</f>
        <v>1323013.8083666982</v>
      </c>
      <c r="E908" s="72">
        <f ca="1">(C10)+(E10-C10)*IF(RAND()&lt;((D10)-(C10))/((E10)-(C10)),SQRT(RAND()*((D10)-(C10))/((E10)-(C10))),1-SQRT(RAND()*((E10)-(D10))/((E10)-(C10))))</f>
        <v>3649847.1779923588</v>
      </c>
      <c r="F908" s="71">
        <f ca="1">(C11)+(E11-C11)*IF(RAND()&lt;((D11)-(C11))/((E11)-(C11)),SQRT(RAND()*((D11)-(C11))/((E11)-(C11))),1-SQRT(RAND()*((E11)-(D11))/((E11)-(C11))))</f>
        <v>2.1440699190151739E-2</v>
      </c>
      <c r="G908" s="71">
        <f ca="1">(C12)+(E12-C12)*IF(RAND()&lt;((D12)-(C12))/((E12)-(C12)),SQRT(RAND()*((D12)-(C12))/((E12)-(C12))),1-SQRT(RAND()*((E12)-(D12))/((E12)-(C12))))</f>
        <v>0.15735960821594477</v>
      </c>
      <c r="H908" s="72">
        <f t="shared" ca="1" si="26"/>
        <v>313895928.30249143</v>
      </c>
      <c r="I908" s="73">
        <f t="shared" ca="1" si="27"/>
        <v>314.25961808473176</v>
      </c>
    </row>
    <row r="909" spans="1:9" ht="16.05" customHeight="1" x14ac:dyDescent="0.3">
      <c r="A909" s="66">
        <v>893</v>
      </c>
      <c r="B909" s="67">
        <f ca="1">(C7)+(E7-C7)*IF(RAND()&lt;((D7)-(C7))/((E7)-(C7)),SQRT(RAND()*((D7)-(C7))/((E7)-(C7))),1-SQRT(RAND()*((E7)-(D7))/((E7)-(C7))))</f>
        <v>0.23041880085403363</v>
      </c>
      <c r="C909" s="67">
        <f ca="1">(C8)+(E8-C8)*IF(RAND()&lt;((D8)-(C8))/((E8)-(C8)),SQRT(RAND()*((D8)-(C8))/((E8)-(C8))),1-SQRT(RAND()*((E8)-(D8))/((E8)-(C8))))</f>
        <v>0.53529544155618125</v>
      </c>
      <c r="D909" s="68">
        <f ca="1">(C9)+(E9-C9)*IF(RAND()&lt;((D9)-(C9))/((E9)-(C9)),SQRT(RAND()*((D9)-(C9))/((E9)-(C9))),1-SQRT(RAND()*((E9)-(D9))/((E9)-(C9))))</f>
        <v>1349730.5157332974</v>
      </c>
      <c r="E909" s="68">
        <f ca="1">(C10)+(E10-C10)*IF(RAND()&lt;((D10)-(C10))/((E10)-(C10)),SQRT(RAND()*((D10)-(C10))/((E10)-(C10))),1-SQRT(RAND()*((E10)-(D10))/((E10)-(C10))))</f>
        <v>3680565.020197398</v>
      </c>
      <c r="F909" s="67">
        <f ca="1">(C11)+(E11-C11)*IF(RAND()&lt;((D11)-(C11))/((E11)-(C11)),SQRT(RAND()*((D11)-(C11))/((E11)-(C11))),1-SQRT(RAND()*((E11)-(D11))/((E11)-(C11))))</f>
        <v>1.3757462932715793E-2</v>
      </c>
      <c r="G909" s="67">
        <f ca="1">(C12)+(E12-C12)*IF(RAND()&lt;((D12)-(C12))/((E12)-(C12)),SQRT(RAND()*((D12)-(C12))/((E12)-(C12))),1-SQRT(RAND()*((E12)-(D12))/((E12)-(C12))))</f>
        <v>0.16387467525116667</v>
      </c>
      <c r="H909" s="68">
        <f t="shared" ca="1" si="26"/>
        <v>218185484.9621498</v>
      </c>
      <c r="I909" s="69">
        <f t="shared" ca="1" si="27"/>
        <v>214.53481311168827</v>
      </c>
    </row>
    <row r="910" spans="1:9" ht="16.05" customHeight="1" x14ac:dyDescent="0.3">
      <c r="A910" s="70">
        <v>894</v>
      </c>
      <c r="B910" s="71">
        <f ca="1">(C7)+(E7-C7)*IF(RAND()&lt;((D7)-(C7))/((E7)-(C7)),SQRT(RAND()*((D7)-(C7))/((E7)-(C7))),1-SQRT(RAND()*((E7)-(D7))/((E7)-(C7))))</f>
        <v>0.35261774180778227</v>
      </c>
      <c r="C910" s="71">
        <f ca="1">(C8)+(E8-C8)*IF(RAND()&lt;((D8)-(C8))/((E8)-(C8)),SQRT(RAND()*((D8)-(C8))/((E8)-(C8))),1-SQRT(RAND()*((E8)-(D8))/((E8)-(C8))))</f>
        <v>0.69074872640164731</v>
      </c>
      <c r="D910" s="72">
        <f ca="1">(C9)+(E9-C9)*IF(RAND()&lt;((D9)-(C9))/((E9)-(C9)),SQRT(RAND()*((D9)-(C9))/((E9)-(C9))),1-SQRT(RAND()*((E9)-(D9))/((E9)-(C9))))</f>
        <v>1276539.2433085828</v>
      </c>
      <c r="E910" s="72">
        <f ca="1">(C10)+(E10-C10)*IF(RAND()&lt;((D10)-(C10))/((E10)-(C10)),SQRT(RAND()*((D10)-(C10))/((E10)-(C10))),1-SQRT(RAND()*((E10)-(D10))/((E10)-(C10))))</f>
        <v>4769350.6567752538</v>
      </c>
      <c r="F910" s="71">
        <f ca="1">(C11)+(E11-C11)*IF(RAND()&lt;((D11)-(C11))/((E11)-(C11)),SQRT(RAND()*((D11)-(C11))/((E11)-(C11))),1-SQRT(RAND()*((E11)-(D11))/((E11)-(C11))))</f>
        <v>6.5895755388565794E-3</v>
      </c>
      <c r="G910" s="71">
        <f ca="1">(C12)+(E12-C12)*IF(RAND()&lt;((D12)-(C12))/((E12)-(C12)),SQRT(RAND()*((D12)-(C12))/((E12)-(C12))),1-SQRT(RAND()*((E12)-(D12))/((E12)-(C12))))</f>
        <v>0.17700489556638094</v>
      </c>
      <c r="H910" s="72">
        <f t="shared" ca="1" si="26"/>
        <v>293198845.52721828</v>
      </c>
      <c r="I910" s="73">
        <f t="shared" ca="1" si="27"/>
        <v>304.26743660927127</v>
      </c>
    </row>
    <row r="911" spans="1:9" ht="16.05" customHeight="1" x14ac:dyDescent="0.3">
      <c r="A911" s="66">
        <v>895</v>
      </c>
      <c r="B911" s="67">
        <f ca="1">(C7)+(E7-C7)*IF(RAND()&lt;((D7)-(C7))/((E7)-(C7)),SQRT(RAND()*((D7)-(C7))/((E7)-(C7))),1-SQRT(RAND()*((E7)-(D7))/((E7)-(C7))))</f>
        <v>0.30291150481585799</v>
      </c>
      <c r="C911" s="67">
        <f ca="1">(C8)+(E8-C8)*IF(RAND()&lt;((D8)-(C8))/((E8)-(C8)),SQRT(RAND()*((D8)-(C8))/((E8)-(C8))),1-SQRT(RAND()*((E8)-(D8))/((E8)-(C8))))</f>
        <v>0.589049293834085</v>
      </c>
      <c r="D911" s="68">
        <f ca="1">(C9)+(E9-C9)*IF(RAND()&lt;((D9)-(C9))/((E9)-(C9)),SQRT(RAND()*((D9)-(C9))/((E9)-(C9))),1-SQRT(RAND()*((E9)-(D9))/((E9)-(C9))))</f>
        <v>1219897.6604107085</v>
      </c>
      <c r="E911" s="68">
        <f ca="1">(C10)+(E10-C10)*IF(RAND()&lt;((D10)-(C10))/((E10)-(C10)),SQRT(RAND()*((D10)-(C10))/((E10)-(C10))),1-SQRT(RAND()*((E10)-(D10))/((E10)-(C10))))</f>
        <v>3150991.5480191126</v>
      </c>
      <c r="F911" s="67">
        <f ca="1">(C11)+(E11-C11)*IF(RAND()&lt;((D11)-(C11))/((E11)-(C11)),SQRT(RAND()*((D11)-(C11))/((E11)-(C11))),1-SQRT(RAND()*((E11)-(D11))/((E11)-(C11))))</f>
        <v>1.5448738451206574E-2</v>
      </c>
      <c r="G911" s="67">
        <f ca="1">(C12)+(E12-C12)*IF(RAND()&lt;((D12)-(C12))/((E12)-(C12)),SQRT(RAND()*((D12)-(C12))/((E12)-(C12))),1-SQRT(RAND()*((E12)-(D12))/((E12)-(C12))))</f>
        <v>0.15606509203708399</v>
      </c>
      <c r="H911" s="68">
        <f t="shared" ca="1" si="26"/>
        <v>292462821.09565026</v>
      </c>
      <c r="I911" s="69">
        <f t="shared" ca="1" si="27"/>
        <v>317.53795369489211</v>
      </c>
    </row>
    <row r="912" spans="1:9" ht="16.05" customHeight="1" x14ac:dyDescent="0.3">
      <c r="A912" s="70">
        <v>896</v>
      </c>
      <c r="B912" s="71">
        <f ca="1">(C7)+(E7-C7)*IF(RAND()&lt;((D7)-(C7))/((E7)-(C7)),SQRT(RAND()*((D7)-(C7))/((E7)-(C7))),1-SQRT(RAND()*((E7)-(D7))/((E7)-(C7))))</f>
        <v>0.28850678430714949</v>
      </c>
      <c r="C912" s="71">
        <f ca="1">(C8)+(E8-C8)*IF(RAND()&lt;((D8)-(C8))/((E8)-(C8)),SQRT(RAND()*((D8)-(C8))/((E8)-(C8))),1-SQRT(RAND()*((E8)-(D8))/((E8)-(C8))))</f>
        <v>0.62543484412686179</v>
      </c>
      <c r="D912" s="72">
        <f ca="1">(C9)+(E9-C9)*IF(RAND()&lt;((D9)-(C9))/((E9)-(C9)),SQRT(RAND()*((D9)-(C9))/((E9)-(C9))),1-SQRT(RAND()*((E9)-(D9))/((E9)-(C9))))</f>
        <v>1175920.171959088</v>
      </c>
      <c r="E912" s="72">
        <f ca="1">(C10)+(E10-C10)*IF(RAND()&lt;((D10)-(C10))/((E10)-(C10)),SQRT(RAND()*((D10)-(C10))/((E10)-(C10))),1-SQRT(RAND()*((E10)-(D10))/((E10)-(C10))))</f>
        <v>4013534.2071835049</v>
      </c>
      <c r="F912" s="71">
        <f ca="1">(C11)+(E11-C11)*IF(RAND()&lt;((D11)-(C11))/((E11)-(C11)),SQRT(RAND()*((D11)-(C11))/((E11)-(C11))),1-SQRT(RAND()*((E11)-(D11))/((E11)-(C11))))</f>
        <v>1.8199088905710977E-2</v>
      </c>
      <c r="G912" s="71">
        <f ca="1">(C12)+(E12-C12)*IF(RAND()&lt;((D12)-(C12))/((E12)-(C12)),SQRT(RAND()*((D12)-(C12))/((E12)-(C12))),1-SQRT(RAND()*((E12)-(D12))/((E12)-(C12))))</f>
        <v>0.14344234250649029</v>
      </c>
      <c r="H912" s="72">
        <f t="shared" ca="1" si="26"/>
        <v>311277561.10856581</v>
      </c>
      <c r="I912" s="73">
        <f t="shared" ca="1" si="27"/>
        <v>350.46784294052497</v>
      </c>
    </row>
    <row r="913" spans="1:9" ht="16.05" customHeight="1" x14ac:dyDescent="0.3">
      <c r="A913" s="66">
        <v>897</v>
      </c>
      <c r="B913" s="67">
        <f ca="1">(C7)+(E7-C7)*IF(RAND()&lt;((D7)-(C7))/((E7)-(C7)),SQRT(RAND()*((D7)-(C7))/((E7)-(C7))),1-SQRT(RAND()*((E7)-(D7))/((E7)-(C7))))</f>
        <v>0.26351654735723279</v>
      </c>
      <c r="C913" s="67">
        <f ca="1">(C8)+(E8-C8)*IF(RAND()&lt;((D8)-(C8))/((E8)-(C8)),SQRT(RAND()*((D8)-(C8))/((E8)-(C8))),1-SQRT(RAND()*((E8)-(D8))/((E8)-(C8))))</f>
        <v>0.62808418245653275</v>
      </c>
      <c r="D913" s="68">
        <f ca="1">(C9)+(E9-C9)*IF(RAND()&lt;((D9)-(C9))/((E9)-(C9)),SQRT(RAND()*((D9)-(C9))/((E9)-(C9))),1-SQRT(RAND()*((E9)-(D9))/((E9)-(C9))))</f>
        <v>1259023.7077817251</v>
      </c>
      <c r="E913" s="68">
        <f ca="1">(C10)+(E10-C10)*IF(RAND()&lt;((D10)-(C10))/((E10)-(C10)),SQRT(RAND()*((D10)-(C10))/((E10)-(C10))),1-SQRT(RAND()*((E10)-(D10))/((E10)-(C10))))</f>
        <v>4227759.0126552712</v>
      </c>
      <c r="F913" s="67">
        <f ca="1">(C11)+(E11-C11)*IF(RAND()&lt;((D11)-(C11))/((E11)-(C11)),SQRT(RAND()*((D11)-(C11))/((E11)-(C11))),1-SQRT(RAND()*((E11)-(D11))/((E11)-(C11))))</f>
        <v>2.2510718731916127E-2</v>
      </c>
      <c r="G913" s="67">
        <f ca="1">(C12)+(E12-C12)*IF(RAND()&lt;((D12)-(C12))/((E12)-(C12)),SQRT(RAND()*((D12)-(C12))/((E12)-(C12))),1-SQRT(RAND()*((E12)-(D12))/((E12)-(C12))))</f>
        <v>0.14867796139861325</v>
      </c>
      <c r="H913" s="68">
        <f t="shared" ref="H913:H976" ca="1" si="28">-D913+($L$1*B913*C913+$M$1*F913-E913)*(1-(1+$N$1)^-5)/$N$1</f>
        <v>325257303.43404013</v>
      </c>
      <c r="I913" s="69">
        <f t="shared" ref="I913:I976" ca="1" si="29">($L$1*B913*C913+$M$1*F913-E913)*5/D913</f>
        <v>342.0673653958645</v>
      </c>
    </row>
    <row r="914" spans="1:9" ht="16.05" customHeight="1" x14ac:dyDescent="0.3">
      <c r="A914" s="70">
        <v>898</v>
      </c>
      <c r="B914" s="71">
        <f ca="1">(C7)+(E7-C7)*IF(RAND()&lt;((D7)-(C7))/((E7)-(C7)),SQRT(RAND()*((D7)-(C7))/((E7)-(C7))),1-SQRT(RAND()*((E7)-(D7))/((E7)-(C7))))</f>
        <v>0.26909045683413557</v>
      </c>
      <c r="C914" s="71">
        <f ca="1">(C8)+(E8-C8)*IF(RAND()&lt;((D8)-(C8))/((E8)-(C8)),SQRT(RAND()*((D8)-(C8))/((E8)-(C8))),1-SQRT(RAND()*((E8)-(D8))/((E8)-(C8))))</f>
        <v>0.80147435652701082</v>
      </c>
      <c r="D914" s="72">
        <f ca="1">(C9)+(E9-C9)*IF(RAND()&lt;((D9)-(C9))/((E9)-(C9)),SQRT(RAND()*((D9)-(C9))/((E9)-(C9))),1-SQRT(RAND()*((E9)-(D9))/((E9)-(C9))))</f>
        <v>1180815.9348611648</v>
      </c>
      <c r="E914" s="72">
        <f ca="1">(C10)+(E10-C10)*IF(RAND()&lt;((D10)-(C10))/((E10)-(C10)),SQRT(RAND()*((D10)-(C10))/((E10)-(C10))),1-SQRT(RAND()*((E10)-(D10))/((E10)-(C10))))</f>
        <v>4175275.8390782462</v>
      </c>
      <c r="F914" s="71">
        <f ca="1">(C11)+(E11-C11)*IF(RAND()&lt;((D11)-(C11))/((E11)-(C11)),SQRT(RAND()*((D11)-(C11))/((E11)-(C11))),1-SQRT(RAND()*((E11)-(D11))/((E11)-(C11))))</f>
        <v>1.3195873481707466E-2</v>
      </c>
      <c r="G914" s="71">
        <f ca="1">(C12)+(E12-C12)*IF(RAND()&lt;((D12)-(C12))/((E12)-(C12)),SQRT(RAND()*((D12)-(C12))/((E12)-(C12))),1-SQRT(RAND()*((E12)-(D12))/((E12)-(C12))))</f>
        <v>0.13589209461322888</v>
      </c>
      <c r="H914" s="72">
        <f t="shared" ca="1" si="28"/>
        <v>312873355.21380216</v>
      </c>
      <c r="I914" s="73">
        <f t="shared" ca="1" si="29"/>
        <v>350.80276585122436</v>
      </c>
    </row>
    <row r="915" spans="1:9" ht="16.05" customHeight="1" x14ac:dyDescent="0.3">
      <c r="A915" s="66">
        <v>899</v>
      </c>
      <c r="B915" s="67">
        <f ca="1">(C7)+(E7-C7)*IF(RAND()&lt;((D7)-(C7))/((E7)-(C7)),SQRT(RAND()*((D7)-(C7))/((E7)-(C7))),1-SQRT(RAND()*((E7)-(D7))/((E7)-(C7))))</f>
        <v>0.28466985388419264</v>
      </c>
      <c r="C915" s="67">
        <f ca="1">(C8)+(E8-C8)*IF(RAND()&lt;((D8)-(C8))/((E8)-(C8)),SQRT(RAND()*((D8)-(C8))/((E8)-(C8))),1-SQRT(RAND()*((E8)-(D8))/((E8)-(C8))))</f>
        <v>0.75760532505731448</v>
      </c>
      <c r="D915" s="68">
        <f ca="1">(C9)+(E9-C9)*IF(RAND()&lt;((D9)-(C9))/((E9)-(C9)),SQRT(RAND()*((D9)-(C9))/((E9)-(C9))),1-SQRT(RAND()*((E9)-(D9))/((E9)-(C9))))</f>
        <v>1174722.8932642979</v>
      </c>
      <c r="E915" s="68">
        <f ca="1">(C10)+(E10-C10)*IF(RAND()&lt;((D10)-(C10))/((E10)-(C10)),SQRT(RAND()*((D10)-(C10))/((E10)-(C10))),1-SQRT(RAND()*((E10)-(D10))/((E10)-(C10))))</f>
        <v>4040701.0665810723</v>
      </c>
      <c r="F915" s="67">
        <f ca="1">(C11)+(E11-C11)*IF(RAND()&lt;((D11)-(C11))/((E11)-(C11)),SQRT(RAND()*((D11)-(C11))/((E11)-(C11))),1-SQRT(RAND()*((E11)-(D11))/((E11)-(C11))))</f>
        <v>1.3009976844267943E-2</v>
      </c>
      <c r="G915" s="67">
        <f ca="1">(C12)+(E12-C12)*IF(RAND()&lt;((D12)-(C12))/((E12)-(C12)),SQRT(RAND()*((D12)-(C12))/((E12)-(C12))),1-SQRT(RAND()*((E12)-(D12))/((E12)-(C12))))</f>
        <v>0.15987641103213651</v>
      </c>
      <c r="H915" s="68">
        <f t="shared" ca="1" si="28"/>
        <v>312046000.77832896</v>
      </c>
      <c r="I915" s="69">
        <f t="shared" ca="1" si="29"/>
        <v>351.68650543478986</v>
      </c>
    </row>
    <row r="916" spans="1:9" ht="16.05" customHeight="1" x14ac:dyDescent="0.3">
      <c r="A916" s="70">
        <v>900</v>
      </c>
      <c r="B916" s="71">
        <f ca="1">(C7)+(E7-C7)*IF(RAND()&lt;((D7)-(C7))/((E7)-(C7)),SQRT(RAND()*((D7)-(C7))/((E7)-(C7))),1-SQRT(RAND()*((E7)-(D7))/((E7)-(C7))))</f>
        <v>0.28741415252421054</v>
      </c>
      <c r="C916" s="71">
        <f ca="1">(C8)+(E8-C8)*IF(RAND()&lt;((D8)-(C8))/((E8)-(C8)),SQRT(RAND()*((D8)-(C8))/((E8)-(C8))),1-SQRT(RAND()*((E8)-(D8))/((E8)-(C8))))</f>
        <v>0.75971006712243794</v>
      </c>
      <c r="D916" s="72">
        <f ca="1">(C9)+(E9-C9)*IF(RAND()&lt;((D9)-(C9))/((E9)-(C9)),SQRT(RAND()*((D9)-(C9))/((E9)-(C9))),1-SQRT(RAND()*((E9)-(D9))/((E9)-(C9))))</f>
        <v>1234225.5611648371</v>
      </c>
      <c r="E916" s="72">
        <f ca="1">(C10)+(E10-C10)*IF(RAND()&lt;((D10)-(C10))/((E10)-(C10)),SQRT(RAND()*((D10)-(C10))/((E10)-(C10))),1-SQRT(RAND()*((E10)-(D10))/((E10)-(C10))))</f>
        <v>3500884.7313881386</v>
      </c>
      <c r="F916" s="71">
        <f ca="1">(C11)+(E11-C11)*IF(RAND()&lt;((D11)-(C11))/((E11)-(C11)),SQRT(RAND()*((D11)-(C11))/((E11)-(C11))),1-SQRT(RAND()*((E11)-(D11))/((E11)-(C11))))</f>
        <v>2.723393785836464E-2</v>
      </c>
      <c r="G916" s="71">
        <f ca="1">(C12)+(E12-C12)*IF(RAND()&lt;((D12)-(C12))/((E12)-(C12)),SQRT(RAND()*((D12)-(C12))/((E12)-(C12))),1-SQRT(RAND()*((E12)-(D12))/((E12)-(C12))))</f>
        <v>0.15810435058666619</v>
      </c>
      <c r="H916" s="72">
        <f t="shared" ca="1" si="28"/>
        <v>419616616.61489207</v>
      </c>
      <c r="I916" s="73">
        <f t="shared" ca="1" si="29"/>
        <v>449.75325195668796</v>
      </c>
    </row>
    <row r="917" spans="1:9" ht="16.05" customHeight="1" x14ac:dyDescent="0.3">
      <c r="A917" s="66">
        <v>901</v>
      </c>
      <c r="B917" s="67">
        <f ca="1">(C7)+(E7-C7)*IF(RAND()&lt;((D7)-(C7))/((E7)-(C7)),SQRT(RAND()*((D7)-(C7))/((E7)-(C7))),1-SQRT(RAND()*((E7)-(D7))/((E7)-(C7))))</f>
        <v>0.34060610827339532</v>
      </c>
      <c r="C917" s="67">
        <f ca="1">(C8)+(E8-C8)*IF(RAND()&lt;((D8)-(C8))/((E8)-(C8)),SQRT(RAND()*((D8)-(C8))/((E8)-(C8))),1-SQRT(RAND()*((E8)-(D8))/((E8)-(C8))))</f>
        <v>0.65572765059569349</v>
      </c>
      <c r="D917" s="68">
        <f ca="1">(C9)+(E9-C9)*IF(RAND()&lt;((D9)-(C9))/((E9)-(C9)),SQRT(RAND()*((D9)-(C9))/((E9)-(C9))),1-SQRT(RAND()*((E9)-(D9))/((E9)-(C9))))</f>
        <v>1198934.3900510482</v>
      </c>
      <c r="E917" s="68">
        <f ca="1">(C10)+(E10-C10)*IF(RAND()&lt;((D10)-(C10))/((E10)-(C10)),SQRT(RAND()*((D10)-(C10))/((E10)-(C10))),1-SQRT(RAND()*((E10)-(D10))/((E10)-(C10))))</f>
        <v>3026529.6303853784</v>
      </c>
      <c r="F917" s="67">
        <f ca="1">(C11)+(E11-C11)*IF(RAND()&lt;((D11)-(C11))/((E11)-(C11)),SQRT(RAND()*((D11)-(C11))/((E11)-(C11))),1-SQRT(RAND()*((E11)-(D11))/((E11)-(C11))))</f>
        <v>6.2847724285236273E-3</v>
      </c>
      <c r="G917" s="67">
        <f ca="1">(C12)+(E12-C12)*IF(RAND()&lt;((D12)-(C12))/((E12)-(C12)),SQRT(RAND()*((D12)-(C12))/((E12)-(C12))),1-SQRT(RAND()*((E12)-(D12))/((E12)-(C12))))</f>
        <v>0.13489001763474812</v>
      </c>
      <c r="H917" s="68">
        <f t="shared" ca="1" si="28"/>
        <v>275678793.32530308</v>
      </c>
      <c r="I917" s="69">
        <f t="shared" ca="1" si="29"/>
        <v>304.60235216196423</v>
      </c>
    </row>
    <row r="918" spans="1:9" ht="16.05" customHeight="1" x14ac:dyDescent="0.3">
      <c r="A918" s="70">
        <v>902</v>
      </c>
      <c r="B918" s="71">
        <f ca="1">(C7)+(E7-C7)*IF(RAND()&lt;((D7)-(C7))/((E7)-(C7)),SQRT(RAND()*((D7)-(C7))/((E7)-(C7))),1-SQRT(RAND()*((E7)-(D7))/((E7)-(C7))))</f>
        <v>0.24477079308917998</v>
      </c>
      <c r="C918" s="71">
        <f ca="1">(C8)+(E8-C8)*IF(RAND()&lt;((D8)-(C8))/((E8)-(C8)),SQRT(RAND()*((D8)-(C8))/((E8)-(C8))),1-SQRT(RAND()*((E8)-(D8))/((E8)-(C8))))</f>
        <v>0.70648083336088685</v>
      </c>
      <c r="D918" s="72">
        <f ca="1">(C9)+(E9-C9)*IF(RAND()&lt;((D9)-(C9))/((E9)-(C9)),SQRT(RAND()*((D9)-(C9))/((E9)-(C9))),1-SQRT(RAND()*((E9)-(D9))/((E9)-(C9))))</f>
        <v>1317621.912268409</v>
      </c>
      <c r="E918" s="72">
        <f ca="1">(C10)+(E10-C10)*IF(RAND()&lt;((D10)-(C10))/((E10)-(C10)),SQRT(RAND()*((D10)-(C10))/((E10)-(C10))),1-SQRT(RAND()*((E10)-(D10))/((E10)-(C10))))</f>
        <v>3656534.5563660953</v>
      </c>
      <c r="F918" s="71">
        <f ca="1">(C11)+(E11-C11)*IF(RAND()&lt;((D11)-(C11))/((E11)-(C11)),SQRT(RAND()*((D11)-(C11))/((E11)-(C11))),1-SQRT(RAND()*((E11)-(D11))/((E11)-(C11))))</f>
        <v>1.4975678598642342E-2</v>
      </c>
      <c r="G918" s="71">
        <f ca="1">(C12)+(E12-C12)*IF(RAND()&lt;((D12)-(C12))/((E12)-(C12)),SQRT(RAND()*((D12)-(C12))/((E12)-(C12))),1-SQRT(RAND()*((E12)-(D12))/((E12)-(C12))))</f>
        <v>0.16488135630581474</v>
      </c>
      <c r="H918" s="72">
        <f t="shared" ca="1" si="28"/>
        <v>281046269.79649109</v>
      </c>
      <c r="I918" s="73">
        <f t="shared" ca="1" si="29"/>
        <v>282.65651400687051</v>
      </c>
    </row>
    <row r="919" spans="1:9" ht="16.05" customHeight="1" x14ac:dyDescent="0.3">
      <c r="A919" s="66">
        <v>903</v>
      </c>
      <c r="B919" s="67">
        <f ca="1">(C7)+(E7-C7)*IF(RAND()&lt;((D7)-(C7))/((E7)-(C7)),SQRT(RAND()*((D7)-(C7))/((E7)-(C7))),1-SQRT(RAND()*((E7)-(D7))/((E7)-(C7))))</f>
        <v>0.25332981442669977</v>
      </c>
      <c r="C919" s="67">
        <f ca="1">(C8)+(E8-C8)*IF(RAND()&lt;((D8)-(C8))/((E8)-(C8)),SQRT(RAND()*((D8)-(C8))/((E8)-(C8))),1-SQRT(RAND()*((E8)-(D8))/((E8)-(C8))))</f>
        <v>0.65518153715701</v>
      </c>
      <c r="D919" s="68">
        <f ca="1">(C9)+(E9-C9)*IF(RAND()&lt;((D9)-(C9))/((E9)-(C9)),SQRT(RAND()*((D9)-(C9))/((E9)-(C9))),1-SQRT(RAND()*((E9)-(D9))/((E9)-(C9))))</f>
        <v>1323931.2234051051</v>
      </c>
      <c r="E919" s="68">
        <f ca="1">(C10)+(E10-C10)*IF(RAND()&lt;((D10)-(C10))/((E10)-(C10)),SQRT(RAND()*((D10)-(C10))/((E10)-(C10))),1-SQRT(RAND()*((E10)-(D10))/((E10)-(C10))))</f>
        <v>3143874.5426154346</v>
      </c>
      <c r="F919" s="67">
        <f ca="1">(C11)+(E11-C11)*IF(RAND()&lt;((D11)-(C11))/((E11)-(C11)),SQRT(RAND()*((D11)-(C11))/((E11)-(C11))),1-SQRT(RAND()*((E11)-(D11))/((E11)-(C11))))</f>
        <v>2.7452574331794311E-2</v>
      </c>
      <c r="G919" s="67">
        <f ca="1">(C12)+(E12-C12)*IF(RAND()&lt;((D12)-(C12))/((E12)-(C12)),SQRT(RAND()*((D12)-(C12))/((E12)-(C12))),1-SQRT(RAND()*((E12)-(D12))/((E12)-(C12))))</f>
        <v>0.12212356067560645</v>
      </c>
      <c r="H919" s="68">
        <f t="shared" ca="1" si="28"/>
        <v>365477262.77144963</v>
      </c>
      <c r="I919" s="69">
        <f t="shared" ca="1" si="29"/>
        <v>365.43148623491476</v>
      </c>
    </row>
    <row r="920" spans="1:9" ht="16.05" customHeight="1" x14ac:dyDescent="0.3">
      <c r="A920" s="70">
        <v>904</v>
      </c>
      <c r="B920" s="71">
        <f ca="1">(C7)+(E7-C7)*IF(RAND()&lt;((D7)-(C7))/((E7)-(C7)),SQRT(RAND()*((D7)-(C7))/((E7)-(C7))),1-SQRT(RAND()*((E7)-(D7))/((E7)-(C7))))</f>
        <v>0.30721353116565608</v>
      </c>
      <c r="C920" s="71">
        <f ca="1">(C8)+(E8-C8)*IF(RAND()&lt;((D8)-(C8))/((E8)-(C8)),SQRT(RAND()*((D8)-(C8))/((E8)-(C8))),1-SQRT(RAND()*((E8)-(D8))/((E8)-(C8))))</f>
        <v>0.65296841359369406</v>
      </c>
      <c r="D920" s="72">
        <f ca="1">(C9)+(E9-C9)*IF(RAND()&lt;((D9)-(C9))/((E9)-(C9)),SQRT(RAND()*((D9)-(C9))/((E9)-(C9))),1-SQRT(RAND()*((E9)-(D9))/((E9)-(C9))))</f>
        <v>1159712.7169319605</v>
      </c>
      <c r="E920" s="72">
        <f ca="1">(C10)+(E10-C10)*IF(RAND()&lt;((D10)-(C10))/((E10)-(C10)),SQRT(RAND()*((D10)-(C10))/((E10)-(C10))),1-SQRT(RAND()*((E10)-(D10))/((E10)-(C10))))</f>
        <v>3788703.8827107656</v>
      </c>
      <c r="F920" s="71">
        <f ca="1">(C11)+(E11-C11)*IF(RAND()&lt;((D11)-(C11))/((E11)-(C11)),SQRT(RAND()*((D11)-(C11))/((E11)-(C11))),1-SQRT(RAND()*((E11)-(D11))/((E11)-(C11))))</f>
        <v>5.8438501724307678E-3</v>
      </c>
      <c r="G920" s="71">
        <f ca="1">(C12)+(E12-C12)*IF(RAND()&lt;((D12)-(C12))/((E12)-(C12)),SQRT(RAND()*((D12)-(C12))/((E12)-(C12))),1-SQRT(RAND()*((E12)-(D12))/((E12)-(C12))))</f>
        <v>0.13779158356254867</v>
      </c>
      <c r="H920" s="72">
        <f t="shared" ca="1" si="28"/>
        <v>244901761.24760714</v>
      </c>
      <c r="I920" s="73">
        <f t="shared" ca="1" si="29"/>
        <v>279.85550216353903</v>
      </c>
    </row>
    <row r="921" spans="1:9" ht="16.05" customHeight="1" x14ac:dyDescent="0.3">
      <c r="A921" s="66">
        <v>905</v>
      </c>
      <c r="B921" s="67">
        <f ca="1">(C7)+(E7-C7)*IF(RAND()&lt;((D7)-(C7))/((E7)-(C7)),SQRT(RAND()*((D7)-(C7))/((E7)-(C7))),1-SQRT(RAND()*((E7)-(D7))/((E7)-(C7))))</f>
        <v>0.26647175476639196</v>
      </c>
      <c r="C921" s="67">
        <f ca="1">(C8)+(E8-C8)*IF(RAND()&lt;((D8)-(C8))/((E8)-(C8)),SQRT(RAND()*((D8)-(C8))/((E8)-(C8))),1-SQRT(RAND()*((E8)-(D8))/((E8)-(C8))))</f>
        <v>0.82024021357059951</v>
      </c>
      <c r="D921" s="68">
        <f ca="1">(C9)+(E9-C9)*IF(RAND()&lt;((D9)-(C9))/((E9)-(C9)),SQRT(RAND()*((D9)-(C9))/((E9)-(C9))),1-SQRT(RAND()*((E9)-(D9))/((E9)-(C9))))</f>
        <v>1118753.4299160005</v>
      </c>
      <c r="E921" s="68">
        <f ca="1">(C10)+(E10-C10)*IF(RAND()&lt;((D10)-(C10))/((E10)-(C10)),SQRT(RAND()*((D10)-(C10))/((E10)-(C10))),1-SQRT(RAND()*((E10)-(D10))/((E10)-(C10))))</f>
        <v>4195509.0198626742</v>
      </c>
      <c r="F921" s="67">
        <f ca="1">(C11)+(E11-C11)*IF(RAND()&lt;((D11)-(C11))/((E11)-(C11)),SQRT(RAND()*((D11)-(C11))/((E11)-(C11))),1-SQRT(RAND()*((E11)-(D11))/((E11)-(C11))))</f>
        <v>6.2323517056788267E-3</v>
      </c>
      <c r="G921" s="67">
        <f ca="1">(C12)+(E12-C12)*IF(RAND()&lt;((D12)-(C12))/((E12)-(C12)),SQRT(RAND()*((D12)-(C12))/((E12)-(C12))),1-SQRT(RAND()*((E12)-(D12))/((E12)-(C12))))</f>
        <v>0.16914147994938467</v>
      </c>
      <c r="H921" s="68">
        <f t="shared" ca="1" si="28"/>
        <v>265755373.23030335</v>
      </c>
      <c r="I921" s="69">
        <f t="shared" ca="1" si="29"/>
        <v>314.63913503956599</v>
      </c>
    </row>
    <row r="922" spans="1:9" ht="16.05" customHeight="1" x14ac:dyDescent="0.3">
      <c r="A922" s="70">
        <v>906</v>
      </c>
      <c r="B922" s="71">
        <f ca="1">(C7)+(E7-C7)*IF(RAND()&lt;((D7)-(C7))/((E7)-(C7)),SQRT(RAND()*((D7)-(C7))/((E7)-(C7))),1-SQRT(RAND()*((E7)-(D7))/((E7)-(C7))))</f>
        <v>0.35764613758611785</v>
      </c>
      <c r="C922" s="71">
        <f ca="1">(C8)+(E8-C8)*IF(RAND()&lt;((D8)-(C8))/((E8)-(C8)),SQRT(RAND()*((D8)-(C8))/((E8)-(C8))),1-SQRT(RAND()*((E8)-(D8))/((E8)-(C8))))</f>
        <v>0.62758407305589592</v>
      </c>
      <c r="D922" s="72">
        <f ca="1">(C9)+(E9-C9)*IF(RAND()&lt;((D9)-(C9))/((E9)-(C9)),SQRT(RAND()*((D9)-(C9))/((E9)-(C9))),1-SQRT(RAND()*((E9)-(D9))/((E9)-(C9))))</f>
        <v>1219618.8321143948</v>
      </c>
      <c r="E922" s="72">
        <f ca="1">(C10)+(E10-C10)*IF(RAND()&lt;((D10)-(C10))/((E10)-(C10)),SQRT(RAND()*((D10)-(C10))/((E10)-(C10))),1-SQRT(RAND()*((E10)-(D10))/((E10)-(C10))))</f>
        <v>2795284.2329341834</v>
      </c>
      <c r="F922" s="71">
        <f ca="1">(C11)+(E11-C11)*IF(RAND()&lt;((D11)-(C11))/((E11)-(C11)),SQRT(RAND()*((D11)-(C11))/((E11)-(C11))),1-SQRT(RAND()*((E11)-(D11))/((E11)-(C11))))</f>
        <v>1.4656483645783022E-2</v>
      </c>
      <c r="G922" s="71">
        <f ca="1">(C12)+(E12-C12)*IF(RAND()&lt;((D12)-(C12))/((E12)-(C12)),SQRT(RAND()*((D12)-(C12))/((E12)-(C12))),1-SQRT(RAND()*((E12)-(D12))/((E12)-(C12))))</f>
        <v>0.13627977124022814</v>
      </c>
      <c r="H922" s="72">
        <f t="shared" ca="1" si="28"/>
        <v>338164506.53560048</v>
      </c>
      <c r="I922" s="73">
        <f t="shared" ca="1" si="29"/>
        <v>367.03548246512236</v>
      </c>
    </row>
    <row r="923" spans="1:9" ht="16.05" customHeight="1" x14ac:dyDescent="0.3">
      <c r="A923" s="66">
        <v>907</v>
      </c>
      <c r="B923" s="67">
        <f ca="1">(C7)+(E7-C7)*IF(RAND()&lt;((D7)-(C7))/((E7)-(C7)),SQRT(RAND()*((D7)-(C7))/((E7)-(C7))),1-SQRT(RAND()*((E7)-(D7))/((E7)-(C7))))</f>
        <v>0.26949574369134666</v>
      </c>
      <c r="C923" s="67">
        <f ca="1">(C8)+(E8-C8)*IF(RAND()&lt;((D8)-(C8))/((E8)-(C8)),SQRT(RAND()*((D8)-(C8))/((E8)-(C8))),1-SQRT(RAND()*((E8)-(D8))/((E8)-(C8))))</f>
        <v>0.63477405290053901</v>
      </c>
      <c r="D923" s="68">
        <f ca="1">(C9)+(E9-C9)*IF(RAND()&lt;((D9)-(C9))/((E9)-(C9)),SQRT(RAND()*((D9)-(C9))/((E9)-(C9))),1-SQRT(RAND()*((E9)-(D9))/((E9)-(C9))))</f>
        <v>1256281.2409204317</v>
      </c>
      <c r="E923" s="68">
        <f ca="1">(C10)+(E10-C10)*IF(RAND()&lt;((D10)-(C10))/((E10)-(C10)),SQRT(RAND()*((D10)-(C10))/((E10)-(C10))),1-SQRT(RAND()*((E10)-(D10))/((E10)-(C10))))</f>
        <v>3296155.5444753096</v>
      </c>
      <c r="F923" s="67">
        <f ca="1">(C11)+(E11-C11)*IF(RAND()&lt;((D11)-(C11))/((E11)-(C11)),SQRT(RAND()*((D11)-(C11))/((E11)-(C11))),1-SQRT(RAND()*((E11)-(D11))/((E11)-(C11))))</f>
        <v>1.1576339112031186E-2</v>
      </c>
      <c r="G923" s="67">
        <f ca="1">(C12)+(E12-C12)*IF(RAND()&lt;((D12)-(C12))/((E12)-(C12)),SQRT(RAND()*((D12)-(C12))/((E12)-(C12))),1-SQRT(RAND()*((E12)-(D12))/((E12)-(C12))))</f>
        <v>0.13833898936596306</v>
      </c>
      <c r="H923" s="68">
        <f t="shared" ca="1" si="28"/>
        <v>255918161.01740962</v>
      </c>
      <c r="I923" s="69">
        <f t="shared" ca="1" si="29"/>
        <v>270.01107627315912</v>
      </c>
    </row>
    <row r="924" spans="1:9" ht="16.05" customHeight="1" x14ac:dyDescent="0.3">
      <c r="A924" s="70">
        <v>908</v>
      </c>
      <c r="B924" s="71">
        <f ca="1">(C7)+(E7-C7)*IF(RAND()&lt;((D7)-(C7))/((E7)-(C7)),SQRT(RAND()*((D7)-(C7))/((E7)-(C7))),1-SQRT(RAND()*((E7)-(D7))/((E7)-(C7))))</f>
        <v>0.30722897382563674</v>
      </c>
      <c r="C924" s="71">
        <f ca="1">(C8)+(E8-C8)*IF(RAND()&lt;((D8)-(C8))/((E8)-(C8)),SQRT(RAND()*((D8)-(C8))/((E8)-(C8))),1-SQRT(RAND()*((E8)-(D8))/((E8)-(C8))))</f>
        <v>0.59940757592795146</v>
      </c>
      <c r="D924" s="72">
        <f ca="1">(C9)+(E9-C9)*IF(RAND()&lt;((D9)-(C9))/((E9)-(C9)),SQRT(RAND()*((D9)-(C9))/((E9)-(C9))),1-SQRT(RAND()*((E9)-(D9))/((E9)-(C9))))</f>
        <v>1197742.689298487</v>
      </c>
      <c r="E924" s="72">
        <f ca="1">(C10)+(E10-C10)*IF(RAND()&lt;((D10)-(C10))/((E10)-(C10)),SQRT(RAND()*((D10)-(C10))/((E10)-(C10))),1-SQRT(RAND()*((E10)-(D10))/((E10)-(C10))))</f>
        <v>2499204.566466263</v>
      </c>
      <c r="F924" s="71">
        <f ca="1">(C11)+(E11-C11)*IF(RAND()&lt;((D11)-(C11))/((E11)-(C11)),SQRT(RAND()*((D11)-(C11))/((E11)-(C11))),1-SQRT(RAND()*((E11)-(D11))/((E11)-(C11))))</f>
        <v>9.6918566729937549E-3</v>
      </c>
      <c r="G924" s="71">
        <f ca="1">(C12)+(E12-C12)*IF(RAND()&lt;((D12)-(C12))/((E12)-(C12)),SQRT(RAND()*((D12)-(C12))/((E12)-(C12))),1-SQRT(RAND()*((E12)-(D12))/((E12)-(C12))))</f>
        <v>0.13189723536479375</v>
      </c>
      <c r="H924" s="72">
        <f t="shared" ca="1" si="28"/>
        <v>259633720.90312418</v>
      </c>
      <c r="I924" s="73">
        <f t="shared" ca="1" si="29"/>
        <v>287.23482774078627</v>
      </c>
    </row>
    <row r="925" spans="1:9" ht="16.05" customHeight="1" x14ac:dyDescent="0.3">
      <c r="A925" s="66">
        <v>909</v>
      </c>
      <c r="B925" s="67">
        <f ca="1">(C7)+(E7-C7)*IF(RAND()&lt;((D7)-(C7))/((E7)-(C7)),SQRT(RAND()*((D7)-(C7))/((E7)-(C7))),1-SQRT(RAND()*((E7)-(D7))/((E7)-(C7))))</f>
        <v>0.30238066682760478</v>
      </c>
      <c r="C925" s="67">
        <f ca="1">(C8)+(E8-C8)*IF(RAND()&lt;((D8)-(C8))/((E8)-(C8)),SQRT(RAND()*((D8)-(C8))/((E8)-(C8))),1-SQRT(RAND()*((E8)-(D8))/((E8)-(C8))))</f>
        <v>0.74134413258157905</v>
      </c>
      <c r="D925" s="68">
        <f ca="1">(C9)+(E9-C9)*IF(RAND()&lt;((D9)-(C9))/((E9)-(C9)),SQRT(RAND()*((D9)-(C9))/((E9)-(C9))),1-SQRT(RAND()*((E9)-(D9))/((E9)-(C9))))</f>
        <v>1187471.4017527283</v>
      </c>
      <c r="E925" s="68">
        <f ca="1">(C10)+(E10-C10)*IF(RAND()&lt;((D10)-(C10))/((E10)-(C10)),SQRT(RAND()*((D10)-(C10))/((E10)-(C10))),1-SQRT(RAND()*((E10)-(D10))/((E10)-(C10))))</f>
        <v>3722001.8239054726</v>
      </c>
      <c r="F925" s="67">
        <f ca="1">(C11)+(E11-C11)*IF(RAND()&lt;((D11)-(C11))/((E11)-(C11)),SQRT(RAND()*((D11)-(C11))/((E11)-(C11))),1-SQRT(RAND()*((E11)-(D11))/((E11)-(C11))))</f>
        <v>1.1556775637526396E-2</v>
      </c>
      <c r="G925" s="67">
        <f ca="1">(C12)+(E12-C12)*IF(RAND()&lt;((D12)-(C12))/((E12)-(C12)),SQRT(RAND()*((D12)-(C12))/((E12)-(C12))),1-SQRT(RAND()*((E12)-(D12))/((E12)-(C12))))</f>
        <v>0.17924249244309509</v>
      </c>
      <c r="H925" s="68">
        <f t="shared" ca="1" si="28"/>
        <v>312001088.84378475</v>
      </c>
      <c r="I925" s="69">
        <f t="shared" ca="1" si="29"/>
        <v>347.87512812754886</v>
      </c>
    </row>
    <row r="926" spans="1:9" ht="16.05" customHeight="1" x14ac:dyDescent="0.3">
      <c r="A926" s="70">
        <v>910</v>
      </c>
      <c r="B926" s="71">
        <f ca="1">(C7)+(E7-C7)*IF(RAND()&lt;((D7)-(C7))/((E7)-(C7)),SQRT(RAND()*((D7)-(C7))/((E7)-(C7))),1-SQRT(RAND()*((E7)-(D7))/((E7)-(C7))))</f>
        <v>0.24371378110788311</v>
      </c>
      <c r="C926" s="71">
        <f ca="1">(C8)+(E8-C8)*IF(RAND()&lt;((D8)-(C8))/((E8)-(C8)),SQRT(RAND()*((D8)-(C8))/((E8)-(C8))),1-SQRT(RAND()*((E8)-(D8))/((E8)-(C8))))</f>
        <v>0.70403391253833725</v>
      </c>
      <c r="D926" s="72">
        <f ca="1">(C9)+(E9-C9)*IF(RAND()&lt;((D9)-(C9))/((E9)-(C9)),SQRT(RAND()*((D9)-(C9))/((E9)-(C9))),1-SQRT(RAND()*((E9)-(D9))/((E9)-(C9))))</f>
        <v>1148860.8466459352</v>
      </c>
      <c r="E926" s="72">
        <f ca="1">(C10)+(E10-C10)*IF(RAND()&lt;((D10)-(C10))/((E10)-(C10)),SQRT(RAND()*((D10)-(C10))/((E10)-(C10))),1-SQRT(RAND()*((E10)-(D10))/((E10)-(C10))))</f>
        <v>3200441.7438472174</v>
      </c>
      <c r="F926" s="71">
        <f ca="1">(C11)+(E11-C11)*IF(RAND()&lt;((D11)-(C11))/((E11)-(C11)),SQRT(RAND()*((D11)-(C11))/((E11)-(C11))),1-SQRT(RAND()*((E11)-(D11))/((E11)-(C11))))</f>
        <v>2.1830125434811457E-2</v>
      </c>
      <c r="G926" s="71">
        <f ca="1">(C12)+(E12-C12)*IF(RAND()&lt;((D12)-(C12))/((E12)-(C12)),SQRT(RAND()*((D12)-(C12))/((E12)-(C12))),1-SQRT(RAND()*((E12)-(D12))/((E12)-(C12))))</f>
        <v>0.13565286561893802</v>
      </c>
      <c r="H926" s="72">
        <f t="shared" ca="1" si="28"/>
        <v>330955793.47710282</v>
      </c>
      <c r="I926" s="73">
        <f t="shared" ca="1" si="29"/>
        <v>381.283649044985</v>
      </c>
    </row>
    <row r="927" spans="1:9" ht="16.05" customHeight="1" x14ac:dyDescent="0.3">
      <c r="A927" s="66">
        <v>911</v>
      </c>
      <c r="B927" s="67">
        <f ca="1">(C7)+(E7-C7)*IF(RAND()&lt;((D7)-(C7))/((E7)-(C7)),SQRT(RAND()*((D7)-(C7))/((E7)-(C7))),1-SQRT(RAND()*((E7)-(D7))/((E7)-(C7))))</f>
        <v>0.28172220552024646</v>
      </c>
      <c r="C927" s="67">
        <f ca="1">(C8)+(E8-C8)*IF(RAND()&lt;((D8)-(C8))/((E8)-(C8)),SQRT(RAND()*((D8)-(C8))/((E8)-(C8))),1-SQRT(RAND()*((E8)-(D8))/((E8)-(C8))))</f>
        <v>0.64150032962841264</v>
      </c>
      <c r="D927" s="68">
        <f ca="1">(C9)+(E9-C9)*IF(RAND()&lt;((D9)-(C9))/((E9)-(C9)),SQRT(RAND()*((D9)-(C9))/((E9)-(C9))),1-SQRT(RAND()*((E9)-(D9))/((E9)-(C9))))</f>
        <v>1234162.3624505922</v>
      </c>
      <c r="E927" s="68">
        <f ca="1">(C10)+(E10-C10)*IF(RAND()&lt;((D10)-(C10))/((E10)-(C10)),SQRT(RAND()*((D10)-(C10))/((E10)-(C10))),1-SQRT(RAND()*((E10)-(D10))/((E10)-(C10))))</f>
        <v>3264097.3720827079</v>
      </c>
      <c r="F927" s="67">
        <f ca="1">(C11)+(E11-C11)*IF(RAND()&lt;((D11)-(C11))/((E11)-(C11)),SQRT(RAND()*((D11)-(C11))/((E11)-(C11))),1-SQRT(RAND()*((E11)-(D11))/((E11)-(C11))))</f>
        <v>1.5485094237823285E-2</v>
      </c>
      <c r="G927" s="67">
        <f ca="1">(C12)+(E12-C12)*IF(RAND()&lt;((D12)-(C12))/((E12)-(C12)),SQRT(RAND()*((D12)-(C12))/((E12)-(C12))),1-SQRT(RAND()*((E12)-(D12))/((E12)-(C12))))</f>
        <v>0.12870148089858441</v>
      </c>
      <c r="H927" s="68">
        <f t="shared" ca="1" si="28"/>
        <v>294779145.24298465</v>
      </c>
      <c r="I927" s="69">
        <f t="shared" ca="1" si="29"/>
        <v>316.35855704180062</v>
      </c>
    </row>
    <row r="928" spans="1:9" ht="16.05" customHeight="1" x14ac:dyDescent="0.3">
      <c r="A928" s="70">
        <v>912</v>
      </c>
      <c r="B928" s="71">
        <f ca="1">(C7)+(E7-C7)*IF(RAND()&lt;((D7)-(C7))/((E7)-(C7)),SQRT(RAND()*((D7)-(C7))/((E7)-(C7))),1-SQRT(RAND()*((E7)-(D7))/((E7)-(C7))))</f>
        <v>0.27491664347200745</v>
      </c>
      <c r="C928" s="71">
        <f ca="1">(C8)+(E8-C8)*IF(RAND()&lt;((D8)-(C8))/((E8)-(C8)),SQRT(RAND()*((D8)-(C8))/((E8)-(C8))),1-SQRT(RAND()*((E8)-(D8))/((E8)-(C8))))</f>
        <v>0.73349598151899864</v>
      </c>
      <c r="D928" s="72">
        <f ca="1">(C9)+(E9-C9)*IF(RAND()&lt;((D9)-(C9))/((E9)-(C9)),SQRT(RAND()*((D9)-(C9))/((E9)-(C9))),1-SQRT(RAND()*((E9)-(D9))/((E9)-(C9))))</f>
        <v>1259735.8481295388</v>
      </c>
      <c r="E928" s="72">
        <f ca="1">(C10)+(E10-C10)*IF(RAND()&lt;((D10)-(C10))/((E10)-(C10)),SQRT(RAND()*((D10)-(C10))/((E10)-(C10))),1-SQRT(RAND()*((E10)-(D10))/((E10)-(C10))))</f>
        <v>3412310.5029995032</v>
      </c>
      <c r="F928" s="71">
        <f ca="1">(C11)+(E11-C11)*IF(RAND()&lt;((D11)-(C11))/((E11)-(C11)),SQRT(RAND()*((D11)-(C11))/((E11)-(C11))),1-SQRT(RAND()*((E11)-(D11))/((E11)-(C11))))</f>
        <v>8.9569031640399123E-3</v>
      </c>
      <c r="G928" s="71">
        <f ca="1">(C12)+(E12-C12)*IF(RAND()&lt;((D12)-(C12))/((E12)-(C12)),SQRT(RAND()*((D12)-(C12))/((E12)-(C12))),1-SQRT(RAND()*((E12)-(D12))/((E12)-(C12))))</f>
        <v>0.17066787469386677</v>
      </c>
      <c r="H928" s="72">
        <f t="shared" ca="1" si="28"/>
        <v>269839349.65332448</v>
      </c>
      <c r="I928" s="73">
        <f t="shared" ca="1" si="29"/>
        <v>283.8502052125807</v>
      </c>
    </row>
    <row r="929" spans="1:9" ht="16.05" customHeight="1" x14ac:dyDescent="0.3">
      <c r="A929" s="66">
        <v>913</v>
      </c>
      <c r="B929" s="67">
        <f ca="1">(C7)+(E7-C7)*IF(RAND()&lt;((D7)-(C7))/((E7)-(C7)),SQRT(RAND()*((D7)-(C7))/((E7)-(C7))),1-SQRT(RAND()*((E7)-(D7))/((E7)-(C7))))</f>
        <v>0.29507474840432807</v>
      </c>
      <c r="C929" s="67">
        <f ca="1">(C8)+(E8-C8)*IF(RAND()&lt;((D8)-(C8))/((E8)-(C8)),SQRT(RAND()*((D8)-(C8))/((E8)-(C8))),1-SQRT(RAND()*((E8)-(D8))/((E8)-(C8))))</f>
        <v>0.7229393063763524</v>
      </c>
      <c r="D929" s="68">
        <f ca="1">(C9)+(E9-C9)*IF(RAND()&lt;((D9)-(C9))/((E9)-(C9)),SQRT(RAND()*((D9)-(C9))/((E9)-(C9))),1-SQRT(RAND()*((E9)-(D9))/((E9)-(C9))))</f>
        <v>1354524.1620100392</v>
      </c>
      <c r="E929" s="68">
        <f ca="1">(C10)+(E10-C10)*IF(RAND()&lt;((D10)-(C10))/((E10)-(C10)),SQRT(RAND()*((D10)-(C10))/((E10)-(C10))),1-SQRT(RAND()*((E10)-(D10))/((E10)-(C10))))</f>
        <v>4004633.9076649225</v>
      </c>
      <c r="F929" s="67">
        <f ca="1">(C11)+(E11-C11)*IF(RAND()&lt;((D11)-(C11))/((E11)-(C11)),SQRT(RAND()*((D11)-(C11))/((E11)-(C11))),1-SQRT(RAND()*((E11)-(D11))/((E11)-(C11))))</f>
        <v>1.1352296180336298E-2</v>
      </c>
      <c r="G929" s="67">
        <f ca="1">(C12)+(E12-C12)*IF(RAND()&lt;((D12)-(C12))/((E12)-(C12)),SQRT(RAND()*((D12)-(C12))/((E12)-(C12))),1-SQRT(RAND()*((E12)-(D12))/((E12)-(C12))))</f>
        <v>0.17134232579669478</v>
      </c>
      <c r="H929" s="68">
        <f t="shared" ca="1" si="28"/>
        <v>297485719.58537608</v>
      </c>
      <c r="I929" s="69">
        <f t="shared" ca="1" si="29"/>
        <v>290.9999897811486</v>
      </c>
    </row>
    <row r="930" spans="1:9" ht="16.05" customHeight="1" x14ac:dyDescent="0.3">
      <c r="A930" s="70">
        <v>914</v>
      </c>
      <c r="B930" s="71">
        <f ca="1">(C7)+(E7-C7)*IF(RAND()&lt;((D7)-(C7))/((E7)-(C7)),SQRT(RAND()*((D7)-(C7))/((E7)-(C7))),1-SQRT(RAND()*((E7)-(D7))/((E7)-(C7))))</f>
        <v>0.23397055813060319</v>
      </c>
      <c r="C930" s="71">
        <f ca="1">(C8)+(E8-C8)*IF(RAND()&lt;((D8)-(C8))/((E8)-(C8)),SQRT(RAND()*((D8)-(C8))/((E8)-(C8))),1-SQRT(RAND()*((E8)-(D8))/((E8)-(C8))))</f>
        <v>0.67005389253955194</v>
      </c>
      <c r="D930" s="72">
        <f ca="1">(C9)+(E9-C9)*IF(RAND()&lt;((D9)-(C9))/((E9)-(C9)),SQRT(RAND()*((D9)-(C9))/((E9)-(C9))),1-SQRT(RAND()*((E9)-(D9))/((E9)-(C9))))</f>
        <v>1154255.0864492278</v>
      </c>
      <c r="E930" s="72">
        <f ca="1">(C10)+(E10-C10)*IF(RAND()&lt;((D10)-(C10))/((E10)-(C10)),SQRT(RAND()*((D10)-(C10))/((E10)-(C10))),1-SQRT(RAND()*((E10)-(D10))/((E10)-(C10))))</f>
        <v>4111574.3785521053</v>
      </c>
      <c r="F930" s="71">
        <f ca="1">(C11)+(E11-C11)*IF(RAND()&lt;((D11)-(C11))/((E11)-(C11)),SQRT(RAND()*((D11)-(C11))/((E11)-(C11))),1-SQRT(RAND()*((E11)-(D11))/((E11)-(C11))))</f>
        <v>2.1102844600218038E-2</v>
      </c>
      <c r="G930" s="71">
        <f ca="1">(C12)+(E12-C12)*IF(RAND()&lt;((D12)-(C12))/((E12)-(C12)),SQRT(RAND()*((D12)-(C12))/((E12)-(C12))),1-SQRT(RAND()*((E12)-(D12))/((E12)-(C12))))</f>
        <v>0.16450245041060035</v>
      </c>
      <c r="H930" s="72">
        <f t="shared" ca="1" si="28"/>
        <v>306134726.51704991</v>
      </c>
      <c r="I930" s="73">
        <f t="shared" ca="1" si="29"/>
        <v>351.14447479868892</v>
      </c>
    </row>
    <row r="931" spans="1:9" ht="16.05" customHeight="1" x14ac:dyDescent="0.3">
      <c r="A931" s="66">
        <v>915</v>
      </c>
      <c r="B931" s="67">
        <f ca="1">(C7)+(E7-C7)*IF(RAND()&lt;((D7)-(C7))/((E7)-(C7)),SQRT(RAND()*((D7)-(C7))/((E7)-(C7))),1-SQRT(RAND()*((E7)-(D7))/((E7)-(C7))))</f>
        <v>0.16737557777168613</v>
      </c>
      <c r="C931" s="67">
        <f ca="1">(C8)+(E8-C8)*IF(RAND()&lt;((D8)-(C8))/((E8)-(C8)),SQRT(RAND()*((D8)-(C8))/((E8)-(C8))),1-SQRT(RAND()*((E8)-(D8))/((E8)-(C8))))</f>
        <v>0.74585663793573054</v>
      </c>
      <c r="D931" s="68">
        <f ca="1">(C9)+(E9-C9)*IF(RAND()&lt;((D9)-(C9))/((E9)-(C9)),SQRT(RAND()*((D9)-(C9))/((E9)-(C9))),1-SQRT(RAND()*((E9)-(D9))/((E9)-(C9))))</f>
        <v>1213939.9518972258</v>
      </c>
      <c r="E931" s="68">
        <f ca="1">(C10)+(E10-C10)*IF(RAND()&lt;((D10)-(C10))/((E10)-(C10)),SQRT(RAND()*((D10)-(C10))/((E10)-(C10))),1-SQRT(RAND()*((E10)-(D10))/((E10)-(C10))))</f>
        <v>3240825.9344657538</v>
      </c>
      <c r="F931" s="67">
        <f ca="1">(C11)+(E11-C11)*IF(RAND()&lt;((D11)-(C11))/((E11)-(C11)),SQRT(RAND()*((D11)-(C11))/((E11)-(C11))),1-SQRT(RAND()*((E11)-(D11))/((E11)-(C11))))</f>
        <v>7.6056667255611152E-3</v>
      </c>
      <c r="G931" s="67">
        <f ca="1">(C12)+(E12-C12)*IF(RAND()&lt;((D12)-(C12))/((E12)-(C12)),SQRT(RAND()*((D12)-(C12))/((E12)-(C12))),1-SQRT(RAND()*((E12)-(D12))/((E12)-(C12))))</f>
        <v>0.17453794777212228</v>
      </c>
      <c r="H931" s="68">
        <f t="shared" ca="1" si="28"/>
        <v>177214309.88497856</v>
      </c>
      <c r="I931" s="69">
        <f t="shared" ca="1" si="29"/>
        <v>193.86841472686032</v>
      </c>
    </row>
    <row r="932" spans="1:9" ht="16.05" customHeight="1" x14ac:dyDescent="0.3">
      <c r="A932" s="70">
        <v>916</v>
      </c>
      <c r="B932" s="71">
        <f ca="1">(C7)+(E7-C7)*IF(RAND()&lt;((D7)-(C7))/((E7)-(C7)),SQRT(RAND()*((D7)-(C7))/((E7)-(C7))),1-SQRT(RAND()*((E7)-(D7))/((E7)-(C7))))</f>
        <v>0.27062624484253917</v>
      </c>
      <c r="C932" s="71">
        <f ca="1">(C8)+(E8-C8)*IF(RAND()&lt;((D8)-(C8))/((E8)-(C8)),SQRT(RAND()*((D8)-(C8))/((E8)-(C8))),1-SQRT(RAND()*((E8)-(D8))/((E8)-(C8))))</f>
        <v>0.597044681734476</v>
      </c>
      <c r="D932" s="72">
        <f ca="1">(C9)+(E9-C9)*IF(RAND()&lt;((D9)-(C9))/((E9)-(C9)),SQRT(RAND()*((D9)-(C9))/((E9)-(C9))),1-SQRT(RAND()*((E9)-(D9))/((E9)-(C9))))</f>
        <v>1264280.3950227783</v>
      </c>
      <c r="E932" s="72">
        <f ca="1">(C10)+(E10-C10)*IF(RAND()&lt;((D10)-(C10))/((E10)-(C10)),SQRT(RAND()*((D10)-(C10))/((E10)-(C10))),1-SQRT(RAND()*((E10)-(D10))/((E10)-(C10))))</f>
        <v>2922142.7547726836</v>
      </c>
      <c r="F932" s="71">
        <f ca="1">(C11)+(E11-C11)*IF(RAND()&lt;((D11)-(C11))/((E11)-(C11)),SQRT(RAND()*((D11)-(C11))/((E11)-(C11))),1-SQRT(RAND()*((E11)-(D11))/((E11)-(C11))))</f>
        <v>8.6563182126422385E-3</v>
      </c>
      <c r="G932" s="71">
        <f ca="1">(C12)+(E12-C12)*IF(RAND()&lt;((D12)-(C12))/((E12)-(C12)),SQRT(RAND()*((D12)-(C12))/((E12)-(C12))),1-SQRT(RAND()*((E12)-(D12))/((E12)-(C12))))</f>
        <v>0.16904032756921533</v>
      </c>
      <c r="H932" s="72">
        <f t="shared" ca="1" si="28"/>
        <v>225924347.506089</v>
      </c>
      <c r="I932" s="73">
        <f t="shared" ca="1" si="29"/>
        <v>237.01936667478054</v>
      </c>
    </row>
    <row r="933" spans="1:9" ht="16.05" customHeight="1" x14ac:dyDescent="0.3">
      <c r="A933" s="66">
        <v>917</v>
      </c>
      <c r="B933" s="67">
        <f ca="1">(C7)+(E7-C7)*IF(RAND()&lt;((D7)-(C7))/((E7)-(C7)),SQRT(RAND()*((D7)-(C7))/((E7)-(C7))),1-SQRT(RAND()*((E7)-(D7))/((E7)-(C7))))</f>
        <v>0.27021207217985421</v>
      </c>
      <c r="C933" s="67">
        <f ca="1">(C8)+(E8-C8)*IF(RAND()&lt;((D8)-(C8))/((E8)-(C8)),SQRT(RAND()*((D8)-(C8))/((E8)-(C8))),1-SQRT(RAND()*((E8)-(D8))/((E8)-(C8))))</f>
        <v>0.67085540013348344</v>
      </c>
      <c r="D933" s="68">
        <f ca="1">(C9)+(E9-C9)*IF(RAND()&lt;((D9)-(C9))/((E9)-(C9)),SQRT(RAND()*((D9)-(C9))/((E9)-(C9))),1-SQRT(RAND()*((E9)-(D9))/((E9)-(C9))))</f>
        <v>1320135.707239487</v>
      </c>
      <c r="E933" s="68">
        <f ca="1">(C10)+(E10-C10)*IF(RAND()&lt;((D10)-(C10))/((E10)-(C10)),SQRT(RAND()*((D10)-(C10))/((E10)-(C10))),1-SQRT(RAND()*((E10)-(D10))/((E10)-(C10))))</f>
        <v>3031864.0956213372</v>
      </c>
      <c r="F933" s="67">
        <f ca="1">(C11)+(E11-C11)*IF(RAND()&lt;((D11)-(C11))/((E11)-(C11)),SQRT(RAND()*((D11)-(C11))/((E11)-(C11))),1-SQRT(RAND()*((E11)-(D11))/((E11)-(C11))))</f>
        <v>1.2750198961871132E-2</v>
      </c>
      <c r="G933" s="67">
        <f ca="1">(C12)+(E12-C12)*IF(RAND()&lt;((D12)-(C12))/((E12)-(C12)),SQRT(RAND()*((D12)-(C12))/((E12)-(C12))),1-SQRT(RAND()*((E12)-(D12))/((E12)-(C12))))</f>
        <v>0.13275754890975805</v>
      </c>
      <c r="H933" s="68">
        <f t="shared" ca="1" si="28"/>
        <v>276430549.72968709</v>
      </c>
      <c r="I933" s="69">
        <f t="shared" ca="1" si="29"/>
        <v>277.50908753346448</v>
      </c>
    </row>
    <row r="934" spans="1:9" ht="16.05" customHeight="1" x14ac:dyDescent="0.3">
      <c r="A934" s="70">
        <v>918</v>
      </c>
      <c r="B934" s="71">
        <f ca="1">(C7)+(E7-C7)*IF(RAND()&lt;((D7)-(C7))/((E7)-(C7)),SQRT(RAND()*((D7)-(C7))/((E7)-(C7))),1-SQRT(RAND()*((E7)-(D7))/((E7)-(C7))))</f>
        <v>0.27264403434780693</v>
      </c>
      <c r="C934" s="71">
        <f ca="1">(C8)+(E8-C8)*IF(RAND()&lt;((D8)-(C8))/((E8)-(C8)),SQRT(RAND()*((D8)-(C8))/((E8)-(C8))),1-SQRT(RAND()*((E8)-(D8))/((E8)-(C8))))</f>
        <v>0.74760811367881286</v>
      </c>
      <c r="D934" s="72">
        <f ca="1">(C9)+(E9-C9)*IF(RAND()&lt;((D9)-(C9))/((E9)-(C9)),SQRT(RAND()*((D9)-(C9))/((E9)-(C9))),1-SQRT(RAND()*((E9)-(D9))/((E9)-(C9))))</f>
        <v>1214376.2203081986</v>
      </c>
      <c r="E934" s="72">
        <f ca="1">(C10)+(E10-C10)*IF(RAND()&lt;((D10)-(C10))/((E10)-(C10)),SQRT(RAND()*((D10)-(C10))/((E10)-(C10))),1-SQRT(RAND()*((E10)-(D10))/((E10)-(C10))))</f>
        <v>2645714.2276256289</v>
      </c>
      <c r="F934" s="71">
        <f ca="1">(C11)+(E11-C11)*IF(RAND()&lt;((D11)-(C11))/((E11)-(C11)),SQRT(RAND()*((D11)-(C11))/((E11)-(C11))),1-SQRT(RAND()*((E11)-(D11))/((E11)-(C11))))</f>
        <v>2.2611763910696272E-2</v>
      </c>
      <c r="G934" s="71">
        <f ca="1">(C12)+(E12-C12)*IF(RAND()&lt;((D12)-(C12))/((E12)-(C12)),SQRT(RAND()*((D12)-(C12))/((E12)-(C12))),1-SQRT(RAND()*((E12)-(D12))/((E12)-(C12))))</f>
        <v>0.1518759780249424</v>
      </c>
      <c r="H934" s="72">
        <f t="shared" ca="1" si="28"/>
        <v>373719266.16629791</v>
      </c>
      <c r="I934" s="73">
        <f t="shared" ca="1" si="29"/>
        <v>407.23191327677239</v>
      </c>
    </row>
    <row r="935" spans="1:9" ht="16.05" customHeight="1" x14ac:dyDescent="0.3">
      <c r="A935" s="66">
        <v>919</v>
      </c>
      <c r="B935" s="67">
        <f ca="1">(C7)+(E7-C7)*IF(RAND()&lt;((D7)-(C7))/((E7)-(C7)),SQRT(RAND()*((D7)-(C7))/((E7)-(C7))),1-SQRT(RAND()*((E7)-(D7))/((E7)-(C7))))</f>
        <v>0.23423327003277825</v>
      </c>
      <c r="C935" s="67">
        <f ca="1">(C8)+(E8-C8)*IF(RAND()&lt;((D8)-(C8))/((E8)-(C8)),SQRT(RAND()*((D8)-(C8))/((E8)-(C8))),1-SQRT(RAND()*((E8)-(D8))/((E8)-(C8))))</f>
        <v>0.71599964073185018</v>
      </c>
      <c r="D935" s="68">
        <f ca="1">(C9)+(E9-C9)*IF(RAND()&lt;((D9)-(C9))/((E9)-(C9)),SQRT(RAND()*((D9)-(C9))/((E9)-(C9))),1-SQRT(RAND()*((E9)-(D9))/((E9)-(C9))))</f>
        <v>1269703.8477985575</v>
      </c>
      <c r="E935" s="68">
        <f ca="1">(C10)+(E10-C10)*IF(RAND()&lt;((D10)-(C10))/((E10)-(C10)),SQRT(RAND()*((D10)-(C10))/((E10)-(C10))),1-SQRT(RAND()*((E10)-(D10))/((E10)-(C10))))</f>
        <v>5118297.6197205642</v>
      </c>
      <c r="F935" s="67">
        <f ca="1">(C11)+(E11-C11)*IF(RAND()&lt;((D11)-(C11))/((E11)-(C11)),SQRT(RAND()*((D11)-(C11))/((E11)-(C11))),1-SQRT(RAND()*((E11)-(D11))/((E11)-(C11))))</f>
        <v>2.2891025121505194E-2</v>
      </c>
      <c r="G935" s="67">
        <f ca="1">(C12)+(E12-C12)*IF(RAND()&lt;((D12)-(C12))/((E12)-(C12)),SQRT(RAND()*((D12)-(C12))/((E12)-(C12))),1-SQRT(RAND()*((E12)-(D12))/((E12)-(C12))))</f>
        <v>0.17086487884729051</v>
      </c>
      <c r="H935" s="68">
        <f t="shared" ca="1" si="28"/>
        <v>327009599.368137</v>
      </c>
      <c r="I935" s="69">
        <f t="shared" ca="1" si="29"/>
        <v>341.02146471228684</v>
      </c>
    </row>
    <row r="936" spans="1:9" ht="16.05" customHeight="1" x14ac:dyDescent="0.3">
      <c r="A936" s="70">
        <v>920</v>
      </c>
      <c r="B936" s="71">
        <f ca="1">(C7)+(E7-C7)*IF(RAND()&lt;((D7)-(C7))/((E7)-(C7)),SQRT(RAND()*((D7)-(C7))/((E7)-(C7))),1-SQRT(RAND()*((E7)-(D7))/((E7)-(C7))))</f>
        <v>0.23104417640105046</v>
      </c>
      <c r="C936" s="71">
        <f ca="1">(C8)+(E8-C8)*IF(RAND()&lt;((D8)-(C8))/((E8)-(C8)),SQRT(RAND()*((D8)-(C8))/((E8)-(C8))),1-SQRT(RAND()*((E8)-(D8))/((E8)-(C8))))</f>
        <v>0.82036770508437851</v>
      </c>
      <c r="D936" s="72">
        <f ca="1">(C9)+(E9-C9)*IF(RAND()&lt;((D9)-(C9))/((E9)-(C9)),SQRT(RAND()*((D9)-(C9))/((E9)-(C9))),1-SQRT(RAND()*((E9)-(D9))/((E9)-(C9))))</f>
        <v>1440958.7792913215</v>
      </c>
      <c r="E936" s="72">
        <f ca="1">(C10)+(E10-C10)*IF(RAND()&lt;((D10)-(C10))/((E10)-(C10)),SQRT(RAND()*((D10)-(C10))/((E10)-(C10))),1-SQRT(RAND()*((E10)-(D10))/((E10)-(C10))))</f>
        <v>3452501.8179034973</v>
      </c>
      <c r="F936" s="71">
        <f ca="1">(C11)+(E11-C11)*IF(RAND()&lt;((D11)-(C11))/((E11)-(C11)),SQRT(RAND()*((D11)-(C11))/((E11)-(C11))),1-SQRT(RAND()*((E11)-(D11))/((E11)-(C11))))</f>
        <v>2.0751090041736531E-2</v>
      </c>
      <c r="G936" s="71">
        <f ca="1">(C12)+(E12-C12)*IF(RAND()&lt;((D12)-(C12))/((E12)-(C12)),SQRT(RAND()*((D12)-(C12))/((E12)-(C12))),1-SQRT(RAND()*((E12)-(D12))/((E12)-(C12))))</f>
        <v>0.12392113519549654</v>
      </c>
      <c r="H936" s="72">
        <f t="shared" ca="1" si="28"/>
        <v>341458041.73141646</v>
      </c>
      <c r="I936" s="73">
        <f t="shared" ca="1" si="29"/>
        <v>313.87397683314686</v>
      </c>
    </row>
    <row r="937" spans="1:9" ht="16.05" customHeight="1" x14ac:dyDescent="0.3">
      <c r="A937" s="66">
        <v>921</v>
      </c>
      <c r="B937" s="67">
        <f ca="1">(C7)+(E7-C7)*IF(RAND()&lt;((D7)-(C7))/((E7)-(C7)),SQRT(RAND()*((D7)-(C7))/((E7)-(C7))),1-SQRT(RAND()*((E7)-(D7))/((E7)-(C7))))</f>
        <v>0.26299165282693848</v>
      </c>
      <c r="C937" s="67">
        <f ca="1">(C8)+(E8-C8)*IF(RAND()&lt;((D8)-(C8))/((E8)-(C8)),SQRT(RAND()*((D8)-(C8))/((E8)-(C8))),1-SQRT(RAND()*((E8)-(D8))/((E8)-(C8))))</f>
        <v>0.68612740580892684</v>
      </c>
      <c r="D937" s="68">
        <f ca="1">(C9)+(E9-C9)*IF(RAND()&lt;((D9)-(C9))/((E9)-(C9)),SQRT(RAND()*((D9)-(C9))/((E9)-(C9))),1-SQRT(RAND()*((E9)-(D9))/((E9)-(C9))))</f>
        <v>1273648.299960301</v>
      </c>
      <c r="E937" s="68">
        <f ca="1">(C10)+(E10-C10)*IF(RAND()&lt;((D10)-(C10))/((E10)-(C10)),SQRT(RAND()*((D10)-(C10))/((E10)-(C10))),1-SQRT(RAND()*((E10)-(D10))/((E10)-(C10))))</f>
        <v>3531061.1878582453</v>
      </c>
      <c r="F937" s="67">
        <f ca="1">(C11)+(E11-C11)*IF(RAND()&lt;((D11)-(C11))/((E11)-(C11)),SQRT(RAND()*((D11)-(C11))/((E11)-(C11))),1-SQRT(RAND()*((E11)-(D11))/((E11)-(C11))))</f>
        <v>2.6567295070005333E-2</v>
      </c>
      <c r="G937" s="67">
        <f ca="1">(C12)+(E12-C12)*IF(RAND()&lt;((D12)-(C12))/((E12)-(C12)),SQRT(RAND()*((D12)-(C12))/((E12)-(C12))),1-SQRT(RAND()*((E12)-(D12))/((E12)-(C12))))</f>
        <v>0.15268340195202176</v>
      </c>
      <c r="H937" s="68">
        <f t="shared" ca="1" si="28"/>
        <v>373411535.6986559</v>
      </c>
      <c r="I937" s="69">
        <f t="shared" ca="1" si="29"/>
        <v>388.0231600553754</v>
      </c>
    </row>
    <row r="938" spans="1:9" ht="16.05" customHeight="1" x14ac:dyDescent="0.3">
      <c r="A938" s="70">
        <v>922</v>
      </c>
      <c r="B938" s="71">
        <f ca="1">(C7)+(E7-C7)*IF(RAND()&lt;((D7)-(C7))/((E7)-(C7)),SQRT(RAND()*((D7)-(C7))/((E7)-(C7))),1-SQRT(RAND()*((E7)-(D7))/((E7)-(C7))))</f>
        <v>0.34851898889267729</v>
      </c>
      <c r="C938" s="71">
        <f ca="1">(C8)+(E8-C8)*IF(RAND()&lt;((D8)-(C8))/((E8)-(C8)),SQRT(RAND()*((D8)-(C8))/((E8)-(C8))),1-SQRT(RAND()*((E8)-(D8))/((E8)-(C8))))</f>
        <v>0.7292872220740807</v>
      </c>
      <c r="D938" s="72">
        <f ca="1">(C9)+(E9-C9)*IF(RAND()&lt;((D9)-(C9))/((E9)-(C9)),SQRT(RAND()*((D9)-(C9))/((E9)-(C9))),1-SQRT(RAND()*((E9)-(D9))/((E9)-(C9))))</f>
        <v>1172645.0316098651</v>
      </c>
      <c r="E938" s="72">
        <f ca="1">(C10)+(E10-C10)*IF(RAND()&lt;((D10)-(C10))/((E10)-(C10)),SQRT(RAND()*((D10)-(C10))/((E10)-(C10))),1-SQRT(RAND()*((E10)-(D10))/((E10)-(C10))))</f>
        <v>3608830.071998565</v>
      </c>
      <c r="F938" s="71">
        <f ca="1">(C11)+(E11-C11)*IF(RAND()&lt;((D11)-(C11))/((E11)-(C11)),SQRT(RAND()*((D11)-(C11))/((E11)-(C11))),1-SQRT(RAND()*((E11)-(D11))/((E11)-(C11))))</f>
        <v>9.0360358730328869E-3</v>
      </c>
      <c r="G938" s="71">
        <f ca="1">(C12)+(E12-C12)*IF(RAND()&lt;((D12)-(C12))/((E12)-(C12)),SQRT(RAND()*((D12)-(C12))/((E12)-(C12))),1-SQRT(RAND()*((E12)-(D12))/((E12)-(C12))))</f>
        <v>0.16914702078361227</v>
      </c>
      <c r="H938" s="72">
        <f t="shared" ca="1" si="28"/>
        <v>326892277.18131465</v>
      </c>
      <c r="I938" s="73">
        <f t="shared" ca="1" si="29"/>
        <v>369.0063816587508</v>
      </c>
    </row>
    <row r="939" spans="1:9" ht="16.05" customHeight="1" x14ac:dyDescent="0.3">
      <c r="A939" s="66">
        <v>923</v>
      </c>
      <c r="B939" s="67">
        <f ca="1">(C7)+(E7-C7)*IF(RAND()&lt;((D7)-(C7))/((E7)-(C7)),SQRT(RAND()*((D7)-(C7))/((E7)-(C7))),1-SQRT(RAND()*((E7)-(D7))/((E7)-(C7))))</f>
        <v>0.22600584584013728</v>
      </c>
      <c r="C939" s="67">
        <f ca="1">(C8)+(E8-C8)*IF(RAND()&lt;((D8)-(C8))/((E8)-(C8)),SQRT(RAND()*((D8)-(C8))/((E8)-(C8))),1-SQRT(RAND()*((E8)-(D8))/((E8)-(C8))))</f>
        <v>0.81175436140043833</v>
      </c>
      <c r="D939" s="68">
        <f ca="1">(C9)+(E9-C9)*IF(RAND()&lt;((D9)-(C9))/((E9)-(C9)),SQRT(RAND()*((D9)-(C9))/((E9)-(C9))),1-SQRT(RAND()*((E9)-(D9))/((E9)-(C9))))</f>
        <v>1169958.0218884575</v>
      </c>
      <c r="E939" s="68">
        <f ca="1">(C10)+(E10-C10)*IF(RAND()&lt;((D10)-(C10))/((E10)-(C10)),SQRT(RAND()*((D10)-(C10))/((E10)-(C10))),1-SQRT(RAND()*((E10)-(D10))/((E10)-(C10))))</f>
        <v>3013272.1067741867</v>
      </c>
      <c r="F939" s="67">
        <f ca="1">(C11)+(E11-C11)*IF(RAND()&lt;((D11)-(C11))/((E11)-(C11)),SQRT(RAND()*((D11)-(C11))/((E11)-(C11))),1-SQRT(RAND()*((E11)-(D11))/((E11)-(C11))))</f>
        <v>7.0634785087919545E-3</v>
      </c>
      <c r="G939" s="67">
        <f ca="1">(C12)+(E12-C12)*IF(RAND()&lt;((D12)-(C12))/((E12)-(C12)),SQRT(RAND()*((D12)-(C12))/((E12)-(C12))),1-SQRT(RAND()*((E12)-(D12))/((E12)-(C12))))</f>
        <v>0.10638733576361942</v>
      </c>
      <c r="H939" s="68">
        <f t="shared" ca="1" si="28"/>
        <v>237986853.10041445</v>
      </c>
      <c r="I939" s="69">
        <f t="shared" ca="1" si="29"/>
        <v>269.62063214513796</v>
      </c>
    </row>
    <row r="940" spans="1:9" ht="16.05" customHeight="1" x14ac:dyDescent="0.3">
      <c r="A940" s="70">
        <v>924</v>
      </c>
      <c r="B940" s="71">
        <f ca="1">(C7)+(E7-C7)*IF(RAND()&lt;((D7)-(C7))/((E7)-(C7)),SQRT(RAND()*((D7)-(C7))/((E7)-(C7))),1-SQRT(RAND()*((E7)-(D7))/((E7)-(C7))))</f>
        <v>0.23099370760227031</v>
      </c>
      <c r="C940" s="71">
        <f ca="1">(C8)+(E8-C8)*IF(RAND()&lt;((D8)-(C8))/((E8)-(C8)),SQRT(RAND()*((D8)-(C8))/((E8)-(C8))),1-SQRT(RAND()*((E8)-(D8))/((E8)-(C8))))</f>
        <v>0.7501292722452797</v>
      </c>
      <c r="D940" s="72">
        <f ca="1">(C9)+(E9-C9)*IF(RAND()&lt;((D9)-(C9))/((E9)-(C9)),SQRT(RAND()*((D9)-(C9))/((E9)-(C9))),1-SQRT(RAND()*((E9)-(D9))/((E9)-(C9))))</f>
        <v>1192021.1209197489</v>
      </c>
      <c r="E940" s="72">
        <f ca="1">(C10)+(E10-C10)*IF(RAND()&lt;((D10)-(C10))/((E10)-(C10)),SQRT(RAND()*((D10)-(C10))/((E10)-(C10))),1-SQRT(RAND()*((E10)-(D10))/((E10)-(C10))))</f>
        <v>3431107.2229325799</v>
      </c>
      <c r="F940" s="71">
        <f ca="1">(C11)+(E11-C11)*IF(RAND()&lt;((D11)-(C11))/((E11)-(C11)),SQRT(RAND()*((D11)-(C11))/((E11)-(C11))),1-SQRT(RAND()*((E11)-(D11))/((E11)-(C11))))</f>
        <v>5.7011702391057727E-3</v>
      </c>
      <c r="G940" s="71">
        <f ca="1">(C12)+(E12-C12)*IF(RAND()&lt;((D12)-(C12))/((E12)-(C12)),SQRT(RAND()*((D12)-(C12))/((E12)-(C12))),1-SQRT(RAND()*((E12)-(D12))/((E12)-(C12))))</f>
        <v>0.12141970636190894</v>
      </c>
      <c r="H940" s="72">
        <f t="shared" ca="1" si="28"/>
        <v>215466176.03136408</v>
      </c>
      <c r="I940" s="73">
        <f t="shared" ca="1" si="29"/>
        <v>239.7352093820472</v>
      </c>
    </row>
    <row r="941" spans="1:9" ht="16.05" customHeight="1" x14ac:dyDescent="0.3">
      <c r="A941" s="66">
        <v>925</v>
      </c>
      <c r="B941" s="67">
        <f ca="1">(C7)+(E7-C7)*IF(RAND()&lt;((D7)-(C7))/((E7)-(C7)),SQRT(RAND()*((D7)-(C7))/((E7)-(C7))),1-SQRT(RAND()*((E7)-(D7))/((E7)-(C7))))</f>
        <v>0.22050909149175102</v>
      </c>
      <c r="C941" s="67">
        <f ca="1">(C8)+(E8-C8)*IF(RAND()&lt;((D8)-(C8))/((E8)-(C8)),SQRT(RAND()*((D8)-(C8))/((E8)-(C8))),1-SQRT(RAND()*((E8)-(D8))/((E8)-(C8))))</f>
        <v>0.55075918976187233</v>
      </c>
      <c r="D941" s="68">
        <f ca="1">(C9)+(E9-C9)*IF(RAND()&lt;((D9)-(C9))/((E9)-(C9)),SQRT(RAND()*((D9)-(C9))/((E9)-(C9))),1-SQRT(RAND()*((E9)-(D9))/((E9)-(C9))))</f>
        <v>1318960.7079516002</v>
      </c>
      <c r="E941" s="68">
        <f ca="1">(C10)+(E10-C10)*IF(RAND()&lt;((D10)-(C10))/((E10)-(C10)),SQRT(RAND()*((D10)-(C10))/((E10)-(C10))),1-SQRT(RAND()*((E10)-(D10))/((E10)-(C10))))</f>
        <v>3573914.7160788863</v>
      </c>
      <c r="F941" s="67">
        <f ca="1">(C11)+(E11-C11)*IF(RAND()&lt;((D11)-(C11))/((E11)-(C11)),SQRT(RAND()*((D11)-(C11))/((E11)-(C11))),1-SQRT(RAND()*((E11)-(D11))/((E11)-(C11))))</f>
        <v>1.5213190365665487E-2</v>
      </c>
      <c r="G941" s="67">
        <f ca="1">(C12)+(E12-C12)*IF(RAND()&lt;((D12)-(C12))/((E12)-(C12)),SQRT(RAND()*((D12)-(C12))/((E12)-(C12))),1-SQRT(RAND()*((E12)-(D12))/((E12)-(C12))))</f>
        <v>0.15201142199699363</v>
      </c>
      <c r="H941" s="68">
        <f t="shared" ca="1" si="28"/>
        <v>227066108.8417297</v>
      </c>
      <c r="I941" s="69">
        <f t="shared" ca="1" si="29"/>
        <v>228.38969210805865</v>
      </c>
    </row>
    <row r="942" spans="1:9" ht="16.05" customHeight="1" x14ac:dyDescent="0.3">
      <c r="A942" s="70">
        <v>926</v>
      </c>
      <c r="B942" s="71">
        <f ca="1">(C7)+(E7-C7)*IF(RAND()&lt;((D7)-(C7))/((E7)-(C7)),SQRT(RAND()*((D7)-(C7))/((E7)-(C7))),1-SQRT(RAND()*((E7)-(D7))/((E7)-(C7))))</f>
        <v>0.24738580527592702</v>
      </c>
      <c r="C942" s="71">
        <f ca="1">(C8)+(E8-C8)*IF(RAND()&lt;((D8)-(C8))/((E8)-(C8)),SQRT(RAND()*((D8)-(C8))/((E8)-(C8))),1-SQRT(RAND()*((E8)-(D8))/((E8)-(C8))))</f>
        <v>0.5423631371180907</v>
      </c>
      <c r="D942" s="72">
        <f ca="1">(C9)+(E9-C9)*IF(RAND()&lt;((D9)-(C9))/((E9)-(C9)),SQRT(RAND()*((D9)-(C9))/((E9)-(C9))),1-SQRT(RAND()*((E9)-(D9))/((E9)-(C9))))</f>
        <v>1406929.9681979204</v>
      </c>
      <c r="E942" s="72">
        <f ca="1">(C10)+(E10-C10)*IF(RAND()&lt;((D10)-(C10))/((E10)-(C10)),SQRT(RAND()*((D10)-(C10))/((E10)-(C10))),1-SQRT(RAND()*((E10)-(D10))/((E10)-(C10))))</f>
        <v>4342687.9973271322</v>
      </c>
      <c r="F942" s="71">
        <f ca="1">(C11)+(E11-C11)*IF(RAND()&lt;((D11)-(C11))/((E11)-(C11)),SQRT(RAND()*((D11)-(C11))/((E11)-(C11))),1-SQRT(RAND()*((E11)-(D11))/((E11)-(C11))))</f>
        <v>1.2574814130423563E-2</v>
      </c>
      <c r="G942" s="71">
        <f ca="1">(C12)+(E12-C12)*IF(RAND()&lt;((D12)-(C12))/((E12)-(C12)),SQRT(RAND()*((D12)-(C12))/((E12)-(C12))),1-SQRT(RAND()*((E12)-(D12))/((E12)-(C12))))</f>
        <v>0.15742585190117322</v>
      </c>
      <c r="H942" s="72">
        <f t="shared" ca="1" si="28"/>
        <v>218865803.95540333</v>
      </c>
      <c r="I942" s="73">
        <f t="shared" ca="1" si="29"/>
        <v>206.50420991189998</v>
      </c>
    </row>
    <row r="943" spans="1:9" ht="16.05" customHeight="1" x14ac:dyDescent="0.3">
      <c r="A943" s="66">
        <v>927</v>
      </c>
      <c r="B943" s="67">
        <f ca="1">(C7)+(E7-C7)*IF(RAND()&lt;((D7)-(C7))/((E7)-(C7)),SQRT(RAND()*((D7)-(C7))/((E7)-(C7))),1-SQRT(RAND()*((E7)-(D7))/((E7)-(C7))))</f>
        <v>0.30500041231736963</v>
      </c>
      <c r="C943" s="67">
        <f ca="1">(C8)+(E8-C8)*IF(RAND()&lt;((D8)-(C8))/((E8)-(C8)),SQRT(RAND()*((D8)-(C8))/((E8)-(C8))),1-SQRT(RAND()*((E8)-(D8))/((E8)-(C8))))</f>
        <v>0.69642386017423519</v>
      </c>
      <c r="D943" s="68">
        <f ca="1">(C9)+(E9-C9)*IF(RAND()&lt;((D9)-(C9))/((E9)-(C9)),SQRT(RAND()*((D9)-(C9))/((E9)-(C9))),1-SQRT(RAND()*((E9)-(D9))/((E9)-(C9))))</f>
        <v>1246597.0887364279</v>
      </c>
      <c r="E943" s="68">
        <f ca="1">(C10)+(E10-C10)*IF(RAND()&lt;((D10)-(C10))/((E10)-(C10)),SQRT(RAND()*((D10)-(C10))/((E10)-(C10))),1-SQRT(RAND()*((E10)-(D10))/((E10)-(C10))))</f>
        <v>3740788.1281897957</v>
      </c>
      <c r="F943" s="67">
        <f ca="1">(C11)+(E11-C11)*IF(RAND()&lt;((D11)-(C11))/((E11)-(C11)),SQRT(RAND()*((D11)-(C11))/((E11)-(C11))),1-SQRT(RAND()*((E11)-(D11))/((E11)-(C11))))</f>
        <v>1.4521374429479934E-2</v>
      </c>
      <c r="G943" s="67">
        <f ca="1">(C12)+(E12-C12)*IF(RAND()&lt;((D12)-(C12))/((E12)-(C12)),SQRT(RAND()*((D12)-(C12))/((E12)-(C12))),1-SQRT(RAND()*((E12)-(D12))/((E12)-(C12))))</f>
        <v>0.16972889307485375</v>
      </c>
      <c r="H943" s="68">
        <f t="shared" ca="1" si="28"/>
        <v>320475405.49287051</v>
      </c>
      <c r="I943" s="69">
        <f t="shared" ca="1" si="29"/>
        <v>340.40450825732933</v>
      </c>
    </row>
    <row r="944" spans="1:9" ht="16.05" customHeight="1" x14ac:dyDescent="0.3">
      <c r="A944" s="70">
        <v>928</v>
      </c>
      <c r="B944" s="71">
        <f ca="1">(C7)+(E7-C7)*IF(RAND()&lt;((D7)-(C7))/((E7)-(C7)),SQRT(RAND()*((D7)-(C7))/((E7)-(C7))),1-SQRT(RAND()*((E7)-(D7))/((E7)-(C7))))</f>
        <v>0.20774224045667203</v>
      </c>
      <c r="C944" s="71">
        <f ca="1">(C8)+(E8-C8)*IF(RAND()&lt;((D8)-(C8))/((E8)-(C8)),SQRT(RAND()*((D8)-(C8))/((E8)-(C8))),1-SQRT(RAND()*((E8)-(D8))/((E8)-(C8))))</f>
        <v>0.60908025312215242</v>
      </c>
      <c r="D944" s="72">
        <f ca="1">(C9)+(E9-C9)*IF(RAND()&lt;((D9)-(C9))/((E9)-(C9)),SQRT(RAND()*((D9)-(C9))/((E9)-(C9))),1-SQRT(RAND()*((E9)-(D9))/((E9)-(C9))))</f>
        <v>1249519.8799766665</v>
      </c>
      <c r="E944" s="72">
        <f ca="1">(C10)+(E10-C10)*IF(RAND()&lt;((D10)-(C10))/((E10)-(C10)),SQRT(RAND()*((D10)-(C10))/((E10)-(C10))),1-SQRT(RAND()*((E10)-(D10))/((E10)-(C10))))</f>
        <v>3383629.1514469525</v>
      </c>
      <c r="F944" s="71">
        <f ca="1">(C11)+(E11-C11)*IF(RAND()&lt;((D11)-(C11))/((E11)-(C11)),SQRT(RAND()*((D11)-(C11))/((E11)-(C11))),1-SQRT(RAND()*((E11)-(D11))/((E11)-(C11))))</f>
        <v>1.2205613555427406E-2</v>
      </c>
      <c r="G944" s="71">
        <f ca="1">(C12)+(E12-C12)*IF(RAND()&lt;((D12)-(C12))/((E12)-(C12)),SQRT(RAND()*((D12)-(C12))/((E12)-(C12))),1-SQRT(RAND()*((E12)-(D12))/((E12)-(C12))))</f>
        <v>0.17402791439155685</v>
      </c>
      <c r="H944" s="72">
        <f t="shared" ca="1" si="28"/>
        <v>211680701.27337074</v>
      </c>
      <c r="I944" s="73">
        <f t="shared" ca="1" si="29"/>
        <v>224.76815625522474</v>
      </c>
    </row>
    <row r="945" spans="1:9" ht="16.05" customHeight="1" x14ac:dyDescent="0.3">
      <c r="A945" s="66">
        <v>929</v>
      </c>
      <c r="B945" s="67">
        <f ca="1">(C7)+(E7-C7)*IF(RAND()&lt;((D7)-(C7))/((E7)-(C7)),SQRT(RAND()*((D7)-(C7))/((E7)-(C7))),1-SQRT(RAND()*((E7)-(D7))/((E7)-(C7))))</f>
        <v>0.23305504227252305</v>
      </c>
      <c r="C945" s="67">
        <f ca="1">(C8)+(E8-C8)*IF(RAND()&lt;((D8)-(C8))/((E8)-(C8)),SQRT(RAND()*((D8)-(C8))/((E8)-(C8))),1-SQRT(RAND()*((E8)-(D8))/((E8)-(C8))))</f>
        <v>0.72145071616278722</v>
      </c>
      <c r="D945" s="68">
        <f ca="1">(C9)+(E9-C9)*IF(RAND()&lt;((D9)-(C9))/((E9)-(C9)),SQRT(RAND()*((D9)-(C9))/((E9)-(C9))),1-SQRT(RAND()*((E9)-(D9))/((E9)-(C9))))</f>
        <v>1310273.9126934225</v>
      </c>
      <c r="E945" s="68">
        <f ca="1">(C10)+(E10-C10)*IF(RAND()&lt;((D10)-(C10))/((E10)-(C10)),SQRT(RAND()*((D10)-(C10))/((E10)-(C10))),1-SQRT(RAND()*((E10)-(D10))/((E10)-(C10))))</f>
        <v>3093893.3519857586</v>
      </c>
      <c r="F945" s="67">
        <f ca="1">(C11)+(E11-C11)*IF(RAND()&lt;((D11)-(C11))/((E11)-(C11)),SQRT(RAND()*((D11)-(C11))/((E11)-(C11))),1-SQRT(RAND()*((E11)-(D11))/((E11)-(C11))))</f>
        <v>7.9155289625591537E-3</v>
      </c>
      <c r="G945" s="67">
        <f ca="1">(C12)+(E12-C12)*IF(RAND()&lt;((D12)-(C12))/((E12)-(C12)),SQRT(RAND()*((D12)-(C12))/((E12)-(C12))),1-SQRT(RAND()*((E12)-(D12))/((E12)-(C12))))</f>
        <v>0.17634458592871283</v>
      </c>
      <c r="H945" s="68">
        <f t="shared" ca="1" si="28"/>
        <v>227019433.04331639</v>
      </c>
      <c r="I945" s="69">
        <f t="shared" ca="1" si="29"/>
        <v>229.8481290899785</v>
      </c>
    </row>
    <row r="946" spans="1:9" ht="16.05" customHeight="1" x14ac:dyDescent="0.3">
      <c r="A946" s="70">
        <v>930</v>
      </c>
      <c r="B946" s="71">
        <f ca="1">(C7)+(E7-C7)*IF(RAND()&lt;((D7)-(C7))/((E7)-(C7)),SQRT(RAND()*((D7)-(C7))/((E7)-(C7))),1-SQRT(RAND()*((E7)-(D7))/((E7)-(C7))))</f>
        <v>0.28078810403230015</v>
      </c>
      <c r="C946" s="71">
        <f ca="1">(C8)+(E8-C8)*IF(RAND()&lt;((D8)-(C8))/((E8)-(C8)),SQRT(RAND()*((D8)-(C8))/((E8)-(C8))),1-SQRT(RAND()*((E8)-(D8))/((E8)-(C8))))</f>
        <v>0.72055384617067719</v>
      </c>
      <c r="D946" s="72">
        <f ca="1">(C9)+(E9-C9)*IF(RAND()&lt;((D9)-(C9))/((E9)-(C9)),SQRT(RAND()*((D9)-(C9))/((E9)-(C9))),1-SQRT(RAND()*((E9)-(D9))/((E9)-(C9))))</f>
        <v>1154567.2779621158</v>
      </c>
      <c r="E946" s="72">
        <f ca="1">(C10)+(E10-C10)*IF(RAND()&lt;((D10)-(C10))/((E10)-(C10)),SQRT(RAND()*((D10)-(C10))/((E10)-(C10))),1-SQRT(RAND()*((E10)-(D10))/((E10)-(C10))))</f>
        <v>4131335.1333790109</v>
      </c>
      <c r="F946" s="71">
        <f ca="1">(C11)+(E11-C11)*IF(RAND()&lt;((D11)-(C11))/((E11)-(C11)),SQRT(RAND()*((D11)-(C11))/((E11)-(C11))),1-SQRT(RAND()*((E11)-(D11))/((E11)-(C11))))</f>
        <v>1.1268621455607253E-2</v>
      </c>
      <c r="G946" s="71">
        <f ca="1">(C12)+(E12-C12)*IF(RAND()&lt;((D12)-(C12))/((E12)-(C12)),SQRT(RAND()*((D12)-(C12))/((E12)-(C12))),1-SQRT(RAND()*((E12)-(D12))/((E12)-(C12))))</f>
        <v>0.16706677607700962</v>
      </c>
      <c r="H946" s="72">
        <f t="shared" ca="1" si="28"/>
        <v>284635903.72520149</v>
      </c>
      <c r="I946" s="73">
        <f t="shared" ca="1" si="29"/>
        <v>326.48944641341194</v>
      </c>
    </row>
    <row r="947" spans="1:9" ht="16.05" customHeight="1" x14ac:dyDescent="0.3">
      <c r="A947" s="66">
        <v>931</v>
      </c>
      <c r="B947" s="67">
        <f ca="1">(C7)+(E7-C7)*IF(RAND()&lt;((D7)-(C7))/((E7)-(C7)),SQRT(RAND()*((D7)-(C7))/((E7)-(C7))),1-SQRT(RAND()*((E7)-(D7))/((E7)-(C7))))</f>
        <v>0.31315499967440763</v>
      </c>
      <c r="C947" s="67">
        <f ca="1">(C8)+(E8-C8)*IF(RAND()&lt;((D8)-(C8))/((E8)-(C8)),SQRT(RAND()*((D8)-(C8))/((E8)-(C8))),1-SQRT(RAND()*((E8)-(D8))/((E8)-(C8))))</f>
        <v>0.64772890898998203</v>
      </c>
      <c r="D947" s="68">
        <f ca="1">(C9)+(E9-C9)*IF(RAND()&lt;((D9)-(C9))/((E9)-(C9)),SQRT(RAND()*((D9)-(C9))/((E9)-(C9))),1-SQRT(RAND()*((E9)-(D9))/((E9)-(C9))))</f>
        <v>1153426.1293123174</v>
      </c>
      <c r="E947" s="68">
        <f ca="1">(C10)+(E10-C10)*IF(RAND()&lt;((D10)-(C10))/((E10)-(C10)),SQRT(RAND()*((D10)-(C10))/((E10)-(C10))),1-SQRT(RAND()*((E10)-(D10))/((E10)-(C10))))</f>
        <v>4219304.6598411519</v>
      </c>
      <c r="F947" s="67">
        <f ca="1">(C11)+(E11-C11)*IF(RAND()&lt;((D11)-(C11))/((E11)-(C11)),SQRT(RAND()*((D11)-(C11))/((E11)-(C11))),1-SQRT(RAND()*((E11)-(D11))/((E11)-(C11))))</f>
        <v>1.412749931889885E-2</v>
      </c>
      <c r="G947" s="67">
        <f ca="1">(C12)+(E12-C12)*IF(RAND()&lt;((D12)-(C12))/((E12)-(C12)),SQRT(RAND()*((D12)-(C12))/((E12)-(C12))),1-SQRT(RAND()*((E12)-(D12))/((E12)-(C12))))</f>
        <v>0.18548728693758834</v>
      </c>
      <c r="H947" s="68">
        <f t="shared" ca="1" si="28"/>
        <v>305500009.61654603</v>
      </c>
      <c r="I947" s="69">
        <f t="shared" ca="1" si="29"/>
        <v>350.67006794375578</v>
      </c>
    </row>
    <row r="948" spans="1:9" ht="16.05" customHeight="1" x14ac:dyDescent="0.3">
      <c r="A948" s="70">
        <v>932</v>
      </c>
      <c r="B948" s="71">
        <f ca="1">(C7)+(E7-C7)*IF(RAND()&lt;((D7)-(C7))/((E7)-(C7)),SQRT(RAND()*((D7)-(C7))/((E7)-(C7))),1-SQRT(RAND()*((E7)-(D7))/((E7)-(C7))))</f>
        <v>0.31970329046304724</v>
      </c>
      <c r="C948" s="71">
        <f ca="1">(C8)+(E8-C8)*IF(RAND()&lt;((D8)-(C8))/((E8)-(C8)),SQRT(RAND()*((D8)-(C8))/((E8)-(C8))),1-SQRT(RAND()*((E8)-(D8))/((E8)-(C8))))</f>
        <v>0.68460301719567584</v>
      </c>
      <c r="D948" s="72">
        <f ca="1">(C9)+(E9-C9)*IF(RAND()&lt;((D9)-(C9))/((E9)-(C9)),SQRT(RAND()*((D9)-(C9))/((E9)-(C9))),1-SQRT(RAND()*((E9)-(D9))/((E9)-(C9))))</f>
        <v>1349977.0361673459</v>
      </c>
      <c r="E948" s="72">
        <f ca="1">(C10)+(E10-C10)*IF(RAND()&lt;((D10)-(C10))/((E10)-(C10)),SQRT(RAND()*((D10)-(C10))/((E10)-(C10))),1-SQRT(RAND()*((E10)-(D10))/((E10)-(C10))))</f>
        <v>3617046.1910117147</v>
      </c>
      <c r="F948" s="71">
        <f ca="1">(C11)+(E11-C11)*IF(RAND()&lt;((D11)-(C11))/((E11)-(C11)),SQRT(RAND()*((D11)-(C11))/((E11)-(C11))),1-SQRT(RAND()*((E11)-(D11))/((E11)-(C11))))</f>
        <v>1.3358371233894632E-2</v>
      </c>
      <c r="G948" s="71">
        <f ca="1">(C12)+(E12-C12)*IF(RAND()&lt;((D12)-(C12))/((E12)-(C12)),SQRT(RAND()*((D12)-(C12))/((E12)-(C12))),1-SQRT(RAND()*((E12)-(D12))/((E12)-(C12))))</f>
        <v>0.15251725050646833</v>
      </c>
      <c r="H948" s="72">
        <f t="shared" ca="1" si="28"/>
        <v>319475436.7490837</v>
      </c>
      <c r="I948" s="73">
        <f t="shared" ca="1" si="29"/>
        <v>313.46065030764595</v>
      </c>
    </row>
    <row r="949" spans="1:9" ht="16.05" customHeight="1" x14ac:dyDescent="0.3">
      <c r="A949" s="66">
        <v>933</v>
      </c>
      <c r="B949" s="67">
        <f ca="1">(C7)+(E7-C7)*IF(RAND()&lt;((D7)-(C7))/((E7)-(C7)),SQRT(RAND()*((D7)-(C7))/((E7)-(C7))),1-SQRT(RAND()*((E7)-(D7))/((E7)-(C7))))</f>
        <v>0.28275370090715068</v>
      </c>
      <c r="C949" s="67">
        <f ca="1">(C8)+(E8-C8)*IF(RAND()&lt;((D8)-(C8))/((E8)-(C8)),SQRT(RAND()*((D8)-(C8))/((E8)-(C8))),1-SQRT(RAND()*((E8)-(D8))/((E8)-(C8))))</f>
        <v>0.59677938200610769</v>
      </c>
      <c r="D949" s="68">
        <f ca="1">(C9)+(E9-C9)*IF(RAND()&lt;((D9)-(C9))/((E9)-(C9)),SQRT(RAND()*((D9)-(C9))/((E9)-(C9))),1-SQRT(RAND()*((E9)-(D9))/((E9)-(C9))))</f>
        <v>1242118.9127354932</v>
      </c>
      <c r="E949" s="68">
        <f ca="1">(C10)+(E10-C10)*IF(RAND()&lt;((D10)-(C10))/((E10)-(C10)),SQRT(RAND()*((D10)-(C10))/((E10)-(C10))),1-SQRT(RAND()*((E10)-(D10))/((E10)-(C10))))</f>
        <v>4175244.5669438699</v>
      </c>
      <c r="F949" s="67">
        <f ca="1">(C11)+(E11-C11)*IF(RAND()&lt;((D11)-(C11))/((E11)-(C11)),SQRT(RAND()*((D11)-(C11))/((E11)-(C11))),1-SQRT(RAND()*((E11)-(D11))/((E11)-(C11))))</f>
        <v>1.1941804351434774E-2</v>
      </c>
      <c r="G949" s="67">
        <f ca="1">(C12)+(E12-C12)*IF(RAND()&lt;((D12)-(C12))/((E12)-(C12)),SQRT(RAND()*((D12)-(C12))/((E12)-(C12))),1-SQRT(RAND()*((E12)-(D12))/((E12)-(C12))))</f>
        <v>0.12787053590792866</v>
      </c>
      <c r="H949" s="68">
        <f t="shared" ca="1" si="28"/>
        <v>252705658.96983528</v>
      </c>
      <c r="I949" s="69">
        <f t="shared" ca="1" si="29"/>
        <v>269.66332841399719</v>
      </c>
    </row>
    <row r="950" spans="1:9" ht="16.05" customHeight="1" x14ac:dyDescent="0.3">
      <c r="A950" s="70">
        <v>934</v>
      </c>
      <c r="B950" s="71">
        <f ca="1">(C7)+(E7-C7)*IF(RAND()&lt;((D7)-(C7))/((E7)-(C7)),SQRT(RAND()*((D7)-(C7))/((E7)-(C7))),1-SQRT(RAND()*((E7)-(D7))/((E7)-(C7))))</f>
        <v>0.21259553819760604</v>
      </c>
      <c r="C950" s="71">
        <f ca="1">(C8)+(E8-C8)*IF(RAND()&lt;((D8)-(C8))/((E8)-(C8)),SQRT(RAND()*((D8)-(C8))/((E8)-(C8))),1-SQRT(RAND()*((E8)-(D8))/((E8)-(C8))))</f>
        <v>0.6149544448113754</v>
      </c>
      <c r="D950" s="72">
        <f ca="1">(C9)+(E9-C9)*IF(RAND()&lt;((D9)-(C9))/((E9)-(C9)),SQRT(RAND()*((D9)-(C9))/((E9)-(C9))),1-SQRT(RAND()*((E9)-(D9))/((E9)-(C9))))</f>
        <v>1191929.3378728053</v>
      </c>
      <c r="E950" s="72">
        <f ca="1">(C10)+(E10-C10)*IF(RAND()&lt;((D10)-(C10))/((E10)-(C10)),SQRT(RAND()*((D10)-(C10))/((E10)-(C10))),1-SQRT(RAND()*((E10)-(D10))/((E10)-(C10))))</f>
        <v>2728262.3750859634</v>
      </c>
      <c r="F950" s="71">
        <f ca="1">(C11)+(E11-C11)*IF(RAND()&lt;((D11)-(C11))/((E11)-(C11)),SQRT(RAND()*((D11)-(C11))/((E11)-(C11))),1-SQRT(RAND()*((E11)-(D11))/((E11)-(C11))))</f>
        <v>1.4946618940682761E-2</v>
      </c>
      <c r="G950" s="71">
        <f ca="1">(C12)+(E12-C12)*IF(RAND()&lt;((D12)-(C12))/((E12)-(C12)),SQRT(RAND()*((D12)-(C12))/((E12)-(C12))),1-SQRT(RAND()*((E12)-(D12))/((E12)-(C12))))</f>
        <v>0.17312537914245379</v>
      </c>
      <c r="H950" s="72">
        <f t="shared" ca="1" si="28"/>
        <v>238581004.88734812</v>
      </c>
      <c r="I950" s="73">
        <f t="shared" ca="1" si="29"/>
        <v>265.3324068868888</v>
      </c>
    </row>
    <row r="951" spans="1:9" ht="16.05" customHeight="1" x14ac:dyDescent="0.3">
      <c r="A951" s="66">
        <v>935</v>
      </c>
      <c r="B951" s="67">
        <f ca="1">(C7)+(E7-C7)*IF(RAND()&lt;((D7)-(C7))/((E7)-(C7)),SQRT(RAND()*((D7)-(C7))/((E7)-(C7))),1-SQRT(RAND()*((E7)-(D7))/((E7)-(C7))))</f>
        <v>0.22425403573705391</v>
      </c>
      <c r="C951" s="67">
        <f ca="1">(C8)+(E8-C8)*IF(RAND()&lt;((D8)-(C8))/((E8)-(C8)),SQRT(RAND()*((D8)-(C8))/((E8)-(C8))),1-SQRT(RAND()*((E8)-(D8))/((E8)-(C8))))</f>
        <v>0.853558095081414</v>
      </c>
      <c r="D951" s="68">
        <f ca="1">(C9)+(E9-C9)*IF(RAND()&lt;((D9)-(C9))/((E9)-(C9)),SQRT(RAND()*((D9)-(C9))/((E9)-(C9))),1-SQRT(RAND()*((E9)-(D9))/((E9)-(C9))))</f>
        <v>1097329.9079729528</v>
      </c>
      <c r="E951" s="68">
        <f ca="1">(C10)+(E10-C10)*IF(RAND()&lt;((D10)-(C10))/((E10)-(C10)),SQRT(RAND()*((D10)-(C10))/((E10)-(C10))),1-SQRT(RAND()*((E10)-(D10))/((E10)-(C10))))</f>
        <v>3059668.9962755251</v>
      </c>
      <c r="F951" s="67">
        <f ca="1">(C11)+(E11-C11)*IF(RAND()&lt;((D11)-(C11))/((E11)-(C11)),SQRT(RAND()*((D11)-(C11))/((E11)-(C11))),1-SQRT(RAND()*((E11)-(D11))/((E11)-(C11))))</f>
        <v>5.6960375453735425E-3</v>
      </c>
      <c r="G951" s="67">
        <f ca="1">(C12)+(E12-C12)*IF(RAND()&lt;((D12)-(C12))/((E12)-(C12)),SQRT(RAND()*((D12)-(C12))/((E12)-(C12))),1-SQRT(RAND()*((E12)-(D12))/((E12)-(C12))))</f>
        <v>0.20940742707169369</v>
      </c>
      <c r="H951" s="68">
        <f t="shared" ca="1" si="28"/>
        <v>236665974.54175743</v>
      </c>
      <c r="I951" s="69">
        <f t="shared" ca="1" si="29"/>
        <v>285.79081041878828</v>
      </c>
    </row>
    <row r="952" spans="1:9" ht="16.05" customHeight="1" x14ac:dyDescent="0.3">
      <c r="A952" s="70">
        <v>936</v>
      </c>
      <c r="B952" s="71">
        <f ca="1">(C7)+(E7-C7)*IF(RAND()&lt;((D7)-(C7))/((E7)-(C7)),SQRT(RAND()*((D7)-(C7))/((E7)-(C7))),1-SQRT(RAND()*((E7)-(D7))/((E7)-(C7))))</f>
        <v>0.21982288756027207</v>
      </c>
      <c r="C952" s="71">
        <f ca="1">(C8)+(E8-C8)*IF(RAND()&lt;((D8)-(C8))/((E8)-(C8)),SQRT(RAND()*((D8)-(C8))/((E8)-(C8))),1-SQRT(RAND()*((E8)-(D8))/((E8)-(C8))))</f>
        <v>0.77188140877921163</v>
      </c>
      <c r="D952" s="72">
        <f ca="1">(C9)+(E9-C9)*IF(RAND()&lt;((D9)-(C9))/((E9)-(C9)),SQRT(RAND()*((D9)-(C9))/((E9)-(C9))),1-SQRT(RAND()*((E9)-(D9))/((E9)-(C9))))</f>
        <v>1165885.3094367932</v>
      </c>
      <c r="E952" s="72">
        <f ca="1">(C10)+(E10-C10)*IF(RAND()&lt;((D10)-(C10))/((E10)-(C10)),SQRT(RAND()*((D10)-(C10))/((E10)-(C10))),1-SQRT(RAND()*((E10)-(D10))/((E10)-(C10))))</f>
        <v>4430243.0394071275</v>
      </c>
      <c r="F952" s="71">
        <f ca="1">(C11)+(E11-C11)*IF(RAND()&lt;((D11)-(C11))/((E11)-(C11)),SQRT(RAND()*((D11)-(C11))/((E11)-(C11))),1-SQRT(RAND()*((E11)-(D11))/((E11)-(C11))))</f>
        <v>1.6003462987722584E-2</v>
      </c>
      <c r="G952" s="71">
        <f ca="1">(C12)+(E12-C12)*IF(RAND()&lt;((D12)-(C12))/((E12)-(C12)),SQRT(RAND()*((D12)-(C12))/((E12)-(C12))),1-SQRT(RAND()*((E12)-(D12))/((E12)-(C12))))</f>
        <v>0.20899126496746667</v>
      </c>
      <c r="H952" s="72">
        <f t="shared" ca="1" si="28"/>
        <v>282148825.28567421</v>
      </c>
      <c r="I952" s="73">
        <f t="shared" ca="1" si="29"/>
        <v>320.51912105825534</v>
      </c>
    </row>
    <row r="953" spans="1:9" ht="16.05" customHeight="1" x14ac:dyDescent="0.3">
      <c r="A953" s="66">
        <v>937</v>
      </c>
      <c r="B953" s="67">
        <f ca="1">(C7)+(E7-C7)*IF(RAND()&lt;((D7)-(C7))/((E7)-(C7)),SQRT(RAND()*((D7)-(C7))/((E7)-(C7))),1-SQRT(RAND()*((E7)-(D7))/((E7)-(C7))))</f>
        <v>0.23740321578361942</v>
      </c>
      <c r="C953" s="67">
        <f ca="1">(C8)+(E8-C8)*IF(RAND()&lt;((D8)-(C8))/((E8)-(C8)),SQRT(RAND()*((D8)-(C8))/((E8)-(C8))),1-SQRT(RAND()*((E8)-(D8))/((E8)-(C8))))</f>
        <v>0.68381819213615302</v>
      </c>
      <c r="D953" s="68">
        <f ca="1">(C9)+(E9-C9)*IF(RAND()&lt;((D9)-(C9))/((E9)-(C9)),SQRT(RAND()*((D9)-(C9))/((E9)-(C9))),1-SQRT(RAND()*((E9)-(D9))/((E9)-(C9))))</f>
        <v>1302398.6761471941</v>
      </c>
      <c r="E953" s="68">
        <f ca="1">(C10)+(E10-C10)*IF(RAND()&lt;((D10)-(C10))/((E10)-(C10)),SQRT(RAND()*((D10)-(C10))/((E10)-(C10))),1-SQRT(RAND()*((E10)-(D10))/((E10)-(C10))))</f>
        <v>3074864.394371273</v>
      </c>
      <c r="F953" s="67">
        <f ca="1">(C11)+(E11-C11)*IF(RAND()&lt;((D11)-(C11))/((E11)-(C11)),SQRT(RAND()*((D11)-(C11))/((E11)-(C11))),1-SQRT(RAND()*((E11)-(D11))/((E11)-(C11))))</f>
        <v>6.9211460680002057E-3</v>
      </c>
      <c r="G953" s="67">
        <f ca="1">(C12)+(E12-C12)*IF(RAND()&lt;((D12)-(C12))/((E12)-(C12)),SQRT(RAND()*((D12)-(C12))/((E12)-(C12))),1-SQRT(RAND()*((E12)-(D12))/((E12)-(C12))))</f>
        <v>0.13316912505508574</v>
      </c>
      <c r="H953" s="68">
        <f t="shared" ca="1" si="28"/>
        <v>213615350.36344689</v>
      </c>
      <c r="I953" s="69">
        <f t="shared" ca="1" si="29"/>
        <v>217.65516893198486</v>
      </c>
    </row>
    <row r="954" spans="1:9" ht="16.05" customHeight="1" x14ac:dyDescent="0.3">
      <c r="A954" s="70">
        <v>938</v>
      </c>
      <c r="B954" s="71">
        <f ca="1">(C7)+(E7-C7)*IF(RAND()&lt;((D7)-(C7))/((E7)-(C7)),SQRT(RAND()*((D7)-(C7))/((E7)-(C7))),1-SQRT(RAND()*((E7)-(D7))/((E7)-(C7))))</f>
        <v>0.23404168667268327</v>
      </c>
      <c r="C954" s="71">
        <f ca="1">(C8)+(E8-C8)*IF(RAND()&lt;((D8)-(C8))/((E8)-(C8)),SQRT(RAND()*((D8)-(C8))/((E8)-(C8))),1-SQRT(RAND()*((E8)-(D8))/((E8)-(C8))))</f>
        <v>0.73731526984953111</v>
      </c>
      <c r="D954" s="72">
        <f ca="1">(C9)+(E9-C9)*IF(RAND()&lt;((D9)-(C9))/((E9)-(C9)),SQRT(RAND()*((D9)-(C9))/((E9)-(C9))),1-SQRT(RAND()*((E9)-(D9))/((E9)-(C9))))</f>
        <v>1186743.8668946195</v>
      </c>
      <c r="E954" s="72">
        <f ca="1">(C10)+(E10-C10)*IF(RAND()&lt;((D10)-(C10))/((E10)-(C10)),SQRT(RAND()*((D10)-(C10))/((E10)-(C10))),1-SQRT(RAND()*((E10)-(D10))/((E10)-(C10))))</f>
        <v>3630020.6969763646</v>
      </c>
      <c r="F954" s="71">
        <f ca="1">(C11)+(E11-C11)*IF(RAND()&lt;((D11)-(C11))/((E11)-(C11)),SQRT(RAND()*((D11)-(C11))/((E11)-(C11))),1-SQRT(RAND()*((E11)-(D11))/((E11)-(C11))))</f>
        <v>2.5310543700581865E-2</v>
      </c>
      <c r="G954" s="71">
        <f ca="1">(C12)+(E12-C12)*IF(RAND()&lt;((D12)-(C12))/((E12)-(C12)),SQRT(RAND()*((D12)-(C12))/((E12)-(C12))),1-SQRT(RAND()*((E12)-(D12))/((E12)-(C12))))</f>
        <v>0.15508173495160643</v>
      </c>
      <c r="H954" s="72">
        <f t="shared" ca="1" si="28"/>
        <v>355475853.56679529</v>
      </c>
      <c r="I954" s="73">
        <f t="shared" ca="1" si="29"/>
        <v>396.40691357822902</v>
      </c>
    </row>
    <row r="955" spans="1:9" ht="16.05" customHeight="1" x14ac:dyDescent="0.3">
      <c r="A955" s="66">
        <v>939</v>
      </c>
      <c r="B955" s="67">
        <f ca="1">(C7)+(E7-C7)*IF(RAND()&lt;((D7)-(C7))/((E7)-(C7)),SQRT(RAND()*((D7)-(C7))/((E7)-(C7))),1-SQRT(RAND()*((E7)-(D7))/((E7)-(C7))))</f>
        <v>0.2536117900025272</v>
      </c>
      <c r="C955" s="67">
        <f ca="1">(C8)+(E8-C8)*IF(RAND()&lt;((D8)-(C8))/((E8)-(C8)),SQRT(RAND()*((D8)-(C8))/((E8)-(C8))),1-SQRT(RAND()*((E8)-(D8))/((E8)-(C8))))</f>
        <v>0.63244651991330958</v>
      </c>
      <c r="D955" s="68">
        <f ca="1">(C9)+(E9-C9)*IF(RAND()&lt;((D9)-(C9))/((E9)-(C9)),SQRT(RAND()*((D9)-(C9))/((E9)-(C9))),1-SQRT(RAND()*((E9)-(D9))/((E9)-(C9))))</f>
        <v>1078200.4754812566</v>
      </c>
      <c r="E955" s="68">
        <f ca="1">(C10)+(E10-C10)*IF(RAND()&lt;((D10)-(C10))/((E10)-(C10)),SQRT(RAND()*((D10)-(C10))/((E10)-(C10))),1-SQRT(RAND()*((E10)-(D10))/((E10)-(C10))))</f>
        <v>3010041.2211248931</v>
      </c>
      <c r="F955" s="67">
        <f ca="1">(C11)+(E11-C11)*IF(RAND()&lt;((D11)-(C11))/((E11)-(C11)),SQRT(RAND()*((D11)-(C11))/((E11)-(C11))),1-SQRT(RAND()*((E11)-(D11))/((E11)-(C11))))</f>
        <v>1.3889740947827831E-2</v>
      </c>
      <c r="G955" s="67">
        <f ca="1">(C12)+(E12-C12)*IF(RAND()&lt;((D12)-(C12))/((E12)-(C12)),SQRT(RAND()*((D12)-(C12))/((E12)-(C12))),1-SQRT(RAND()*((E12)-(D12))/((E12)-(C12))))</f>
        <v>0.13274400300155795</v>
      </c>
      <c r="H955" s="68">
        <f t="shared" ca="1" si="28"/>
        <v>262266418.7040627</v>
      </c>
      <c r="I955" s="69">
        <f t="shared" ca="1" si="29"/>
        <v>322.15552070410348</v>
      </c>
    </row>
    <row r="956" spans="1:9" ht="16.05" customHeight="1" x14ac:dyDescent="0.3">
      <c r="A956" s="70">
        <v>940</v>
      </c>
      <c r="B956" s="71">
        <f ca="1">(C7)+(E7-C7)*IF(RAND()&lt;((D7)-(C7))/((E7)-(C7)),SQRT(RAND()*((D7)-(C7))/((E7)-(C7))),1-SQRT(RAND()*((E7)-(D7))/((E7)-(C7))))</f>
        <v>0.34328590811778781</v>
      </c>
      <c r="C956" s="71">
        <f ca="1">(C8)+(E8-C8)*IF(RAND()&lt;((D8)-(C8))/((E8)-(C8)),SQRT(RAND()*((D8)-(C8))/((E8)-(C8))),1-SQRT(RAND()*((E8)-(D8))/((E8)-(C8))))</f>
        <v>0.5681283402267705</v>
      </c>
      <c r="D956" s="72">
        <f ca="1">(C9)+(E9-C9)*IF(RAND()&lt;((D9)-(C9))/((E9)-(C9)),SQRT(RAND()*((D9)-(C9))/((E9)-(C9))),1-SQRT(RAND()*((E9)-(D9))/((E9)-(C9))))</f>
        <v>1218219.9200796394</v>
      </c>
      <c r="E956" s="72">
        <f ca="1">(C10)+(E10-C10)*IF(RAND()&lt;((D10)-(C10))/((E10)-(C10)),SQRT(RAND()*((D10)-(C10))/((E10)-(C10))),1-SQRT(RAND()*((E10)-(D10))/((E10)-(C10))))</f>
        <v>4005885.744182793</v>
      </c>
      <c r="F956" s="71">
        <f ca="1">(C11)+(E11-C11)*IF(RAND()&lt;((D11)-(C11))/((E11)-(C11)),SQRT(RAND()*((D11)-(C11))/((E11)-(C11))),1-SQRT(RAND()*((E11)-(D11))/((E11)-(C11))))</f>
        <v>1.318396087608246E-2</v>
      </c>
      <c r="G956" s="71">
        <f ca="1">(C12)+(E12-C12)*IF(RAND()&lt;((D12)-(C12))/((E12)-(C12)),SQRT(RAND()*((D12)-(C12))/((E12)-(C12))),1-SQRT(RAND()*((E12)-(D12))/((E12)-(C12))))</f>
        <v>0.16447261488727716</v>
      </c>
      <c r="H956" s="72">
        <f t="shared" ca="1" si="28"/>
        <v>290938155.4960891</v>
      </c>
      <c r="I956" s="73">
        <f t="shared" ca="1" si="29"/>
        <v>316.32267114738528</v>
      </c>
    </row>
    <row r="957" spans="1:9" ht="16.05" customHeight="1" x14ac:dyDescent="0.3">
      <c r="A957" s="66">
        <v>941</v>
      </c>
      <c r="B957" s="67">
        <f ca="1">(C7)+(E7-C7)*IF(RAND()&lt;((D7)-(C7))/((E7)-(C7)),SQRT(RAND()*((D7)-(C7))/((E7)-(C7))),1-SQRT(RAND()*((E7)-(D7))/((E7)-(C7))))</f>
        <v>0.29173572330774122</v>
      </c>
      <c r="C957" s="67">
        <f ca="1">(C8)+(E8-C8)*IF(RAND()&lt;((D8)-(C8))/((E8)-(C8)),SQRT(RAND()*((D8)-(C8))/((E8)-(C8))),1-SQRT(RAND()*((E8)-(D8))/((E8)-(C8))))</f>
        <v>0.59991770604153816</v>
      </c>
      <c r="D957" s="68">
        <f ca="1">(C9)+(E9-C9)*IF(RAND()&lt;((D9)-(C9))/((E9)-(C9)),SQRT(RAND()*((D9)-(C9))/((E9)-(C9))),1-SQRT(RAND()*((E9)-(D9))/((E9)-(C9))))</f>
        <v>1229787.4235574533</v>
      </c>
      <c r="E957" s="68">
        <f ca="1">(C10)+(E10-C10)*IF(RAND()&lt;((D10)-(C10))/((E10)-(C10)),SQRT(RAND()*((D10)-(C10))/((E10)-(C10))),1-SQRT(RAND()*((E10)-(D10))/((E10)-(C10))))</f>
        <v>3431705.3307220545</v>
      </c>
      <c r="F957" s="67">
        <f ca="1">(C11)+(E11-C11)*IF(RAND()&lt;((D11)-(C11))/((E11)-(C11)),SQRT(RAND()*((D11)-(C11))/((E11)-(C11))),1-SQRT(RAND()*((E11)-(D11))/((E11)-(C11))))</f>
        <v>2.6575635362215022E-2</v>
      </c>
      <c r="G957" s="67">
        <f ca="1">(C12)+(E12-C12)*IF(RAND()&lt;((D12)-(C12))/((E12)-(C12)),SQRT(RAND()*((D12)-(C12))/((E12)-(C12))),1-SQRT(RAND()*((E12)-(D12))/((E12)-(C12))))</f>
        <v>0.16187905899798949</v>
      </c>
      <c r="H957" s="68">
        <f t="shared" ca="1" si="28"/>
        <v>367986420.92681915</v>
      </c>
      <c r="I957" s="69">
        <f t="shared" ca="1" si="29"/>
        <v>395.99651031423508</v>
      </c>
    </row>
    <row r="958" spans="1:9" ht="16.05" customHeight="1" x14ac:dyDescent="0.3">
      <c r="A958" s="70">
        <v>942</v>
      </c>
      <c r="B958" s="71">
        <f ca="1">(C7)+(E7-C7)*IF(RAND()&lt;((D7)-(C7))/((E7)-(C7)),SQRT(RAND()*((D7)-(C7))/((E7)-(C7))),1-SQRT(RAND()*((E7)-(D7))/((E7)-(C7))))</f>
        <v>0.25234228841982559</v>
      </c>
      <c r="C958" s="71">
        <f ca="1">(C8)+(E8-C8)*IF(RAND()&lt;((D8)-(C8))/((E8)-(C8)),SQRT(RAND()*((D8)-(C8))/((E8)-(C8))),1-SQRT(RAND()*((E8)-(D8))/((E8)-(C8))))</f>
        <v>0.60815205348539236</v>
      </c>
      <c r="D958" s="72">
        <f ca="1">(C9)+(E9-C9)*IF(RAND()&lt;((D9)-(C9))/((E9)-(C9)),SQRT(RAND()*((D9)-(C9))/((E9)-(C9))),1-SQRT(RAND()*((E9)-(D9))/((E9)-(C9))))</f>
        <v>1269382.0254558439</v>
      </c>
      <c r="E958" s="72">
        <f ca="1">(C10)+(E10-C10)*IF(RAND()&lt;((D10)-(C10))/((E10)-(C10)),SQRT(RAND()*((D10)-(C10))/((E10)-(C10))),1-SQRT(RAND()*((E10)-(D10))/((E10)-(C10))))</f>
        <v>4328006.9368601665</v>
      </c>
      <c r="F958" s="71">
        <f ca="1">(C11)+(E11-C11)*IF(RAND()&lt;((D11)-(C11))/((E11)-(C11)),SQRT(RAND()*((D11)-(C11))/((E11)-(C11))),1-SQRT(RAND()*((E11)-(D11))/((E11)-(C11))))</f>
        <v>1.3930730089282917E-2</v>
      </c>
      <c r="G958" s="71">
        <f ca="1">(C12)+(E12-C12)*IF(RAND()&lt;((D12)-(C12))/((E12)-(C12)),SQRT(RAND()*((D12)-(C12))/((E12)-(C12))),1-SQRT(RAND()*((E12)-(D12))/((E12)-(C12))))</f>
        <v>0.14482511601337519</v>
      </c>
      <c r="H958" s="72">
        <f t="shared" ca="1" si="28"/>
        <v>249831708.73250279</v>
      </c>
      <c r="I958" s="73">
        <f t="shared" ca="1" si="29"/>
        <v>260.91371170540634</v>
      </c>
    </row>
    <row r="959" spans="1:9" ht="16.05" customHeight="1" x14ac:dyDescent="0.3">
      <c r="A959" s="66">
        <v>943</v>
      </c>
      <c r="B959" s="67">
        <f ca="1">(C7)+(E7-C7)*IF(RAND()&lt;((D7)-(C7))/((E7)-(C7)),SQRT(RAND()*((D7)-(C7))/((E7)-(C7))),1-SQRT(RAND()*((E7)-(D7))/((E7)-(C7))))</f>
        <v>0.28068475601946052</v>
      </c>
      <c r="C959" s="67">
        <f ca="1">(C8)+(E8-C8)*IF(RAND()&lt;((D8)-(C8))/((E8)-(C8)),SQRT(RAND()*((D8)-(C8))/((E8)-(C8))),1-SQRT(RAND()*((E8)-(D8))/((E8)-(C8))))</f>
        <v>0.52116785060376225</v>
      </c>
      <c r="D959" s="68">
        <f ca="1">(C9)+(E9-C9)*IF(RAND()&lt;((D9)-(C9))/((E9)-(C9)),SQRT(RAND()*((D9)-(C9))/((E9)-(C9))),1-SQRT(RAND()*((E9)-(D9))/((E9)-(C9))))</f>
        <v>1228070.5999548023</v>
      </c>
      <c r="E959" s="68">
        <f ca="1">(C10)+(E10-C10)*IF(RAND()&lt;((D10)-(C10))/((E10)-(C10)),SQRT(RAND()*((D10)-(C10))/((E10)-(C10))),1-SQRT(RAND()*((E10)-(D10))/((E10)-(C10))))</f>
        <v>4206792.2088593515</v>
      </c>
      <c r="F959" s="67">
        <f ca="1">(C11)+(E11-C11)*IF(RAND()&lt;((D11)-(C11))/((E11)-(C11)),SQRT(RAND()*((D11)-(C11))/((E11)-(C11))),1-SQRT(RAND()*((E11)-(D11))/((E11)-(C11))))</f>
        <v>7.2733178538438503E-3</v>
      </c>
      <c r="G959" s="67">
        <f ca="1">(C12)+(E12-C12)*IF(RAND()&lt;((D12)-(C12))/((E12)-(C12)),SQRT(RAND()*((D12)-(C12))/((E12)-(C12))),1-SQRT(RAND()*((E12)-(D12))/((E12)-(C12))))</f>
        <v>0.1549214522833379</v>
      </c>
      <c r="H959" s="68">
        <f t="shared" ca="1" si="28"/>
        <v>194471584.31715932</v>
      </c>
      <c r="I959" s="69">
        <f t="shared" ca="1" si="29"/>
        <v>210.18773660665636</v>
      </c>
    </row>
    <row r="960" spans="1:9" ht="16.05" customHeight="1" x14ac:dyDescent="0.3">
      <c r="A960" s="70">
        <v>944</v>
      </c>
      <c r="B960" s="71">
        <f ca="1">(C7)+(E7-C7)*IF(RAND()&lt;((D7)-(C7))/((E7)-(C7)),SQRT(RAND()*((D7)-(C7))/((E7)-(C7))),1-SQRT(RAND()*((E7)-(D7))/((E7)-(C7))))</f>
        <v>0.27021384727609388</v>
      </c>
      <c r="C960" s="71">
        <f ca="1">(C8)+(E8-C8)*IF(RAND()&lt;((D8)-(C8))/((E8)-(C8)),SQRT(RAND()*((D8)-(C8))/((E8)-(C8))),1-SQRT(RAND()*((E8)-(D8))/((E8)-(C8))))</f>
        <v>0.74977426132667768</v>
      </c>
      <c r="D960" s="72">
        <f ca="1">(C9)+(E9-C9)*IF(RAND()&lt;((D9)-(C9))/((E9)-(C9)),SQRT(RAND()*((D9)-(C9))/((E9)-(C9))),1-SQRT(RAND()*((E9)-(D9))/((E9)-(C9))))</f>
        <v>1234779.4769122596</v>
      </c>
      <c r="E960" s="72">
        <f ca="1">(C10)+(E10-C10)*IF(RAND()&lt;((D10)-(C10))/((E10)-(C10)),SQRT(RAND()*((D10)-(C10))/((E10)-(C10))),1-SQRT(RAND()*((E10)-(D10))/((E10)-(C10))))</f>
        <v>3040899.6881405818</v>
      </c>
      <c r="F960" s="71">
        <f ca="1">(C11)+(E11-C11)*IF(RAND()&lt;((D11)-(C11))/((E11)-(C11)),SQRT(RAND()*((D11)-(C11))/((E11)-(C11))),1-SQRT(RAND()*((E11)-(D11))/((E11)-(C11))))</f>
        <v>1.0489834786039522E-2</v>
      </c>
      <c r="G960" s="71">
        <f ca="1">(C12)+(E12-C12)*IF(RAND()&lt;((D12)-(C12))/((E12)-(C12)),SQRT(RAND()*((D12)-(C12))/((E12)-(C12))),1-SQRT(RAND()*((E12)-(D12))/((E12)-(C12))))</f>
        <v>0.15246848481858974</v>
      </c>
      <c r="H960" s="72">
        <f t="shared" ca="1" si="28"/>
        <v>283369037.81562322</v>
      </c>
      <c r="I960" s="73">
        <f t="shared" ca="1" si="29"/>
        <v>304.01286800652605</v>
      </c>
    </row>
    <row r="961" spans="1:9" ht="16.05" customHeight="1" x14ac:dyDescent="0.3">
      <c r="A961" s="66">
        <v>945</v>
      </c>
      <c r="B961" s="67">
        <f ca="1">(C7)+(E7-C7)*IF(RAND()&lt;((D7)-(C7))/((E7)-(C7)),SQRT(RAND()*((D7)-(C7))/((E7)-(C7))),1-SQRT(RAND()*((E7)-(D7))/((E7)-(C7))))</f>
        <v>0.25424967138741117</v>
      </c>
      <c r="C961" s="67">
        <f ca="1">(C8)+(E8-C8)*IF(RAND()&lt;((D8)-(C8))/((E8)-(C8)),SQRT(RAND()*((D8)-(C8))/((E8)-(C8))),1-SQRT(RAND()*((E8)-(D8))/((E8)-(C8))))</f>
        <v>0.73658540038151998</v>
      </c>
      <c r="D961" s="68">
        <f ca="1">(C9)+(E9-C9)*IF(RAND()&lt;((D9)-(C9))/((E9)-(C9)),SQRT(RAND()*((D9)-(C9))/((E9)-(C9))),1-SQRT(RAND()*((E9)-(D9))/((E9)-(C9))))</f>
        <v>1251275.1881595326</v>
      </c>
      <c r="E961" s="68">
        <f ca="1">(C10)+(E10-C10)*IF(RAND()&lt;((D10)-(C10))/((E10)-(C10)),SQRT(RAND()*((D10)-(C10))/((E10)-(C10))),1-SQRT(RAND()*((E10)-(D10))/((E10)-(C10))))</f>
        <v>4857525.1161535755</v>
      </c>
      <c r="F961" s="67">
        <f ca="1">(C11)+(E11-C11)*IF(RAND()&lt;((D11)-(C11))/((E11)-(C11)),SQRT(RAND()*((D11)-(C11))/((E11)-(C11))),1-SQRT(RAND()*((E11)-(D11))/((E11)-(C11))))</f>
        <v>1.1825581707578437E-2</v>
      </c>
      <c r="G961" s="67">
        <f ca="1">(C12)+(E12-C12)*IF(RAND()&lt;((D12)-(C12))/((E12)-(C12)),SQRT(RAND()*((D12)-(C12))/((E12)-(C12))),1-SQRT(RAND()*((E12)-(D12))/((E12)-(C12))))</f>
        <v>0.13412807535777341</v>
      </c>
      <c r="H961" s="68">
        <f t="shared" ca="1" si="28"/>
        <v>269436546.73770875</v>
      </c>
      <c r="I961" s="69">
        <f t="shared" ca="1" si="29"/>
        <v>285.33597637659136</v>
      </c>
    </row>
    <row r="962" spans="1:9" ht="16.05" customHeight="1" x14ac:dyDescent="0.3">
      <c r="A962" s="70">
        <v>946</v>
      </c>
      <c r="B962" s="71">
        <f ca="1">(C7)+(E7-C7)*IF(RAND()&lt;((D7)-(C7))/((E7)-(C7)),SQRT(RAND()*((D7)-(C7))/((E7)-(C7))),1-SQRT(RAND()*((E7)-(D7))/((E7)-(C7))))</f>
        <v>0.26327956789268303</v>
      </c>
      <c r="C962" s="71">
        <f ca="1">(C8)+(E8-C8)*IF(RAND()&lt;((D8)-(C8))/((E8)-(C8)),SQRT(RAND()*((D8)-(C8))/((E8)-(C8))),1-SQRT(RAND()*((E8)-(D8))/((E8)-(C8))))</f>
        <v>0.79409020154773091</v>
      </c>
      <c r="D962" s="72">
        <f ca="1">(C9)+(E9-C9)*IF(RAND()&lt;((D9)-(C9))/((E9)-(C9)),SQRT(RAND()*((D9)-(C9))/((E9)-(C9))),1-SQRT(RAND()*((E9)-(D9))/((E9)-(C9))))</f>
        <v>1346724.7982067387</v>
      </c>
      <c r="E962" s="72">
        <f ca="1">(C10)+(E10-C10)*IF(RAND()&lt;((D10)-(C10))/((E10)-(C10)),SQRT(RAND()*((D10)-(C10))/((E10)-(C10))),1-SQRT(RAND()*((E10)-(D10))/((E10)-(C10))))</f>
        <v>3508202.4319237564</v>
      </c>
      <c r="F962" s="71">
        <f ca="1">(C11)+(E11-C11)*IF(RAND()&lt;((D11)-(C11))/((E11)-(C11)),SQRT(RAND()*((D11)-(C11))/((E11)-(C11))),1-SQRT(RAND()*((E11)-(D11))/((E11)-(C11))))</f>
        <v>1.5584855842741599E-2</v>
      </c>
      <c r="G962" s="71">
        <f ca="1">(C12)+(E12-C12)*IF(RAND()&lt;((D12)-(C12))/((E12)-(C12)),SQRT(RAND()*((D12)-(C12))/((E12)-(C12))),1-SQRT(RAND()*((E12)-(D12))/((E12)-(C12))))</f>
        <v>0.14409791825143192</v>
      </c>
      <c r="H962" s="72">
        <f t="shared" ca="1" si="28"/>
        <v>325297032.16922462</v>
      </c>
      <c r="I962" s="73">
        <f t="shared" ca="1" si="29"/>
        <v>319.91614144210479</v>
      </c>
    </row>
    <row r="963" spans="1:9" ht="16.05" customHeight="1" x14ac:dyDescent="0.3">
      <c r="A963" s="66">
        <v>947</v>
      </c>
      <c r="B963" s="67">
        <f ca="1">(C7)+(E7-C7)*IF(RAND()&lt;((D7)-(C7))/((E7)-(C7)),SQRT(RAND()*((D7)-(C7))/((E7)-(C7))),1-SQRT(RAND()*((E7)-(D7))/((E7)-(C7))))</f>
        <v>0.30027833788949165</v>
      </c>
      <c r="C963" s="67">
        <f ca="1">(C8)+(E8-C8)*IF(RAND()&lt;((D8)-(C8))/((E8)-(C8)),SQRT(RAND()*((D8)-(C8))/((E8)-(C8))),1-SQRT(RAND()*((E8)-(D8))/((E8)-(C8))))</f>
        <v>0.74559790311928442</v>
      </c>
      <c r="D963" s="68">
        <f ca="1">(C9)+(E9-C9)*IF(RAND()&lt;((D9)-(C9))/((E9)-(C9)),SQRT(RAND()*((D9)-(C9))/((E9)-(C9))),1-SQRT(RAND()*((E9)-(D9))/((E9)-(C9))))</f>
        <v>1343972.9678757768</v>
      </c>
      <c r="E963" s="68">
        <f ca="1">(C10)+(E10-C10)*IF(RAND()&lt;((D10)-(C10))/((E10)-(C10)),SQRT(RAND()*((D10)-(C10))/((E10)-(C10))),1-SQRT(RAND()*((E10)-(D10))/((E10)-(C10))))</f>
        <v>3407753.1590780364</v>
      </c>
      <c r="F963" s="67">
        <f ca="1">(C11)+(E11-C11)*IF(RAND()&lt;((D11)-(C11))/((E11)-(C11)),SQRT(RAND()*((D11)-(C11))/((E11)-(C11))),1-SQRT(RAND()*((E11)-(D11))/((E11)-(C11))))</f>
        <v>1.724007930259993E-2</v>
      </c>
      <c r="G963" s="67">
        <f ca="1">(C12)+(E12-C12)*IF(RAND()&lt;((D12)-(C12))/((E12)-(C12)),SQRT(RAND()*((D12)-(C12))/((E12)-(C12))),1-SQRT(RAND()*((E12)-(D12))/((E12)-(C12))))</f>
        <v>0.14217000034573352</v>
      </c>
      <c r="H963" s="68">
        <f t="shared" ca="1" si="28"/>
        <v>353750008.92897379</v>
      </c>
      <c r="I963" s="69">
        <f t="shared" ca="1" si="29"/>
        <v>348.4924924413433</v>
      </c>
    </row>
    <row r="964" spans="1:9" ht="16.05" customHeight="1" x14ac:dyDescent="0.3">
      <c r="A964" s="70">
        <v>948</v>
      </c>
      <c r="B964" s="71">
        <f ca="1">(C7)+(E7-C7)*IF(RAND()&lt;((D7)-(C7))/((E7)-(C7)),SQRT(RAND()*((D7)-(C7))/((E7)-(C7))),1-SQRT(RAND()*((E7)-(D7))/((E7)-(C7))))</f>
        <v>0.34735386042077043</v>
      </c>
      <c r="C964" s="71">
        <f ca="1">(C8)+(E8-C8)*IF(RAND()&lt;((D8)-(C8))/((E8)-(C8)),SQRT(RAND()*((D8)-(C8))/((E8)-(C8))),1-SQRT(RAND()*((E8)-(D8))/((E8)-(C8))))</f>
        <v>0.67600769400697691</v>
      </c>
      <c r="D964" s="72">
        <f ca="1">(C9)+(E9-C9)*IF(RAND()&lt;((D9)-(C9))/((E9)-(C9)),SQRT(RAND()*((D9)-(C9))/((E9)-(C9))),1-SQRT(RAND()*((E9)-(D9))/((E9)-(C9))))</f>
        <v>1188028.905574294</v>
      </c>
      <c r="E964" s="72">
        <f ca="1">(C10)+(E10-C10)*IF(RAND()&lt;((D10)-(C10))/((E10)-(C10)),SQRT(RAND()*((D10)-(C10))/((E10)-(C10))),1-SQRT(RAND()*((E10)-(D10))/((E10)-(C10))))</f>
        <v>3002937.5840836116</v>
      </c>
      <c r="F964" s="71">
        <f ca="1">(C11)+(E11-C11)*IF(RAND()&lt;((D11)-(C11))/((E11)-(C11)),SQRT(RAND()*((D11)-(C11))/((E11)-(C11))),1-SQRT(RAND()*((E11)-(D11))/((E11)-(C11))))</f>
        <v>1.6285668950229204E-2</v>
      </c>
      <c r="G964" s="71">
        <f ca="1">(C12)+(E12-C12)*IF(RAND()&lt;((D12)-(C12))/((E12)-(C12)),SQRT(RAND()*((D12)-(C12))/((E12)-(C12))),1-SQRT(RAND()*((E12)-(D12))/((E12)-(C12))))</f>
        <v>0.17484082701844134</v>
      </c>
      <c r="H964" s="72">
        <f t="shared" ca="1" si="28"/>
        <v>360439989.66971117</v>
      </c>
      <c r="I964" s="73">
        <f t="shared" ca="1" si="29"/>
        <v>401.49090580772048</v>
      </c>
    </row>
    <row r="965" spans="1:9" ht="16.05" customHeight="1" x14ac:dyDescent="0.3">
      <c r="A965" s="66">
        <v>949</v>
      </c>
      <c r="B965" s="67">
        <f ca="1">(C7)+(E7-C7)*IF(RAND()&lt;((D7)-(C7))/((E7)-(C7)),SQRT(RAND()*((D7)-(C7))/((E7)-(C7))),1-SQRT(RAND()*((E7)-(D7))/((E7)-(C7))))</f>
        <v>0.20654311620083318</v>
      </c>
      <c r="C965" s="67">
        <f ca="1">(C8)+(E8-C8)*IF(RAND()&lt;((D8)-(C8))/((E8)-(C8)),SQRT(RAND()*((D8)-(C8))/((E8)-(C8))),1-SQRT(RAND()*((E8)-(D8))/((E8)-(C8))))</f>
        <v>0.60693806684765295</v>
      </c>
      <c r="D965" s="68">
        <f ca="1">(C9)+(E9-C9)*IF(RAND()&lt;((D9)-(C9))/((E9)-(C9)),SQRT(RAND()*((D9)-(C9))/((E9)-(C9))),1-SQRT(RAND()*((E9)-(D9))/((E9)-(C9))))</f>
        <v>1084324.3402596009</v>
      </c>
      <c r="E965" s="68">
        <f ca="1">(C10)+(E10-C10)*IF(RAND()&lt;((D10)-(C10))/((E10)-(C10)),SQRT(RAND()*((D10)-(C10))/((E10)-(C10))),1-SQRT(RAND()*((E10)-(D10))/((E10)-(C10))))</f>
        <v>3973511.6630565999</v>
      </c>
      <c r="F965" s="67">
        <f ca="1">(C11)+(E11-C11)*IF(RAND()&lt;((D11)-(C11))/((E11)-(C11)),SQRT(RAND()*((D11)-(C11))/((E11)-(C11))),1-SQRT(RAND()*((E11)-(D11))/((E11)-(C11))))</f>
        <v>1.0143642614262318E-2</v>
      </c>
      <c r="G965" s="67">
        <f ca="1">(C12)+(E12-C12)*IF(RAND()&lt;((D12)-(C12))/((E12)-(C12)),SQRT(RAND()*((D12)-(C12))/((E12)-(C12))),1-SQRT(RAND()*((E12)-(D12))/((E12)-(C12))))</f>
        <v>0.16406563098212129</v>
      </c>
      <c r="H965" s="68">
        <f t="shared" ca="1" si="28"/>
        <v>193451204.14356336</v>
      </c>
      <c r="I965" s="69">
        <f t="shared" ca="1" si="29"/>
        <v>236.63575755765444</v>
      </c>
    </row>
    <row r="966" spans="1:9" ht="16.05" customHeight="1" x14ac:dyDescent="0.3">
      <c r="A966" s="70">
        <v>950</v>
      </c>
      <c r="B966" s="71">
        <f ca="1">(C7)+(E7-C7)*IF(RAND()&lt;((D7)-(C7))/((E7)-(C7)),SQRT(RAND()*((D7)-(C7))/((E7)-(C7))),1-SQRT(RAND()*((E7)-(D7))/((E7)-(C7))))</f>
        <v>0.23092344624347719</v>
      </c>
      <c r="C966" s="71">
        <f ca="1">(C8)+(E8-C8)*IF(RAND()&lt;((D8)-(C8))/((E8)-(C8)),SQRT(RAND()*((D8)-(C8))/((E8)-(C8))),1-SQRT(RAND()*((E8)-(D8))/((E8)-(C8))))</f>
        <v>0.72261051152341582</v>
      </c>
      <c r="D966" s="72">
        <f ca="1">(C9)+(E9-C9)*IF(RAND()&lt;((D9)-(C9))/((E9)-(C9)),SQRT(RAND()*((D9)-(C9))/((E9)-(C9))),1-SQRT(RAND()*((E9)-(D9))/((E9)-(C9))))</f>
        <v>1330566.6594347595</v>
      </c>
      <c r="E966" s="72">
        <f ca="1">(C10)+(E10-C10)*IF(RAND()&lt;((D10)-(C10))/((E10)-(C10)),SQRT(RAND()*((D10)-(C10))/((E10)-(C10))),1-SQRT(RAND()*((E10)-(D10))/((E10)-(C10))))</f>
        <v>5097330.0109247919</v>
      </c>
      <c r="F966" s="71">
        <f ca="1">(C11)+(E11-C11)*IF(RAND()&lt;((D11)-(C11))/((E11)-(C11)),SQRT(RAND()*((D11)-(C11))/((E11)-(C11))),1-SQRT(RAND()*((E11)-(D11))/((E11)-(C11))))</f>
        <v>8.5405192014385411E-3</v>
      </c>
      <c r="G966" s="71">
        <f ca="1">(C12)+(E12-C12)*IF(RAND()&lt;((D12)-(C12))/((E12)-(C12)),SQRT(RAND()*((D12)-(C12))/((E12)-(C12))),1-SQRT(RAND()*((E12)-(D12))/((E12)-(C12))))</f>
        <v>0.14382422167136602</v>
      </c>
      <c r="H966" s="72">
        <f t="shared" ca="1" si="28"/>
        <v>222533781.9672392</v>
      </c>
      <c r="I966" s="73">
        <f t="shared" ca="1" si="29"/>
        <v>221.91616928294434</v>
      </c>
    </row>
    <row r="967" spans="1:9" ht="16.05" customHeight="1" x14ac:dyDescent="0.3">
      <c r="A967" s="66">
        <v>951</v>
      </c>
      <c r="B967" s="67">
        <f ca="1">(C7)+(E7-C7)*IF(RAND()&lt;((D7)-(C7))/((E7)-(C7)),SQRT(RAND()*((D7)-(C7))/((E7)-(C7))),1-SQRT(RAND()*((E7)-(D7))/((E7)-(C7))))</f>
        <v>0.21493150628552898</v>
      </c>
      <c r="C967" s="67">
        <f ca="1">(C8)+(E8-C8)*IF(RAND()&lt;((D8)-(C8))/((E8)-(C8)),SQRT(RAND()*((D8)-(C8))/((E8)-(C8))),1-SQRT(RAND()*((E8)-(D8))/((E8)-(C8))))</f>
        <v>0.74651896947108343</v>
      </c>
      <c r="D967" s="68">
        <f ca="1">(C9)+(E9-C9)*IF(RAND()&lt;((D9)-(C9))/((E9)-(C9)),SQRT(RAND()*((D9)-(C9))/((E9)-(C9))),1-SQRT(RAND()*((E9)-(D9))/((E9)-(C9))))</f>
        <v>1349197.7791515111</v>
      </c>
      <c r="E967" s="68">
        <f ca="1">(C10)+(E10-C10)*IF(RAND()&lt;((D10)-(C10))/((E10)-(C10)),SQRT(RAND()*((D10)-(C10))/((E10)-(C10))),1-SQRT(RAND()*((E10)-(D10))/((E10)-(C10))))</f>
        <v>2773304.6423655292</v>
      </c>
      <c r="F967" s="67">
        <f ca="1">(C11)+(E11-C11)*IF(RAND()&lt;((D11)-(C11))/((E11)-(C11)),SQRT(RAND()*((D11)-(C11))/((E11)-(C11))),1-SQRT(RAND()*((E11)-(D11))/((E11)-(C11))))</f>
        <v>2.152056121442928E-2</v>
      </c>
      <c r="G967" s="67">
        <f ca="1">(C12)+(E12-C12)*IF(RAND()&lt;((D12)-(C12))/((E12)-(C12)),SQRT(RAND()*((D12)-(C12))/((E12)-(C12))),1-SQRT(RAND()*((E12)-(D12))/((E12)-(C12))))</f>
        <v>0.14618494814486677</v>
      </c>
      <c r="H967" s="68">
        <f t="shared" ca="1" si="28"/>
        <v>318028841.10240668</v>
      </c>
      <c r="I967" s="69">
        <f t="shared" ca="1" si="29"/>
        <v>312.22672976494749</v>
      </c>
    </row>
    <row r="968" spans="1:9" ht="16.05" customHeight="1" x14ac:dyDescent="0.3">
      <c r="A968" s="70">
        <v>952</v>
      </c>
      <c r="B968" s="71">
        <f ca="1">(C7)+(E7-C7)*IF(RAND()&lt;((D7)-(C7))/((E7)-(C7)),SQRT(RAND()*((D7)-(C7))/((E7)-(C7))),1-SQRT(RAND()*((E7)-(D7))/((E7)-(C7))))</f>
        <v>0.31610515587102406</v>
      </c>
      <c r="C968" s="71">
        <f ca="1">(C8)+(E8-C8)*IF(RAND()&lt;((D8)-(C8))/((E8)-(C8)),SQRT(RAND()*((D8)-(C8))/((E8)-(C8))),1-SQRT(RAND()*((E8)-(D8))/((E8)-(C8))))</f>
        <v>0.67243768505861867</v>
      </c>
      <c r="D968" s="72">
        <f ca="1">(C9)+(E9-C9)*IF(RAND()&lt;((D9)-(C9))/((E9)-(C9)),SQRT(RAND()*((D9)-(C9))/((E9)-(C9))),1-SQRT(RAND()*((E9)-(D9))/((E9)-(C9))))</f>
        <v>1039700.4643143584</v>
      </c>
      <c r="E968" s="72">
        <f ca="1">(C10)+(E10-C10)*IF(RAND()&lt;((D10)-(C10))/((E10)-(C10)),SQRT(RAND()*((D10)-(C10))/((E10)-(C10))),1-SQRT(RAND()*((E10)-(D10))/((E10)-(C10))))</f>
        <v>4764632.031692558</v>
      </c>
      <c r="F968" s="71">
        <f ca="1">(C11)+(E11-C11)*IF(RAND()&lt;((D11)-(C11))/((E11)-(C11)),SQRT(RAND()*((D11)-(C11))/((E11)-(C11))),1-SQRT(RAND()*((E11)-(D11))/((E11)-(C11))))</f>
        <v>7.6662984913322277E-3</v>
      </c>
      <c r="G968" s="71">
        <f ca="1">(C12)+(E12-C12)*IF(RAND()&lt;((D12)-(C12))/((E12)-(C12)),SQRT(RAND()*((D12)-(C12))/((E12)-(C12))),1-SQRT(RAND()*((E12)-(D12))/((E12)-(C12))))</f>
        <v>0.12782310291222471</v>
      </c>
      <c r="H968" s="72">
        <f t="shared" ca="1" si="28"/>
        <v>267488310.51917621</v>
      </c>
      <c r="I968" s="73">
        <f t="shared" ca="1" si="29"/>
        <v>340.6606770488591</v>
      </c>
    </row>
    <row r="969" spans="1:9" ht="16.05" customHeight="1" x14ac:dyDescent="0.3">
      <c r="A969" s="66">
        <v>953</v>
      </c>
      <c r="B969" s="67">
        <f ca="1">(C7)+(E7-C7)*IF(RAND()&lt;((D7)-(C7))/((E7)-(C7)),SQRT(RAND()*((D7)-(C7))/((E7)-(C7))),1-SQRT(RAND()*((E7)-(D7))/((E7)-(C7))))</f>
        <v>0.27335807474090268</v>
      </c>
      <c r="C969" s="67">
        <f ca="1">(C8)+(E8-C8)*IF(RAND()&lt;((D8)-(C8))/((E8)-(C8)),SQRT(RAND()*((D8)-(C8))/((E8)-(C8))),1-SQRT(RAND()*((E8)-(D8))/((E8)-(C8))))</f>
        <v>0.62206082890463821</v>
      </c>
      <c r="D969" s="68">
        <f ca="1">(C9)+(E9-C9)*IF(RAND()&lt;((D9)-(C9))/((E9)-(C9)),SQRT(RAND()*((D9)-(C9))/((E9)-(C9))),1-SQRT(RAND()*((E9)-(D9))/((E9)-(C9))))</f>
        <v>1165916.2918927432</v>
      </c>
      <c r="E969" s="68">
        <f ca="1">(C10)+(E10-C10)*IF(RAND()&lt;((D10)-(C10))/((E10)-(C10)),SQRT(RAND()*((D10)-(C10))/((E10)-(C10))),1-SQRT(RAND()*((E10)-(D10))/((E10)-(C10))))</f>
        <v>5413775.2742890287</v>
      </c>
      <c r="F969" s="67">
        <f ca="1">(C11)+(E11-C11)*IF(RAND()&lt;((D11)-(C11))/((E11)-(C11)),SQRT(RAND()*((D11)-(C11))/((E11)-(C11))),1-SQRT(RAND()*((E11)-(D11))/((E11)-(C11))))</f>
        <v>1.4154357923743839E-2</v>
      </c>
      <c r="G969" s="67">
        <f ca="1">(C12)+(E12-C12)*IF(RAND()&lt;((D12)-(C12))/((E12)-(C12)),SQRT(RAND()*((D12)-(C12))/((E12)-(C12))),1-SQRT(RAND()*((E12)-(D12))/((E12)-(C12))))</f>
        <v>0.1535255351730628</v>
      </c>
      <c r="H969" s="68">
        <f t="shared" ca="1" si="28"/>
        <v>265474756.74123901</v>
      </c>
      <c r="I969" s="69">
        <f t="shared" ca="1" si="29"/>
        <v>301.64746093978704</v>
      </c>
    </row>
    <row r="970" spans="1:9" ht="16.05" customHeight="1" x14ac:dyDescent="0.3">
      <c r="A970" s="70">
        <v>954</v>
      </c>
      <c r="B970" s="71">
        <f ca="1">(C7)+(E7-C7)*IF(RAND()&lt;((D7)-(C7))/((E7)-(C7)),SQRT(RAND()*((D7)-(C7))/((E7)-(C7))),1-SQRT(RAND()*((E7)-(D7))/((E7)-(C7))))</f>
        <v>0.30672896675500144</v>
      </c>
      <c r="C970" s="71">
        <f ca="1">(C8)+(E8-C8)*IF(RAND()&lt;((D8)-(C8))/((E8)-(C8)),SQRT(RAND()*((D8)-(C8))/((E8)-(C8))),1-SQRT(RAND()*((E8)-(D8))/((E8)-(C8))))</f>
        <v>0.59802529509394331</v>
      </c>
      <c r="D970" s="72">
        <f ca="1">(C9)+(E9-C9)*IF(RAND()&lt;((D9)-(C9))/((E9)-(C9)),SQRT(RAND()*((D9)-(C9))/((E9)-(C9))),1-SQRT(RAND()*((E9)-(D9))/((E9)-(C9))))</f>
        <v>1230194.5532872388</v>
      </c>
      <c r="E970" s="72">
        <f ca="1">(C10)+(E10-C10)*IF(RAND()&lt;((D10)-(C10))/((E10)-(C10)),SQRT(RAND()*((D10)-(C10))/((E10)-(C10))),1-SQRT(RAND()*((E10)-(D10))/((E10)-(C10))))</f>
        <v>2476193.50535732</v>
      </c>
      <c r="F970" s="71">
        <f ca="1">(C11)+(E11-C11)*IF(RAND()&lt;((D11)-(C11))/((E11)-(C11)),SQRT(RAND()*((D11)-(C11))/((E11)-(C11))),1-SQRT(RAND()*((E11)-(D11))/((E11)-(C11))))</f>
        <v>1.6845542601748583E-2</v>
      </c>
      <c r="G970" s="71">
        <f ca="1">(C12)+(E12-C12)*IF(RAND()&lt;((D12)-(C12))/((E12)-(C12)),SQRT(RAND()*((D12)-(C12))/((E12)-(C12))),1-SQRT(RAND()*((E12)-(D12))/((E12)-(C12))))</f>
        <v>0.16555167728819137</v>
      </c>
      <c r="H970" s="72">
        <f t="shared" ca="1" si="28"/>
        <v>310534010.95279688</v>
      </c>
      <c r="I970" s="73">
        <f t="shared" ca="1" si="29"/>
        <v>334.26668893435328</v>
      </c>
    </row>
    <row r="971" spans="1:9" ht="16.05" customHeight="1" x14ac:dyDescent="0.3">
      <c r="A971" s="66">
        <v>955</v>
      </c>
      <c r="B971" s="67">
        <f ca="1">(C7)+(E7-C7)*IF(RAND()&lt;((D7)-(C7))/((E7)-(C7)),SQRT(RAND()*((D7)-(C7))/((E7)-(C7))),1-SQRT(RAND()*((E7)-(D7))/((E7)-(C7))))</f>
        <v>0.31430334102990076</v>
      </c>
      <c r="C971" s="67">
        <f ca="1">(C8)+(E8-C8)*IF(RAND()&lt;((D8)-(C8))/((E8)-(C8)),SQRT(RAND()*((D8)-(C8))/((E8)-(C8))),1-SQRT(RAND()*((E8)-(D8))/((E8)-(C8))))</f>
        <v>0.6207268004113301</v>
      </c>
      <c r="D971" s="68">
        <f ca="1">(C9)+(E9-C9)*IF(RAND()&lt;((D9)-(C9))/((E9)-(C9)),SQRT(RAND()*((D9)-(C9))/((E9)-(C9))),1-SQRT(RAND()*((E9)-(D9))/((E9)-(C9))))</f>
        <v>1079938.0521203419</v>
      </c>
      <c r="E971" s="68">
        <f ca="1">(C10)+(E10-C10)*IF(RAND()&lt;((D10)-(C10))/((E10)-(C10)),SQRT(RAND()*((D10)-(C10))/((E10)-(C10))),1-SQRT(RAND()*((E10)-(D10))/((E10)-(C10))))</f>
        <v>3197603.9888013182</v>
      </c>
      <c r="F971" s="67">
        <f ca="1">(C11)+(E11-C11)*IF(RAND()&lt;((D11)-(C11))/((E11)-(C11)),SQRT(RAND()*((D11)-(C11))/((E11)-(C11))),1-SQRT(RAND()*((E11)-(D11))/((E11)-(C11))))</f>
        <v>1.0764250741993091E-2</v>
      </c>
      <c r="G971" s="67">
        <f ca="1">(C12)+(E12-C12)*IF(RAND()&lt;((D12)-(C12))/((E12)-(C12)),SQRT(RAND()*((D12)-(C12))/((E12)-(C12))),1-SQRT(RAND()*((E12)-(D12))/((E12)-(C12))))</f>
        <v>0.14831701548237039</v>
      </c>
      <c r="H971" s="68">
        <f t="shared" ca="1" si="28"/>
        <v>276747684.78910893</v>
      </c>
      <c r="I971" s="69">
        <f t="shared" ca="1" si="29"/>
        <v>339.32606993897213</v>
      </c>
    </row>
    <row r="972" spans="1:9" ht="16.05" customHeight="1" x14ac:dyDescent="0.3">
      <c r="A972" s="70">
        <v>956</v>
      </c>
      <c r="B972" s="71">
        <f ca="1">(C7)+(E7-C7)*IF(RAND()&lt;((D7)-(C7))/((E7)-(C7)),SQRT(RAND()*((D7)-(C7))/((E7)-(C7))),1-SQRT(RAND()*((E7)-(D7))/((E7)-(C7))))</f>
        <v>0.17047003711534164</v>
      </c>
      <c r="C972" s="71">
        <f ca="1">(C8)+(E8-C8)*IF(RAND()&lt;((D8)-(C8))/((E8)-(C8)),SQRT(RAND()*((D8)-(C8))/((E8)-(C8))),1-SQRT(RAND()*((E8)-(D8))/((E8)-(C8))))</f>
        <v>0.63197093464521104</v>
      </c>
      <c r="D972" s="72">
        <f ca="1">(C9)+(E9-C9)*IF(RAND()&lt;((D9)-(C9))/((E9)-(C9)),SQRT(RAND()*((D9)-(C9))/((E9)-(C9))),1-SQRT(RAND()*((E9)-(D9))/((E9)-(C9))))</f>
        <v>1164834.0495561413</v>
      </c>
      <c r="E972" s="72">
        <f ca="1">(C10)+(E10-C10)*IF(RAND()&lt;((D10)-(C10))/((E10)-(C10)),SQRT(RAND()*((D10)-(C10))/((E10)-(C10))),1-SQRT(RAND()*((E10)-(D10))/((E10)-(C10))))</f>
        <v>4374134.7250437969</v>
      </c>
      <c r="F972" s="71">
        <f ca="1">(C11)+(E11-C11)*IF(RAND()&lt;((D11)-(C11))/((E11)-(C11)),SQRT(RAND()*((D11)-(C11))/((E11)-(C11))),1-SQRT(RAND()*((E11)-(D11))/((E11)-(C11))))</f>
        <v>9.8592800206160121E-3</v>
      </c>
      <c r="G972" s="71">
        <f ca="1">(C12)+(E12-C12)*IF(RAND()&lt;((D12)-(C12))/((E12)-(C12)),SQRT(RAND()*((D12)-(C12))/((E12)-(C12))),1-SQRT(RAND()*((E12)-(D12))/((E12)-(C12))))</f>
        <v>0.15969020944966586</v>
      </c>
      <c r="H972" s="72">
        <f t="shared" ca="1" si="28"/>
        <v>170622438.10412645</v>
      </c>
      <c r="I972" s="73">
        <f t="shared" ca="1" si="29"/>
        <v>194.52148417197608</v>
      </c>
    </row>
    <row r="973" spans="1:9" ht="16.05" customHeight="1" x14ac:dyDescent="0.3">
      <c r="A973" s="66">
        <v>957</v>
      </c>
      <c r="B973" s="67">
        <f ca="1">(C7)+(E7-C7)*IF(RAND()&lt;((D7)-(C7))/((E7)-(C7)),SQRT(RAND()*((D7)-(C7))/((E7)-(C7))),1-SQRT(RAND()*((E7)-(D7))/((E7)-(C7))))</f>
        <v>0.21452114675048728</v>
      </c>
      <c r="C973" s="67">
        <f ca="1">(C8)+(E8-C8)*IF(RAND()&lt;((D8)-(C8))/((E8)-(C8)),SQRT(RAND()*((D8)-(C8))/((E8)-(C8))),1-SQRT(RAND()*((E8)-(D8))/((E8)-(C8))))</f>
        <v>0.7052148067477304</v>
      </c>
      <c r="D973" s="68">
        <f ca="1">(C9)+(E9-C9)*IF(RAND()&lt;((D9)-(C9))/((E9)-(C9)),SQRT(RAND()*((D9)-(C9))/((E9)-(C9))),1-SQRT(RAND()*((E9)-(D9))/((E9)-(C9))))</f>
        <v>1325043.650780601</v>
      </c>
      <c r="E973" s="68">
        <f ca="1">(C10)+(E10-C10)*IF(RAND()&lt;((D10)-(C10))/((E10)-(C10)),SQRT(RAND()*((D10)-(C10))/((E10)-(C10))),1-SQRT(RAND()*((E10)-(D10))/((E10)-(C10))))</f>
        <v>3790034.7498077312</v>
      </c>
      <c r="F973" s="67">
        <f ca="1">(C11)+(E11-C11)*IF(RAND()&lt;((D11)-(C11))/((E11)-(C11)),SQRT(RAND()*((D11)-(C11))/((E11)-(C11))),1-SQRT(RAND()*((E11)-(D11))/((E11)-(C11))))</f>
        <v>8.8115857951989278E-3</v>
      </c>
      <c r="G973" s="67">
        <f ca="1">(C12)+(E12-C12)*IF(RAND()&lt;((D12)-(C12))/((E12)-(C12)),SQRT(RAND()*((D12)-(C12))/((E12)-(C12))),1-SQRT(RAND()*((E12)-(D12))/((E12)-(C12))))</f>
        <v>0.15344486736697982</v>
      </c>
      <c r="H973" s="68">
        <f t="shared" ca="1" si="28"/>
        <v>212496505.33204135</v>
      </c>
      <c r="I973" s="69">
        <f t="shared" ca="1" si="29"/>
        <v>212.84425584043726</v>
      </c>
    </row>
    <row r="974" spans="1:9" ht="16.05" customHeight="1" x14ac:dyDescent="0.3">
      <c r="A974" s="70">
        <v>958</v>
      </c>
      <c r="B974" s="71">
        <f ca="1">(C7)+(E7-C7)*IF(RAND()&lt;((D7)-(C7))/((E7)-(C7)),SQRT(RAND()*((D7)-(C7))/((E7)-(C7))),1-SQRT(RAND()*((E7)-(D7))/((E7)-(C7))))</f>
        <v>0.29551202107739966</v>
      </c>
      <c r="C974" s="71">
        <f ca="1">(C8)+(E8-C8)*IF(RAND()&lt;((D8)-(C8))/((E8)-(C8)),SQRT(RAND()*((D8)-(C8))/((E8)-(C8))),1-SQRT(RAND()*((E8)-(D8))/((E8)-(C8))))</f>
        <v>0.74210834838490736</v>
      </c>
      <c r="D974" s="72">
        <f ca="1">(C9)+(E9-C9)*IF(RAND()&lt;((D9)-(C9))/((E9)-(C9)),SQRT(RAND()*((D9)-(C9))/((E9)-(C9))),1-SQRT(RAND()*((E9)-(D9))/((E9)-(C9))))</f>
        <v>1199026.4126641112</v>
      </c>
      <c r="E974" s="72">
        <f ca="1">(C10)+(E10-C10)*IF(RAND()&lt;((D10)-(C10))/((E10)-(C10)),SQRT(RAND()*((D10)-(C10))/((E10)-(C10))),1-SQRT(RAND()*((E10)-(D10))/((E10)-(C10))))</f>
        <v>3815570.5884064641</v>
      </c>
      <c r="F974" s="71">
        <f ca="1">(C11)+(E11-C11)*IF(RAND()&lt;((D11)-(C11))/((E11)-(C11)),SQRT(RAND()*((D11)-(C11))/((E11)-(C11))),1-SQRT(RAND()*((E11)-(D11))/((E11)-(C11))))</f>
        <v>9.8922146433450611E-3</v>
      </c>
      <c r="G974" s="71">
        <f ca="1">(C12)+(E12-C12)*IF(RAND()&lt;((D12)-(C12))/((E12)-(C12)),SQRT(RAND()*((D12)-(C12))/((E12)-(C12))),1-SQRT(RAND()*((E12)-(D12))/((E12)-(C12))))</f>
        <v>0.15877178202096318</v>
      </c>
      <c r="H974" s="72">
        <f t="shared" ca="1" si="28"/>
        <v>294326397.22663814</v>
      </c>
      <c r="I974" s="73">
        <f t="shared" ca="1" si="29"/>
        <v>325.09234760571854</v>
      </c>
    </row>
    <row r="975" spans="1:9" ht="16.05" customHeight="1" x14ac:dyDescent="0.3">
      <c r="A975" s="66">
        <v>959</v>
      </c>
      <c r="B975" s="67">
        <f ca="1">(C7)+(E7-C7)*IF(RAND()&lt;((D7)-(C7))/((E7)-(C7)),SQRT(RAND()*((D7)-(C7))/((E7)-(C7))),1-SQRT(RAND()*((E7)-(D7))/((E7)-(C7))))</f>
        <v>0.22105425471615053</v>
      </c>
      <c r="C975" s="67">
        <f ca="1">(C8)+(E8-C8)*IF(RAND()&lt;((D8)-(C8))/((E8)-(C8)),SQRT(RAND()*((D8)-(C8))/((E8)-(C8))),1-SQRT(RAND()*((E8)-(D8))/((E8)-(C8))))</f>
        <v>0.59406105906842599</v>
      </c>
      <c r="D975" s="68">
        <f ca="1">(C9)+(E9-C9)*IF(RAND()&lt;((D9)-(C9))/((E9)-(C9)),SQRT(RAND()*((D9)-(C9))/((E9)-(C9))),1-SQRT(RAND()*((E9)-(D9))/((E9)-(C9))))</f>
        <v>1257247.2078395446</v>
      </c>
      <c r="E975" s="68">
        <f ca="1">(C10)+(E10-C10)*IF(RAND()&lt;((D10)-(C10))/((E10)-(C10)),SQRT(RAND()*((D10)-(C10))/((E10)-(C10))),1-SQRT(RAND()*((E10)-(D10))/((E10)-(C10))))</f>
        <v>4865294.0952851996</v>
      </c>
      <c r="F975" s="67">
        <f ca="1">(C11)+(E11-C11)*IF(RAND()&lt;((D11)-(C11))/((E11)-(C11)),SQRT(RAND()*((D11)-(C11))/((E11)-(C11))),1-SQRT(RAND()*((E11)-(D11))/((E11)-(C11))))</f>
        <v>1.0427909572780468E-2</v>
      </c>
      <c r="G975" s="67">
        <f ca="1">(C12)+(E12-C12)*IF(RAND()&lt;((D12)-(C12))/((E12)-(C12)),SQRT(RAND()*((D12)-(C12))/((E12)-(C12))),1-SQRT(RAND()*((E12)-(D12))/((E12)-(C12))))</f>
        <v>0.14417970160808738</v>
      </c>
      <c r="H975" s="68">
        <f t="shared" ca="1" si="28"/>
        <v>198434601.82868165</v>
      </c>
      <c r="I975" s="69">
        <f t="shared" ca="1" si="29"/>
        <v>209.49820521614507</v>
      </c>
    </row>
    <row r="976" spans="1:9" ht="16.05" customHeight="1" x14ac:dyDescent="0.3">
      <c r="A976" s="70">
        <v>960</v>
      </c>
      <c r="B976" s="71">
        <f ca="1">(C7)+(E7-C7)*IF(RAND()&lt;((D7)-(C7))/((E7)-(C7)),SQRT(RAND()*((D7)-(C7))/((E7)-(C7))),1-SQRT(RAND()*((E7)-(D7))/((E7)-(C7))))</f>
        <v>0.36536696088727089</v>
      </c>
      <c r="C976" s="71">
        <f ca="1">(C8)+(E8-C8)*IF(RAND()&lt;((D8)-(C8))/((E8)-(C8)),SQRT(RAND()*((D8)-(C8))/((E8)-(C8))),1-SQRT(RAND()*((E8)-(D8))/((E8)-(C8))))</f>
        <v>0.74052234655734916</v>
      </c>
      <c r="D976" s="72">
        <f ca="1">(C9)+(E9-C9)*IF(RAND()&lt;((D9)-(C9))/((E9)-(C9)),SQRT(RAND()*((D9)-(C9))/((E9)-(C9))),1-SQRT(RAND()*((E9)-(D9))/((E9)-(C9))))</f>
        <v>1239347.8213060112</v>
      </c>
      <c r="E976" s="72">
        <f ca="1">(C10)+(E10-C10)*IF(RAND()&lt;((D10)-(C10))/((E10)-(C10)),SQRT(RAND()*((D10)-(C10))/((E10)-(C10))),1-SQRT(RAND()*((E10)-(D10))/((E10)-(C10))))</f>
        <v>3749566.2260888154</v>
      </c>
      <c r="F976" s="71">
        <f ca="1">(C11)+(E11-C11)*IF(RAND()&lt;((D11)-(C11))/((E11)-(C11)),SQRT(RAND()*((D11)-(C11))/((E11)-(C11))),1-SQRT(RAND()*((E11)-(D11))/((E11)-(C11))))</f>
        <v>1.0020345694914626E-2</v>
      </c>
      <c r="G976" s="71">
        <f ca="1">(C12)+(E12-C12)*IF(RAND()&lt;((D12)-(C12))/((E12)-(C12)),SQRT(RAND()*((D12)-(C12))/((E12)-(C12))),1-SQRT(RAND()*((E12)-(D12))/((E12)-(C12))))</f>
        <v>0.16183376957337328</v>
      </c>
      <c r="H976" s="72">
        <f t="shared" ca="1" si="28"/>
        <v>351230206.76327854</v>
      </c>
      <c r="I976" s="73">
        <f t="shared" ca="1" si="29"/>
        <v>375.11898983401375</v>
      </c>
    </row>
    <row r="977" spans="1:9" ht="16.05" customHeight="1" x14ac:dyDescent="0.3">
      <c r="A977" s="66">
        <v>961</v>
      </c>
      <c r="B977" s="67">
        <f ca="1">(C7)+(E7-C7)*IF(RAND()&lt;((D7)-(C7))/((E7)-(C7)),SQRT(RAND()*((D7)-(C7))/((E7)-(C7))),1-SQRT(RAND()*((E7)-(D7))/((E7)-(C7))))</f>
        <v>0.24429189949101041</v>
      </c>
      <c r="C977" s="67">
        <f ca="1">(C8)+(E8-C8)*IF(RAND()&lt;((D8)-(C8))/((E8)-(C8)),SQRT(RAND()*((D8)-(C8))/((E8)-(C8))),1-SQRT(RAND()*((E8)-(D8))/((E8)-(C8))))</f>
        <v>0.67187279429893143</v>
      </c>
      <c r="D977" s="68">
        <f ca="1">(C9)+(E9-C9)*IF(RAND()&lt;((D9)-(C9))/((E9)-(C9)),SQRT(RAND()*((D9)-(C9))/((E9)-(C9))),1-SQRT(RAND()*((E9)-(D9))/((E9)-(C9))))</f>
        <v>1264295.1597468434</v>
      </c>
      <c r="E977" s="68">
        <f ca="1">(C10)+(E10-C10)*IF(RAND()&lt;((D10)-(C10))/((E10)-(C10)),SQRT(RAND()*((D10)-(C10))/((E10)-(C10))),1-SQRT(RAND()*((E10)-(D10))/((E10)-(C10))))</f>
        <v>3997945.9269989249</v>
      </c>
      <c r="F977" s="67">
        <f ca="1">(C11)+(E11-C11)*IF(RAND()&lt;((D11)-(C11))/((E11)-(C11)),SQRT(RAND()*((D11)-(C11))/((E11)-(C11))),1-SQRT(RAND()*((E11)-(D11))/((E11)-(C11))))</f>
        <v>9.1282701599563424E-3</v>
      </c>
      <c r="G977" s="67">
        <f ca="1">(C12)+(E12-C12)*IF(RAND()&lt;((D12)-(C12))/((E12)-(C12)),SQRT(RAND()*((D12)-(C12))/((E12)-(C12))),1-SQRT(RAND()*((E12)-(D12))/((E12)-(C12))))</f>
        <v>0.12706368499395959</v>
      </c>
      <c r="H977" s="68">
        <f t="shared" ref="H977:H1016" ca="1" si="30">-D977+($L$1*B977*C977+$M$1*F977-E977)*(1-(1+$N$1)^-5)/$N$1</f>
        <v>228034614.59953645</v>
      </c>
      <c r="I977" s="69">
        <f t="shared" ref="I977:I1016" ca="1" si="31">($L$1*B977*C977+$M$1*F977-E977)*5/D977</f>
        <v>239.21816941699154</v>
      </c>
    </row>
    <row r="978" spans="1:9" ht="16.05" customHeight="1" x14ac:dyDescent="0.3">
      <c r="A978" s="70">
        <v>962</v>
      </c>
      <c r="B978" s="71">
        <f ca="1">(C7)+(E7-C7)*IF(RAND()&lt;((D7)-(C7))/((E7)-(C7)),SQRT(RAND()*((D7)-(C7))/((E7)-(C7))),1-SQRT(RAND()*((E7)-(D7))/((E7)-(C7))))</f>
        <v>0.25865329797971487</v>
      </c>
      <c r="C978" s="71">
        <f ca="1">(C8)+(E8-C8)*IF(RAND()&lt;((D8)-(C8))/((E8)-(C8)),SQRT(RAND()*((D8)-(C8))/((E8)-(C8))),1-SQRT(RAND()*((E8)-(D8))/((E8)-(C8))))</f>
        <v>0.7028158278230372</v>
      </c>
      <c r="D978" s="72">
        <f ca="1">(C9)+(E9-C9)*IF(RAND()&lt;((D9)-(C9))/((E9)-(C9)),SQRT(RAND()*((D9)-(C9))/((E9)-(C9))),1-SQRT(RAND()*((E9)-(D9))/((E9)-(C9))))</f>
        <v>1337054.5526075857</v>
      </c>
      <c r="E978" s="72">
        <f ca="1">(C10)+(E10-C10)*IF(RAND()&lt;((D10)-(C10))/((E10)-(C10)),SQRT(RAND()*((D10)-(C10))/((E10)-(C10))),1-SQRT(RAND()*((E10)-(D10))/((E10)-(C10))))</f>
        <v>4541996.1111921687</v>
      </c>
      <c r="F978" s="71">
        <f ca="1">(C11)+(E11-C11)*IF(RAND()&lt;((D11)-(C11))/((E11)-(C11)),SQRT(RAND()*((D11)-(C11))/((E11)-(C11))),1-SQRT(RAND()*((E11)-(D11))/((E11)-(C11))))</f>
        <v>1.6508956609290925E-2</v>
      </c>
      <c r="G978" s="71">
        <f ca="1">(C12)+(E12-C12)*IF(RAND()&lt;((D12)-(C12))/((E12)-(C12)),SQRT(RAND()*((D12)-(C12))/((E12)-(C12))),1-SQRT(RAND()*((E12)-(D12))/((E12)-(C12))))</f>
        <v>0.13519554522676075</v>
      </c>
      <c r="H978" s="72">
        <f t="shared" ca="1" si="30"/>
        <v>298375942.49243563</v>
      </c>
      <c r="I978" s="73">
        <f t="shared" ca="1" si="31"/>
        <v>295.66308056665287</v>
      </c>
    </row>
    <row r="979" spans="1:9" ht="16.05" customHeight="1" x14ac:dyDescent="0.3">
      <c r="A979" s="66">
        <v>963</v>
      </c>
      <c r="B979" s="67">
        <f ca="1">(C7)+(E7-C7)*IF(RAND()&lt;((D7)-(C7))/((E7)-(C7)),SQRT(RAND()*((D7)-(C7))/((E7)-(C7))),1-SQRT(RAND()*((E7)-(D7))/((E7)-(C7))))</f>
        <v>0.21144097370504386</v>
      </c>
      <c r="C979" s="67">
        <f ca="1">(C8)+(E8-C8)*IF(RAND()&lt;((D8)-(C8))/((E8)-(C8)),SQRT(RAND()*((D8)-(C8))/((E8)-(C8))),1-SQRT(RAND()*((E8)-(D8))/((E8)-(C8))))</f>
        <v>0.59182044400337941</v>
      </c>
      <c r="D979" s="68">
        <f ca="1">(C9)+(E9-C9)*IF(RAND()&lt;((D9)-(C9))/((E9)-(C9)),SQRT(RAND()*((D9)-(C9))/((E9)-(C9))),1-SQRT(RAND()*((E9)-(D9))/((E9)-(C9))))</f>
        <v>1250407.1411872683</v>
      </c>
      <c r="E979" s="68">
        <f ca="1">(C10)+(E10-C10)*IF(RAND()&lt;((D10)-(C10))/((E10)-(C10)),SQRT(RAND()*((D10)-(C10))/((E10)-(C10))),1-SQRT(RAND()*((E10)-(D10))/((E10)-(C10))))</f>
        <v>3069741.9709484028</v>
      </c>
      <c r="F979" s="67">
        <f ca="1">(C11)+(E11-C11)*IF(RAND()&lt;((D11)-(C11))/((E11)-(C11)),SQRT(RAND()*((D11)-(C11))/((E11)-(C11))),1-SQRT(RAND()*((E11)-(D11))/((E11)-(C11))))</f>
        <v>6.2741517763286398E-3</v>
      </c>
      <c r="G979" s="67">
        <f ca="1">(C12)+(E12-C12)*IF(RAND()&lt;((D12)-(C12))/((E12)-(C12)),SQRT(RAND()*((D12)-(C12))/((E12)-(C12))),1-SQRT(RAND()*((E12)-(D12))/((E12)-(C12))))</f>
        <v>0.13283287492165671</v>
      </c>
      <c r="H979" s="68">
        <f t="shared" ca="1" si="30"/>
        <v>168538985.7507678</v>
      </c>
      <c r="I979" s="69">
        <f t="shared" ca="1" si="31"/>
        <v>179.10172069250424</v>
      </c>
    </row>
    <row r="980" spans="1:9" ht="16.05" customHeight="1" x14ac:dyDescent="0.3">
      <c r="A980" s="70">
        <v>964</v>
      </c>
      <c r="B980" s="71">
        <f ca="1">(C7)+(E7-C7)*IF(RAND()&lt;((D7)-(C7))/((E7)-(C7)),SQRT(RAND()*((D7)-(C7))/((E7)-(C7))),1-SQRT(RAND()*((E7)-(D7))/((E7)-(C7))))</f>
        <v>0.2941316025080743</v>
      </c>
      <c r="C980" s="71">
        <f ca="1">(C8)+(E8-C8)*IF(RAND()&lt;((D8)-(C8))/((E8)-(C8)),SQRT(RAND()*((D8)-(C8))/((E8)-(C8))),1-SQRT(RAND()*((E8)-(D8))/((E8)-(C8))))</f>
        <v>0.70929296403775721</v>
      </c>
      <c r="D980" s="72">
        <f ca="1">(C9)+(E9-C9)*IF(RAND()&lt;((D9)-(C9))/((E9)-(C9)),SQRT(RAND()*((D9)-(C9))/((E9)-(C9))),1-SQRT(RAND()*((E9)-(D9))/((E9)-(C9))))</f>
        <v>1147241.924115662</v>
      </c>
      <c r="E980" s="72">
        <f ca="1">(C10)+(E10-C10)*IF(RAND()&lt;((D10)-(C10))/((E10)-(C10)),SQRT(RAND()*((D10)-(C10))/((E10)-(C10))),1-SQRT(RAND()*((E10)-(D10))/((E10)-(C10))))</f>
        <v>3444827.3975833766</v>
      </c>
      <c r="F980" s="71">
        <f ca="1">(C11)+(E11-C11)*IF(RAND()&lt;((D11)-(C11))/((E11)-(C11)),SQRT(RAND()*((D11)-(C11))/((E11)-(C11))),1-SQRT(RAND()*((E11)-(D11))/((E11)-(C11))))</f>
        <v>1.5475717162379013E-2</v>
      </c>
      <c r="G980" s="71">
        <f ca="1">(C12)+(E12-C12)*IF(RAND()&lt;((D12)-(C12))/((E12)-(C12)),SQRT(RAND()*((D12)-(C12))/((E12)-(C12))),1-SQRT(RAND()*((E12)-(D12))/((E12)-(C12))))</f>
        <v>0.14317867225150854</v>
      </c>
      <c r="H980" s="72">
        <f t="shared" ca="1" si="30"/>
        <v>324467883.28011972</v>
      </c>
      <c r="I980" s="73">
        <f t="shared" ca="1" si="31"/>
        <v>374.36066418055248</v>
      </c>
    </row>
    <row r="981" spans="1:9" ht="16.05" customHeight="1" x14ac:dyDescent="0.3">
      <c r="A981" s="66">
        <v>965</v>
      </c>
      <c r="B981" s="67">
        <f ca="1">(C7)+(E7-C7)*IF(RAND()&lt;((D7)-(C7))/((E7)-(C7)),SQRT(RAND()*((D7)-(C7))/((E7)-(C7))),1-SQRT(RAND()*((E7)-(D7))/((E7)-(C7))))</f>
        <v>0.24652563505368069</v>
      </c>
      <c r="C981" s="67">
        <f ca="1">(C8)+(E8-C8)*IF(RAND()&lt;((D8)-(C8))/((E8)-(C8)),SQRT(RAND()*((D8)-(C8))/((E8)-(C8))),1-SQRT(RAND()*((E8)-(D8))/((E8)-(C8))))</f>
        <v>0.6602900916035731</v>
      </c>
      <c r="D981" s="68">
        <f ca="1">(C9)+(E9-C9)*IF(RAND()&lt;((D9)-(C9))/((E9)-(C9)),SQRT(RAND()*((D9)-(C9))/((E9)-(C9))),1-SQRT(RAND()*((E9)-(D9))/((E9)-(C9))))</f>
        <v>1265451.2328155413</v>
      </c>
      <c r="E981" s="68">
        <f ca="1">(C10)+(E10-C10)*IF(RAND()&lt;((D10)-(C10))/((E10)-(C10)),SQRT(RAND()*((D10)-(C10))/((E10)-(C10))),1-SQRT(RAND()*((E10)-(D10))/((E10)-(C10))))</f>
        <v>3406072.6109861871</v>
      </c>
      <c r="F981" s="67">
        <f ca="1">(C11)+(E11-C11)*IF(RAND()&lt;((D11)-(C11))/((E11)-(C11)),SQRT(RAND()*((D11)-(C11))/((E11)-(C11))),1-SQRT(RAND()*((E11)-(D11))/((E11)-(C11))))</f>
        <v>9.5565315946397472E-3</v>
      </c>
      <c r="G981" s="67">
        <f ca="1">(C12)+(E12-C12)*IF(RAND()&lt;((D12)-(C12))/((E12)-(C12)),SQRT(RAND()*((D12)-(C12))/((E12)-(C12))),1-SQRT(RAND()*((E12)-(D12))/((E12)-(C12))))</f>
        <v>0.1483799226399054</v>
      </c>
      <c r="H981" s="68">
        <f t="shared" ca="1" si="30"/>
        <v>231894372.58958596</v>
      </c>
      <c r="I981" s="69">
        <f t="shared" ca="1" si="31"/>
        <v>243.02388172654975</v>
      </c>
    </row>
    <row r="982" spans="1:9" ht="16.05" customHeight="1" x14ac:dyDescent="0.3">
      <c r="A982" s="70">
        <v>966</v>
      </c>
      <c r="B982" s="71">
        <f ca="1">(C7)+(E7-C7)*IF(RAND()&lt;((D7)-(C7))/((E7)-(C7)),SQRT(RAND()*((D7)-(C7))/((E7)-(C7))),1-SQRT(RAND()*((E7)-(D7))/((E7)-(C7))))</f>
        <v>0.22194574415920637</v>
      </c>
      <c r="C982" s="71">
        <f ca="1">(C8)+(E8-C8)*IF(RAND()&lt;((D8)-(C8))/((E8)-(C8)),SQRT(RAND()*((D8)-(C8))/((E8)-(C8))),1-SQRT(RAND()*((E8)-(D8))/((E8)-(C8))))</f>
        <v>0.62834819205472014</v>
      </c>
      <c r="D982" s="72">
        <f ca="1">(C9)+(E9-C9)*IF(RAND()&lt;((D9)-(C9))/((E9)-(C9)),SQRT(RAND()*((D9)-(C9))/((E9)-(C9))),1-SQRT(RAND()*((E9)-(D9))/((E9)-(C9))))</f>
        <v>1196619.4151944406</v>
      </c>
      <c r="E982" s="72">
        <f ca="1">(C10)+(E10-C10)*IF(RAND()&lt;((D10)-(C10))/((E10)-(C10)),SQRT(RAND()*((D10)-(C10))/((E10)-(C10))),1-SQRT(RAND()*((E10)-(D10))/((E10)-(C10))))</f>
        <v>3693372.1179024396</v>
      </c>
      <c r="F982" s="71">
        <f ca="1">(C11)+(E11-C11)*IF(RAND()&lt;((D11)-(C11))/((E11)-(C11)),SQRT(RAND()*((D11)-(C11))/((E11)-(C11))),1-SQRT(RAND()*((E11)-(D11))/((E11)-(C11))))</f>
        <v>1.3565151347990981E-2</v>
      </c>
      <c r="G982" s="71">
        <f ca="1">(C12)+(E12-C12)*IF(RAND()&lt;((D12)-(C12))/((E12)-(C12)),SQRT(RAND()*((D12)-(C12))/((E12)-(C12))),1-SQRT(RAND()*((E12)-(D12))/((E12)-(C12))))</f>
        <v>0.15937947285150053</v>
      </c>
      <c r="H982" s="72">
        <f t="shared" ca="1" si="30"/>
        <v>234436671.29103288</v>
      </c>
      <c r="I982" s="73">
        <f t="shared" ca="1" si="31"/>
        <v>259.72948328595447</v>
      </c>
    </row>
    <row r="983" spans="1:9" ht="16.05" customHeight="1" x14ac:dyDescent="0.3">
      <c r="A983" s="66">
        <v>967</v>
      </c>
      <c r="B983" s="67">
        <f ca="1">(C7)+(E7-C7)*IF(RAND()&lt;((D7)-(C7))/((E7)-(C7)),SQRT(RAND()*((D7)-(C7))/((E7)-(C7))),1-SQRT(RAND()*((E7)-(D7))/((E7)-(C7))))</f>
        <v>0.26753906380052239</v>
      </c>
      <c r="C983" s="67">
        <f ca="1">(C8)+(E8-C8)*IF(RAND()&lt;((D8)-(C8))/((E8)-(C8)),SQRT(RAND()*((D8)-(C8))/((E8)-(C8))),1-SQRT(RAND()*((E8)-(D8))/((E8)-(C8))))</f>
        <v>0.86355549057184877</v>
      </c>
      <c r="D983" s="68">
        <f ca="1">(C9)+(E9-C9)*IF(RAND()&lt;((D9)-(C9))/((E9)-(C9)),SQRT(RAND()*((D9)-(C9))/((E9)-(C9))),1-SQRT(RAND()*((E9)-(D9))/((E9)-(C9))))</f>
        <v>1303444.8695027991</v>
      </c>
      <c r="E983" s="68">
        <f ca="1">(C10)+(E10-C10)*IF(RAND()&lt;((D10)-(C10))/((E10)-(C10)),SQRT(RAND()*((D10)-(C10))/((E10)-(C10))),1-SQRT(RAND()*((E10)-(D10))/((E10)-(C10))))</f>
        <v>3578597.6841480061</v>
      </c>
      <c r="F983" s="67">
        <f ca="1">(C11)+(E11-C11)*IF(RAND()&lt;((D11)-(C11))/((E11)-(C11)),SQRT(RAND()*((D11)-(C11))/((E11)-(C11))),1-SQRT(RAND()*((E11)-(D11))/((E11)-(C11))))</f>
        <v>7.1386315341877542E-3</v>
      </c>
      <c r="G983" s="67">
        <f ca="1">(C12)+(E12-C12)*IF(RAND()&lt;((D12)-(C12))/((E12)-(C12)),SQRT(RAND()*((D12)-(C12))/((E12)-(C12))),1-SQRT(RAND()*((E12)-(D12))/((E12)-(C12))))</f>
        <v>0.14308367904574495</v>
      </c>
      <c r="H983" s="68">
        <f t="shared" ca="1" si="30"/>
        <v>288010736.66057205</v>
      </c>
      <c r="I983" s="69">
        <f t="shared" ca="1" si="31"/>
        <v>292.76402106266238</v>
      </c>
    </row>
    <row r="984" spans="1:9" ht="16.05" customHeight="1" x14ac:dyDescent="0.3">
      <c r="A984" s="70">
        <v>968</v>
      </c>
      <c r="B984" s="71">
        <f ca="1">(C7)+(E7-C7)*IF(RAND()&lt;((D7)-(C7))/((E7)-(C7)),SQRT(RAND()*((D7)-(C7))/((E7)-(C7))),1-SQRT(RAND()*((E7)-(D7))/((E7)-(C7))))</f>
        <v>0.31356379242444987</v>
      </c>
      <c r="C984" s="71">
        <f ca="1">(C8)+(E8-C8)*IF(RAND()&lt;((D8)-(C8))/((E8)-(C8)),SQRT(RAND()*((D8)-(C8))/((E8)-(C8))),1-SQRT(RAND()*((E8)-(D8))/((E8)-(C8))))</f>
        <v>0.60960085126068453</v>
      </c>
      <c r="D984" s="72">
        <f ca="1">(C9)+(E9-C9)*IF(RAND()&lt;((D9)-(C9))/((E9)-(C9)),SQRT(RAND()*((D9)-(C9))/((E9)-(C9))),1-SQRT(RAND()*((E9)-(D9))/((E9)-(C9))))</f>
        <v>1255089.5742263352</v>
      </c>
      <c r="E984" s="72">
        <f ca="1">(C10)+(E10-C10)*IF(RAND()&lt;((D10)-(C10))/((E10)-(C10)),SQRT(RAND()*((D10)-(C10))/((E10)-(C10))),1-SQRT(RAND()*((E10)-(D10))/((E10)-(C10))))</f>
        <v>3955870.0226164483</v>
      </c>
      <c r="F984" s="71">
        <f ca="1">(C11)+(E11-C11)*IF(RAND()&lt;((D11)-(C11))/((E11)-(C11)),SQRT(RAND()*((D11)-(C11))/((E11)-(C11))),1-SQRT(RAND()*((E11)-(D11))/((E11)-(C11))))</f>
        <v>2.0180095722721825E-2</v>
      </c>
      <c r="G984" s="71">
        <f ca="1">(C12)+(E12-C12)*IF(RAND()&lt;((D12)-(C12))/((E12)-(C12)),SQRT(RAND()*((D12)-(C12))/((E12)-(C12))),1-SQRT(RAND()*((E12)-(D12))/((E12)-(C12))))</f>
        <v>0.13610192309345145</v>
      </c>
      <c r="H984" s="72">
        <f t="shared" ca="1" si="30"/>
        <v>337363477.16889888</v>
      </c>
      <c r="I984" s="73">
        <f t="shared" ca="1" si="31"/>
        <v>355.85796699899561</v>
      </c>
    </row>
    <row r="985" spans="1:9" ht="16.05" customHeight="1" x14ac:dyDescent="0.3">
      <c r="A985" s="66">
        <v>969</v>
      </c>
      <c r="B985" s="67">
        <f ca="1">(C7)+(E7-C7)*IF(RAND()&lt;((D7)-(C7))/((E7)-(C7)),SQRT(RAND()*((D7)-(C7))/((E7)-(C7))),1-SQRT(RAND()*((E7)-(D7))/((E7)-(C7))))</f>
        <v>0.28794778399592269</v>
      </c>
      <c r="C985" s="67">
        <f ca="1">(C8)+(E8-C8)*IF(RAND()&lt;((D8)-(C8))/((E8)-(C8)),SQRT(RAND()*((D8)-(C8))/((E8)-(C8))),1-SQRT(RAND()*((E8)-(D8))/((E8)-(C8))))</f>
        <v>0.67715020557745853</v>
      </c>
      <c r="D985" s="68">
        <f ca="1">(C9)+(E9-C9)*IF(RAND()&lt;((D9)-(C9))/((E9)-(C9)),SQRT(RAND()*((D9)-(C9))/((E9)-(C9))),1-SQRT(RAND()*((E9)-(D9))/((E9)-(C9))))</f>
        <v>1152600.2549088271</v>
      </c>
      <c r="E985" s="68">
        <f ca="1">(C10)+(E10-C10)*IF(RAND()&lt;((D10)-(C10))/((E10)-(C10)),SQRT(RAND()*((D10)-(C10))/((E10)-(C10))),1-SQRT(RAND()*((E10)-(D10))/((E10)-(C10))))</f>
        <v>4326541.2576924963</v>
      </c>
      <c r="F985" s="67">
        <f ca="1">(C11)+(E11-C11)*IF(RAND()&lt;((D11)-(C11))/((E11)-(C11)),SQRT(RAND()*((D11)-(C11))/((E11)-(C11))),1-SQRT(RAND()*((E11)-(D11))/((E11)-(C11))))</f>
        <v>1.3469387347415084E-2</v>
      </c>
      <c r="G985" s="67">
        <f ca="1">(C12)+(E12-C12)*IF(RAND()&lt;((D12)-(C12))/((E12)-(C12)),SQRT(RAND()*((D12)-(C12))/((E12)-(C12))),1-SQRT(RAND()*((E12)-(D12))/((E12)-(C12))))</f>
        <v>0.17766333822454977</v>
      </c>
      <c r="H985" s="68">
        <f t="shared" ca="1" si="30"/>
        <v>291797702.54108232</v>
      </c>
      <c r="I985" s="69">
        <f t="shared" ca="1" si="31"/>
        <v>335.24004331299244</v>
      </c>
    </row>
    <row r="986" spans="1:9" ht="16.05" customHeight="1" x14ac:dyDescent="0.3">
      <c r="A986" s="70">
        <v>970</v>
      </c>
      <c r="B986" s="71">
        <f ca="1">(C7)+(E7-C7)*IF(RAND()&lt;((D7)-(C7))/((E7)-(C7)),SQRT(RAND()*((D7)-(C7))/((E7)-(C7))),1-SQRT(RAND()*((E7)-(D7))/((E7)-(C7))))</f>
        <v>0.30202173312806546</v>
      </c>
      <c r="C986" s="71">
        <f ca="1">(C8)+(E8-C8)*IF(RAND()&lt;((D8)-(C8))/((E8)-(C8)),SQRT(RAND()*((D8)-(C8))/((E8)-(C8))),1-SQRT(RAND()*((E8)-(D8))/((E8)-(C8))))</f>
        <v>0.72494309899578324</v>
      </c>
      <c r="D986" s="72">
        <f ca="1">(C9)+(E9-C9)*IF(RAND()&lt;((D9)-(C9))/((E9)-(C9)),SQRT(RAND()*((D9)-(C9))/((E9)-(C9))),1-SQRT(RAND()*((E9)-(D9))/((E9)-(C9))))</f>
        <v>1176712.7513780273</v>
      </c>
      <c r="E986" s="72">
        <f ca="1">(C10)+(E10-C10)*IF(RAND()&lt;((D10)-(C10))/((E10)-(C10)),SQRT(RAND()*((D10)-(C10))/((E10)-(C10))),1-SQRT(RAND()*((E10)-(D10))/((E10)-(C10))))</f>
        <v>3817960.8860478671</v>
      </c>
      <c r="F986" s="71">
        <f ca="1">(C11)+(E11-C11)*IF(RAND()&lt;((D11)-(C11))/((E11)-(C11)),SQRT(RAND()*((D11)-(C11))/((E11)-(C11))),1-SQRT(RAND()*((E11)-(D11))/((E11)-(C11))))</f>
        <v>6.0454169629271023E-3</v>
      </c>
      <c r="G986" s="71">
        <f ca="1">(C12)+(E12-C12)*IF(RAND()&lt;((D12)-(C12))/((E12)-(C12)),SQRT(RAND()*((D12)-(C12))/((E12)-(C12))),1-SQRT(RAND()*((E12)-(D12))/((E12)-(C12))))</f>
        <v>0.16856038028924086</v>
      </c>
      <c r="H986" s="72">
        <f t="shared" ca="1" si="30"/>
        <v>266190332.32784194</v>
      </c>
      <c r="I986" s="73">
        <f t="shared" ca="1" si="31"/>
        <v>299.69401137548653</v>
      </c>
    </row>
    <row r="987" spans="1:9" ht="16.05" customHeight="1" x14ac:dyDescent="0.3">
      <c r="A987" s="66">
        <v>971</v>
      </c>
      <c r="B987" s="67">
        <f ca="1">(C7)+(E7-C7)*IF(RAND()&lt;((D7)-(C7))/((E7)-(C7)),SQRT(RAND()*((D7)-(C7))/((E7)-(C7))),1-SQRT(RAND()*((E7)-(D7))/((E7)-(C7))))</f>
        <v>0.25319575449558662</v>
      </c>
      <c r="C987" s="67">
        <f ca="1">(C8)+(E8-C8)*IF(RAND()&lt;((D8)-(C8))/((E8)-(C8)),SQRT(RAND()*((D8)-(C8))/((E8)-(C8))),1-SQRT(RAND()*((E8)-(D8))/((E8)-(C8))))</f>
        <v>0.69448426101116612</v>
      </c>
      <c r="D987" s="68">
        <f ca="1">(C9)+(E9-C9)*IF(RAND()&lt;((D9)-(C9))/((E9)-(C9)),SQRT(RAND()*((D9)-(C9))/((E9)-(C9))),1-SQRT(RAND()*((E9)-(D9))/((E9)-(C9))))</f>
        <v>1338434.269829761</v>
      </c>
      <c r="E987" s="68">
        <f ca="1">(C10)+(E10-C10)*IF(RAND()&lt;((D10)-(C10))/((E10)-(C10)),SQRT(RAND()*((D10)-(C10))/((E10)-(C10))),1-SQRT(RAND()*((E10)-(D10))/((E10)-(C10))))</f>
        <v>2944640.2289182395</v>
      </c>
      <c r="F987" s="67">
        <f ca="1">(C11)+(E11-C11)*IF(RAND()&lt;((D11)-(C11))/((E11)-(C11)),SQRT(RAND()*((D11)-(C11))/((E11)-(C11))),1-SQRT(RAND()*((E11)-(D11))/((E11)-(C11))))</f>
        <v>7.3196642860412072E-3</v>
      </c>
      <c r="G987" s="67">
        <f ca="1">(C12)+(E12-C12)*IF(RAND()&lt;((D12)-(C12))/((E12)-(C12)),SQRT(RAND()*((D12)-(C12))/((E12)-(C12))),1-SQRT(RAND()*((E12)-(D12))/((E12)-(C12))))</f>
        <v>0.20118979345648802</v>
      </c>
      <c r="H987" s="68">
        <f t="shared" ca="1" si="30"/>
        <v>231636551.91382024</v>
      </c>
      <c r="I987" s="69">
        <f t="shared" ca="1" si="31"/>
        <v>229.58996130327145</v>
      </c>
    </row>
    <row r="988" spans="1:9" ht="16.05" customHeight="1" x14ac:dyDescent="0.3">
      <c r="A988" s="70">
        <v>972</v>
      </c>
      <c r="B988" s="71">
        <f ca="1">(C7)+(E7-C7)*IF(RAND()&lt;((D7)-(C7))/((E7)-(C7)),SQRT(RAND()*((D7)-(C7))/((E7)-(C7))),1-SQRT(RAND()*((E7)-(D7))/((E7)-(C7))))</f>
        <v>0.29684969906919356</v>
      </c>
      <c r="C988" s="71">
        <f ca="1">(C8)+(E8-C8)*IF(RAND()&lt;((D8)-(C8))/((E8)-(C8)),SQRT(RAND()*((D8)-(C8))/((E8)-(C8))),1-SQRT(RAND()*((E8)-(D8))/((E8)-(C8))))</f>
        <v>0.67398101913493624</v>
      </c>
      <c r="D988" s="72">
        <f ca="1">(C9)+(E9-C9)*IF(RAND()&lt;((D9)-(C9))/((E9)-(C9)),SQRT(RAND()*((D9)-(C9))/((E9)-(C9))),1-SQRT(RAND()*((E9)-(D9))/((E9)-(C9))))</f>
        <v>1236558.3859659631</v>
      </c>
      <c r="E988" s="72">
        <f ca="1">(C10)+(E10-C10)*IF(RAND()&lt;((D10)-(C10))/((E10)-(C10)),SQRT(RAND()*((D10)-(C10))/((E10)-(C10))),1-SQRT(RAND()*((E10)-(D10))/((E10)-(C10))))</f>
        <v>2871696.2536508595</v>
      </c>
      <c r="F988" s="71">
        <f ca="1">(C11)+(E11-C11)*IF(RAND()&lt;((D11)-(C11))/((E11)-(C11)),SQRT(RAND()*((D11)-(C11))/((E11)-(C11))),1-SQRT(RAND()*((E11)-(D11))/((E11)-(C11))))</f>
        <v>7.9749965132904724E-3</v>
      </c>
      <c r="G988" s="71">
        <f ca="1">(C12)+(E12-C12)*IF(RAND()&lt;((D12)-(C12))/((E12)-(C12)),SQRT(RAND()*((D12)-(C12))/((E12)-(C12))),1-SQRT(RAND()*((E12)-(D12))/((E12)-(C12))))</f>
        <v>0.16757593896951672</v>
      </c>
      <c r="H988" s="72">
        <f t="shared" ca="1" si="30"/>
        <v>263106724.55564404</v>
      </c>
      <c r="I988" s="73">
        <f t="shared" ca="1" si="31"/>
        <v>281.96441387818425</v>
      </c>
    </row>
    <row r="989" spans="1:9" ht="16.05" customHeight="1" x14ac:dyDescent="0.3">
      <c r="A989" s="66">
        <v>973</v>
      </c>
      <c r="B989" s="67">
        <f ca="1">(C7)+(E7-C7)*IF(RAND()&lt;((D7)-(C7))/((E7)-(C7)),SQRT(RAND()*((D7)-(C7))/((E7)-(C7))),1-SQRT(RAND()*((E7)-(D7))/((E7)-(C7))))</f>
        <v>0.27183838393247628</v>
      </c>
      <c r="C989" s="67">
        <f ca="1">(C8)+(E8-C8)*IF(RAND()&lt;((D8)-(C8))/((E8)-(C8)),SQRT(RAND()*((D8)-(C8))/((E8)-(C8))),1-SQRT(RAND()*((E8)-(D8))/((E8)-(C8))))</f>
        <v>0.75855491924142893</v>
      </c>
      <c r="D989" s="68">
        <f ca="1">(C9)+(E9-C9)*IF(RAND()&lt;((D9)-(C9))/((E9)-(C9)),SQRT(RAND()*((D9)-(C9))/((E9)-(C9))),1-SQRT(RAND()*((E9)-(D9))/((E9)-(C9))))</f>
        <v>1330013.9333265256</v>
      </c>
      <c r="E989" s="68">
        <f ca="1">(C10)+(E10-C10)*IF(RAND()&lt;((D10)-(C10))/((E10)-(C10)),SQRT(RAND()*((D10)-(C10))/((E10)-(C10))),1-SQRT(RAND()*((E10)-(D10))/((E10)-(C10))))</f>
        <v>3154748.9747570399</v>
      </c>
      <c r="F989" s="67">
        <f ca="1">(C11)+(E11-C11)*IF(RAND()&lt;((D11)-(C11))/((E11)-(C11)),SQRT(RAND()*((D11)-(C11))/((E11)-(C11))),1-SQRT(RAND()*((E11)-(D11))/((E11)-(C11))))</f>
        <v>6.2568892138467752E-3</v>
      </c>
      <c r="G989" s="67">
        <f ca="1">(C12)+(E12-C12)*IF(RAND()&lt;((D12)-(C12))/((E12)-(C12)),SQRT(RAND()*((D12)-(C12))/((E12)-(C12))),1-SQRT(RAND()*((E12)-(D12))/((E12)-(C12))))</f>
        <v>0.15597038615796749</v>
      </c>
      <c r="H989" s="68">
        <f t="shared" ca="1" si="30"/>
        <v>256212303.8746171</v>
      </c>
      <c r="I989" s="69">
        <f t="shared" ca="1" si="31"/>
        <v>255.40715376511693</v>
      </c>
    </row>
    <row r="990" spans="1:9" ht="16.05" customHeight="1" x14ac:dyDescent="0.3">
      <c r="A990" s="70">
        <v>974</v>
      </c>
      <c r="B990" s="71">
        <f ca="1">(C7)+(E7-C7)*IF(RAND()&lt;((D7)-(C7))/((E7)-(C7)),SQRT(RAND()*((D7)-(C7))/((E7)-(C7))),1-SQRT(RAND()*((E7)-(D7))/((E7)-(C7))))</f>
        <v>0.24183216216497355</v>
      </c>
      <c r="C990" s="71">
        <f ca="1">(C8)+(E8-C8)*IF(RAND()&lt;((D8)-(C8))/((E8)-(C8)),SQRT(RAND()*((D8)-(C8))/((E8)-(C8))),1-SQRT(RAND()*((E8)-(D8))/((E8)-(C8))))</f>
        <v>0.67710784470431529</v>
      </c>
      <c r="D990" s="72">
        <f ca="1">(C9)+(E9-C9)*IF(RAND()&lt;((D9)-(C9))/((E9)-(C9)),SQRT(RAND()*((D9)-(C9))/((E9)-(C9))),1-SQRT(RAND()*((E9)-(D9))/((E9)-(C9))))</f>
        <v>1047686.8151814927</v>
      </c>
      <c r="E990" s="72">
        <f ca="1">(C10)+(E10-C10)*IF(RAND()&lt;((D10)-(C10))/((E10)-(C10)),SQRT(RAND()*((D10)-(C10))/((E10)-(C10))),1-SQRT(RAND()*((E10)-(D10))/((E10)-(C10))))</f>
        <v>4247068.4805310778</v>
      </c>
      <c r="F990" s="71">
        <f ca="1">(C11)+(E11-C11)*IF(RAND()&lt;((D11)-(C11))/((E11)-(C11)),SQRT(RAND()*((D11)-(C11))/((E11)-(C11))),1-SQRT(RAND()*((E11)-(D11))/((E11)-(C11))))</f>
        <v>2.2659804168763429E-2</v>
      </c>
      <c r="G990" s="71">
        <f ca="1">(C12)+(E12-C12)*IF(RAND()&lt;((D12)-(C12))/((E12)-(C12)),SQRT(RAND()*((D12)-(C12))/((E12)-(C12))),1-SQRT(RAND()*((E12)-(D12))/((E12)-(C12))))</f>
        <v>0.1284851801637818</v>
      </c>
      <c r="H990" s="72">
        <f t="shared" ca="1" si="30"/>
        <v>324552204.15341389</v>
      </c>
      <c r="I990" s="73">
        <f t="shared" ca="1" si="31"/>
        <v>409.91463164342616</v>
      </c>
    </row>
    <row r="991" spans="1:9" ht="16.05" customHeight="1" x14ac:dyDescent="0.3">
      <c r="A991" s="66">
        <v>975</v>
      </c>
      <c r="B991" s="67">
        <f ca="1">(C7)+(E7-C7)*IF(RAND()&lt;((D7)-(C7))/((E7)-(C7)),SQRT(RAND()*((D7)-(C7))/((E7)-(C7))),1-SQRT(RAND()*((E7)-(D7))/((E7)-(C7))))</f>
        <v>0.25374338268024782</v>
      </c>
      <c r="C991" s="67">
        <f ca="1">(C8)+(E8-C8)*IF(RAND()&lt;((D8)-(C8))/((E8)-(C8)),SQRT(RAND()*((D8)-(C8))/((E8)-(C8))),1-SQRT(RAND()*((E8)-(D8))/((E8)-(C8))))</f>
        <v>0.52074694258397625</v>
      </c>
      <c r="D991" s="68">
        <f ca="1">(C9)+(E9-C9)*IF(RAND()&lt;((D9)-(C9))/((E9)-(C9)),SQRT(RAND()*((D9)-(C9))/((E9)-(C9))),1-SQRT(RAND()*((E9)-(D9))/((E9)-(C9))))</f>
        <v>1310832.5574483066</v>
      </c>
      <c r="E991" s="68">
        <f ca="1">(C10)+(E10-C10)*IF(RAND()&lt;((D10)-(C10))/((E10)-(C10)),SQRT(RAND()*((D10)-(C10))/((E10)-(C10))),1-SQRT(RAND()*((E10)-(D10))/((E10)-(C10))))</f>
        <v>3204308.5591395781</v>
      </c>
      <c r="F991" s="67">
        <f ca="1">(C11)+(E11-C11)*IF(RAND()&lt;((D11)-(C11))/((E11)-(C11)),SQRT(RAND()*((D11)-(C11))/((E11)-(C11))),1-SQRT(RAND()*((E11)-(D11))/((E11)-(C11))))</f>
        <v>1.2505370694415109E-2</v>
      </c>
      <c r="G991" s="67">
        <f ca="1">(C12)+(E12-C12)*IF(RAND()&lt;((D12)-(C12))/((E12)-(C12)),SQRT(RAND()*((D12)-(C12))/((E12)-(C12))),1-SQRT(RAND()*((E12)-(D12))/((E12)-(C12))))</f>
        <v>0.16324035080360502</v>
      </c>
      <c r="H991" s="68">
        <f t="shared" ca="1" si="30"/>
        <v>220560032.57242686</v>
      </c>
      <c r="I991" s="69">
        <f t="shared" ca="1" si="31"/>
        <v>223.25115038699315</v>
      </c>
    </row>
    <row r="992" spans="1:9" ht="16.05" customHeight="1" x14ac:dyDescent="0.3">
      <c r="A992" s="70">
        <v>976</v>
      </c>
      <c r="B992" s="71">
        <f ca="1">(C7)+(E7-C7)*IF(RAND()&lt;((D7)-(C7))/((E7)-(C7)),SQRT(RAND()*((D7)-(C7))/((E7)-(C7))),1-SQRT(RAND()*((E7)-(D7))/((E7)-(C7))))</f>
        <v>0.2979158437119368</v>
      </c>
      <c r="C992" s="71">
        <f ca="1">(C8)+(E8-C8)*IF(RAND()&lt;((D8)-(C8))/((E8)-(C8)),SQRT(RAND()*((D8)-(C8))/((E8)-(C8))),1-SQRT(RAND()*((E8)-(D8))/((E8)-(C8))))</f>
        <v>0.69691093106079804</v>
      </c>
      <c r="D992" s="72">
        <f ca="1">(C9)+(E9-C9)*IF(RAND()&lt;((D9)-(C9))/((E9)-(C9)),SQRT(RAND()*((D9)-(C9))/((E9)-(C9))),1-SQRT(RAND()*((E9)-(D9))/((E9)-(C9))))</f>
        <v>1278939.6490619555</v>
      </c>
      <c r="E992" s="72">
        <f ca="1">(C10)+(E10-C10)*IF(RAND()&lt;((D10)-(C10))/((E10)-(C10)),SQRT(RAND()*((D10)-(C10))/((E10)-(C10))),1-SQRT(RAND()*((E10)-(D10))/((E10)-(C10))))</f>
        <v>2744063.1617453313</v>
      </c>
      <c r="F992" s="71">
        <f ca="1">(C11)+(E11-C11)*IF(RAND()&lt;((D11)-(C11))/((E11)-(C11)),SQRT(RAND()*((D11)-(C11))/((E11)-(C11))),1-SQRT(RAND()*((E11)-(D11))/((E11)-(C11))))</f>
        <v>1.4914198860818E-2</v>
      </c>
      <c r="G992" s="71">
        <f ca="1">(C12)+(E12-C12)*IF(RAND()&lt;((D12)-(C12))/((E12)-(C12)),SQRT(RAND()*((D12)-(C12))/((E12)-(C12))),1-SQRT(RAND()*((E12)-(D12))/((E12)-(C12))))</f>
        <v>0.15966726178803281</v>
      </c>
      <c r="H992" s="72">
        <f t="shared" ca="1" si="30"/>
        <v>321846751.7484321</v>
      </c>
      <c r="I992" s="73">
        <f t="shared" ca="1" si="31"/>
        <v>333.24380643464576</v>
      </c>
    </row>
    <row r="993" spans="1:9" ht="16.05" customHeight="1" x14ac:dyDescent="0.3">
      <c r="A993" s="66">
        <v>977</v>
      </c>
      <c r="B993" s="67">
        <f ca="1">(C7)+(E7-C7)*IF(RAND()&lt;((D7)-(C7))/((E7)-(C7)),SQRT(RAND()*((D7)-(C7))/((E7)-(C7))),1-SQRT(RAND()*((E7)-(D7))/((E7)-(C7))))</f>
        <v>0.2401638877954321</v>
      </c>
      <c r="C993" s="67">
        <f ca="1">(C8)+(E8-C8)*IF(RAND()&lt;((D8)-(C8))/((E8)-(C8)),SQRT(RAND()*((D8)-(C8))/((E8)-(C8))),1-SQRT(RAND()*((E8)-(D8))/((E8)-(C8))))</f>
        <v>0.71628855341652464</v>
      </c>
      <c r="D993" s="68">
        <f ca="1">(C9)+(E9-C9)*IF(RAND()&lt;((D9)-(C9))/((E9)-(C9)),SQRT(RAND()*((D9)-(C9))/((E9)-(C9))),1-SQRT(RAND()*((E9)-(D9))/((E9)-(C9))))</f>
        <v>1349836.9479606086</v>
      </c>
      <c r="E993" s="68">
        <f ca="1">(C10)+(E10-C10)*IF(RAND()&lt;((D10)-(C10))/((E10)-(C10)),SQRT(RAND()*((D10)-(C10))/((E10)-(C10))),1-SQRT(RAND()*((E10)-(D10))/((E10)-(C10))))</f>
        <v>2522335.6857499448</v>
      </c>
      <c r="F993" s="67">
        <f ca="1">(C11)+(E11-C11)*IF(RAND()&lt;((D11)-(C11))/((E11)-(C11)),SQRT(RAND()*((D11)-(C11))/((E11)-(C11))),1-SQRT(RAND()*((E11)-(D11))/((E11)-(C11))))</f>
        <v>1.5730850078696883E-2</v>
      </c>
      <c r="G993" s="67">
        <f ca="1">(C12)+(E12-C12)*IF(RAND()&lt;((D12)-(C12))/((E12)-(C12)),SQRT(RAND()*((D12)-(C12))/((E12)-(C12))),1-SQRT(RAND()*((E12)-(D12))/((E12)-(C12))))</f>
        <v>0.19839516268421259</v>
      </c>
      <c r="H993" s="68">
        <f t="shared" ca="1" si="30"/>
        <v>289785807.6959511</v>
      </c>
      <c r="I993" s="69">
        <f t="shared" ca="1" si="31"/>
        <v>284.4819507372801</v>
      </c>
    </row>
    <row r="994" spans="1:9" ht="16.05" customHeight="1" x14ac:dyDescent="0.3">
      <c r="A994" s="70">
        <v>978</v>
      </c>
      <c r="B994" s="71">
        <f ca="1">(C7)+(E7-C7)*IF(RAND()&lt;((D7)-(C7))/((E7)-(C7)),SQRT(RAND()*((D7)-(C7))/((E7)-(C7))),1-SQRT(RAND()*((E7)-(D7))/((E7)-(C7))))</f>
        <v>0.28631324641064515</v>
      </c>
      <c r="C994" s="71">
        <f ca="1">(C8)+(E8-C8)*IF(RAND()&lt;((D8)-(C8))/((E8)-(C8)),SQRT(RAND()*((D8)-(C8))/((E8)-(C8))),1-SQRT(RAND()*((E8)-(D8))/((E8)-(C8))))</f>
        <v>0.68950454134323413</v>
      </c>
      <c r="D994" s="72">
        <f ca="1">(C9)+(E9-C9)*IF(RAND()&lt;((D9)-(C9))/((E9)-(C9)),SQRT(RAND()*((D9)-(C9))/((E9)-(C9))),1-SQRT(RAND()*((E9)-(D9))/((E9)-(C9))))</f>
        <v>1189658.6275330235</v>
      </c>
      <c r="E994" s="72">
        <f ca="1">(C10)+(E10-C10)*IF(RAND()&lt;((D10)-(C10))/((E10)-(C10)),SQRT(RAND()*((D10)-(C10))/((E10)-(C10))),1-SQRT(RAND()*((E10)-(D10))/((E10)-(C10))))</f>
        <v>4993795.0817037662</v>
      </c>
      <c r="F994" s="71">
        <f ca="1">(C11)+(E11-C11)*IF(RAND()&lt;((D11)-(C11))/((E11)-(C11)),SQRT(RAND()*((D11)-(C11))/((E11)-(C11))),1-SQRT(RAND()*((E11)-(D11))/((E11)-(C11))))</f>
        <v>7.8181324143258395E-3</v>
      </c>
      <c r="G994" s="71">
        <f ca="1">(C12)+(E12-C12)*IF(RAND()&lt;((D12)-(C12))/((E12)-(C12)),SQRT(RAND()*((D12)-(C12))/((E12)-(C12))),1-SQRT(RAND()*((E12)-(D12))/((E12)-(C12))))</f>
        <v>0.17443589312310687</v>
      </c>
      <c r="H994" s="72">
        <f t="shared" ca="1" si="30"/>
        <v>251086550.53613058</v>
      </c>
      <c r="I994" s="73">
        <f t="shared" ca="1" si="31"/>
        <v>279.70136517156192</v>
      </c>
    </row>
    <row r="995" spans="1:9" ht="16.05" customHeight="1" x14ac:dyDescent="0.3">
      <c r="A995" s="66">
        <v>979</v>
      </c>
      <c r="B995" s="67">
        <f ca="1">(C7)+(E7-C7)*IF(RAND()&lt;((D7)-(C7))/((E7)-(C7)),SQRT(RAND()*((D7)-(C7))/((E7)-(C7))),1-SQRT(RAND()*((E7)-(D7))/((E7)-(C7))))</f>
        <v>0.19171640997242242</v>
      </c>
      <c r="C995" s="67">
        <f ca="1">(C8)+(E8-C8)*IF(RAND()&lt;((D8)-(C8))/((E8)-(C8)),SQRT(RAND()*((D8)-(C8))/((E8)-(C8))),1-SQRT(RAND()*((E8)-(D8))/((E8)-(C8))))</f>
        <v>0.74990196733996528</v>
      </c>
      <c r="D995" s="68">
        <f ca="1">(C9)+(E9-C9)*IF(RAND()&lt;((D9)-(C9))/((E9)-(C9)),SQRT(RAND()*((D9)-(C9))/((E9)-(C9))),1-SQRT(RAND()*((E9)-(D9))/((E9)-(C9))))</f>
        <v>1353394.5575596539</v>
      </c>
      <c r="E995" s="68">
        <f ca="1">(C10)+(E10-C10)*IF(RAND()&lt;((D10)-(C10))/((E10)-(C10)),SQRT(RAND()*((D10)-(C10))/((E10)-(C10))),1-SQRT(RAND()*((E10)-(D10))/((E10)-(C10))))</f>
        <v>3145347.2610333017</v>
      </c>
      <c r="F995" s="67">
        <f ca="1">(C11)+(E11-C11)*IF(RAND()&lt;((D11)-(C11))/((E11)-(C11)),SQRT(RAND()*((D11)-(C11))/((E11)-(C11))),1-SQRT(RAND()*((E11)-(D11))/((E11)-(C11))))</f>
        <v>1.0769439957504489E-2</v>
      </c>
      <c r="G995" s="67">
        <f ca="1">(C12)+(E12-C12)*IF(RAND()&lt;((D12)-(C12))/((E12)-(C12)),SQRT(RAND()*((D12)-(C12))/((E12)-(C12))),1-SQRT(RAND()*((E12)-(D12))/((E12)-(C12))))</f>
        <v>0.12931068461226433</v>
      </c>
      <c r="H995" s="68">
        <f t="shared" ca="1" si="30"/>
        <v>220867187.21305925</v>
      </c>
      <c r="I995" s="69">
        <f t="shared" ca="1" si="31"/>
        <v>216.57110014367737</v>
      </c>
    </row>
    <row r="996" spans="1:9" ht="16.05" customHeight="1" x14ac:dyDescent="0.3">
      <c r="A996" s="70">
        <v>980</v>
      </c>
      <c r="B996" s="71">
        <f ca="1">(C7)+(E7-C7)*IF(RAND()&lt;((D7)-(C7))/((E7)-(C7)),SQRT(RAND()*((D7)-(C7))/((E7)-(C7))),1-SQRT(RAND()*((E7)-(D7))/((E7)-(C7))))</f>
        <v>0.33431919666962218</v>
      </c>
      <c r="C996" s="71">
        <f ca="1">(C8)+(E8-C8)*IF(RAND()&lt;((D8)-(C8))/((E8)-(C8)),SQRT(RAND()*((D8)-(C8))/((E8)-(C8))),1-SQRT(RAND()*((E8)-(D8))/((E8)-(C8))))</f>
        <v>0.69509616378339112</v>
      </c>
      <c r="D996" s="72">
        <f ca="1">(C9)+(E9-C9)*IF(RAND()&lt;((D9)-(C9))/((E9)-(C9)),SQRT(RAND()*((D9)-(C9))/((E9)-(C9))),1-SQRT(RAND()*((E9)-(D9))/((E9)-(C9))))</f>
        <v>1304589.2538557202</v>
      </c>
      <c r="E996" s="72">
        <f ca="1">(C10)+(E10-C10)*IF(RAND()&lt;((D10)-(C10))/((E10)-(C10)),SQRT(RAND()*((D10)-(C10))/((E10)-(C10))),1-SQRT(RAND()*((E10)-(D10))/((E10)-(C10))))</f>
        <v>4130816.0374938161</v>
      </c>
      <c r="F996" s="71">
        <f ca="1">(C11)+(E11-C11)*IF(RAND()&lt;((D11)-(C11))/((E11)-(C11)),SQRT(RAND()*((D11)-(C11))/((E11)-(C11))),1-SQRT(RAND()*((E11)-(D11))/((E11)-(C11))))</f>
        <v>8.6776840830937382E-3</v>
      </c>
      <c r="G996" s="71">
        <f ca="1">(C12)+(E12-C12)*IF(RAND()&lt;((D12)-(C12))/((E12)-(C12)),SQRT(RAND()*((D12)-(C12))/((E12)-(C12))),1-SQRT(RAND()*((E12)-(D12))/((E12)-(C12))))</f>
        <v>0.14187513456891626</v>
      </c>
      <c r="H996" s="72">
        <f t="shared" ca="1" si="30"/>
        <v>298492435.56844229</v>
      </c>
      <c r="I996" s="73">
        <f t="shared" ca="1" si="31"/>
        <v>303.10574636478003</v>
      </c>
    </row>
    <row r="997" spans="1:9" ht="16.05" customHeight="1" x14ac:dyDescent="0.3">
      <c r="A997" s="66">
        <v>981</v>
      </c>
      <c r="B997" s="67">
        <f ca="1">(C7)+(E7-C7)*IF(RAND()&lt;((D7)-(C7))/((E7)-(C7)),SQRT(RAND()*((D7)-(C7))/((E7)-(C7))),1-SQRT(RAND()*((E7)-(D7))/((E7)-(C7))))</f>
        <v>0.21898414874356462</v>
      </c>
      <c r="C997" s="67">
        <f ca="1">(C8)+(E8-C8)*IF(RAND()&lt;((D8)-(C8))/((E8)-(C8)),SQRT(RAND()*((D8)-(C8))/((E8)-(C8))),1-SQRT(RAND()*((E8)-(D8))/((E8)-(C8))))</f>
        <v>0.6369303142551016</v>
      </c>
      <c r="D997" s="68">
        <f ca="1">(C9)+(E9-C9)*IF(RAND()&lt;((D9)-(C9))/((E9)-(C9)),SQRT(RAND()*((D9)-(C9))/((E9)-(C9))),1-SQRT(RAND()*((E9)-(D9))/((E9)-(C9))))</f>
        <v>1084787.8881869924</v>
      </c>
      <c r="E997" s="68">
        <f ca="1">(C10)+(E10-C10)*IF(RAND()&lt;((D10)-(C10))/((E10)-(C10)),SQRT(RAND()*((D10)-(C10))/((E10)-(C10))),1-SQRT(RAND()*((E10)-(D10))/((E10)-(C10))))</f>
        <v>3201149.7511339597</v>
      </c>
      <c r="F997" s="67">
        <f ca="1">(C11)+(E11-C11)*IF(RAND()&lt;((D11)-(C11))/((E11)-(C11)),SQRT(RAND()*((D11)-(C11))/((E11)-(C11))),1-SQRT(RAND()*((E11)-(D11))/((E11)-(C11))))</f>
        <v>1.1011978147703088E-2</v>
      </c>
      <c r="G997" s="67">
        <f ca="1">(C12)+(E12-C12)*IF(RAND()&lt;((D12)-(C12))/((E12)-(C12)),SQRT(RAND()*((D12)-(C12))/((E12)-(C12))),1-SQRT(RAND()*((E12)-(D12))/((E12)-(C12))))</f>
        <v>0.13736170669744438</v>
      </c>
      <c r="H997" s="68">
        <f t="shared" ca="1" si="30"/>
        <v>218006538.97368696</v>
      </c>
      <c r="I997" s="69">
        <f t="shared" ca="1" si="31"/>
        <v>266.39189430264821</v>
      </c>
    </row>
    <row r="998" spans="1:9" ht="16.05" customHeight="1" x14ac:dyDescent="0.3">
      <c r="A998" s="70">
        <v>982</v>
      </c>
      <c r="B998" s="71">
        <f ca="1">(C7)+(E7-C7)*IF(RAND()&lt;((D7)-(C7))/((E7)-(C7)),SQRT(RAND()*((D7)-(C7))/((E7)-(C7))),1-SQRT(RAND()*((E7)-(D7))/((E7)-(C7))))</f>
        <v>0.30205008496765884</v>
      </c>
      <c r="C998" s="71">
        <f ca="1">(C8)+(E8-C8)*IF(RAND()&lt;((D8)-(C8))/((E8)-(C8)),SQRT(RAND()*((D8)-(C8))/((E8)-(C8))),1-SQRT(RAND()*((E8)-(D8))/((E8)-(C8))))</f>
        <v>0.73240813401689064</v>
      </c>
      <c r="D998" s="72">
        <f ca="1">(C9)+(E9-C9)*IF(RAND()&lt;((D9)-(C9))/((E9)-(C9)),SQRT(RAND()*((D9)-(C9))/((E9)-(C9))),1-SQRT(RAND()*((E9)-(D9))/((E9)-(C9))))</f>
        <v>1174546.7357292883</v>
      </c>
      <c r="E998" s="72">
        <f ca="1">(C10)+(E10-C10)*IF(RAND()&lt;((D10)-(C10))/((E10)-(C10)),SQRT(RAND()*((D10)-(C10))/((E10)-(C10))),1-SQRT(RAND()*((E10)-(D10))/((E10)-(C10))))</f>
        <v>3245690.8146623885</v>
      </c>
      <c r="F998" s="71">
        <f ca="1">(C11)+(E11-C11)*IF(RAND()&lt;((D11)-(C11))/((E11)-(C11)),SQRT(RAND()*((D11)-(C11))/((E11)-(C11))),1-SQRT(RAND()*((E11)-(D11))/((E11)-(C11))))</f>
        <v>1.8703846241467236E-3</v>
      </c>
      <c r="G998" s="71">
        <f ca="1">(C12)+(E12-C12)*IF(RAND()&lt;((D12)-(C12))/((E12)-(C12)),SQRT(RAND()*((D12)-(C12))/((E12)-(C12))),1-SQRT(RAND()*((E12)-(D12))/((E12)-(C12))))</f>
        <v>0.14988541269210509</v>
      </c>
      <c r="H998" s="72">
        <f t="shared" ca="1" si="30"/>
        <v>240703396.30710432</v>
      </c>
      <c r="I998" s="73">
        <f t="shared" ca="1" si="31"/>
        <v>271.6230444201783</v>
      </c>
    </row>
    <row r="999" spans="1:9" ht="16.05" customHeight="1" x14ac:dyDescent="0.3">
      <c r="A999" s="66">
        <v>983</v>
      </c>
      <c r="B999" s="67">
        <f ca="1">(C7)+(E7-C7)*IF(RAND()&lt;((D7)-(C7))/((E7)-(C7)),SQRT(RAND()*((D7)-(C7))/((E7)-(C7))),1-SQRT(RAND()*((E7)-(D7))/((E7)-(C7))))</f>
        <v>0.21304237488100047</v>
      </c>
      <c r="C999" s="67">
        <f ca="1">(C8)+(E8-C8)*IF(RAND()&lt;((D8)-(C8))/((E8)-(C8)),SQRT(RAND()*((D8)-(C8))/((E8)-(C8))),1-SQRT(RAND()*((E8)-(D8))/((E8)-(C8))))</f>
        <v>0.69928238998826386</v>
      </c>
      <c r="D999" s="68">
        <f ca="1">(C9)+(E9-C9)*IF(RAND()&lt;((D9)-(C9))/((E9)-(C9)),SQRT(RAND()*((D9)-(C9))/((E9)-(C9))),1-SQRT(RAND()*((E9)-(D9))/((E9)-(C9))))</f>
        <v>1300217.4404528579</v>
      </c>
      <c r="E999" s="68">
        <f ca="1">(C10)+(E10-C10)*IF(RAND()&lt;((D10)-(C10))/((E10)-(C10)),SQRT(RAND()*((D10)-(C10))/((E10)-(C10))),1-SQRT(RAND()*((E10)-(D10))/((E10)-(C10))))</f>
        <v>2586508.4983361382</v>
      </c>
      <c r="F999" s="67">
        <f ca="1">(C11)+(E11-C11)*IF(RAND()&lt;((D11)-(C11))/((E11)-(C11)),SQRT(RAND()*((D11)-(C11))/((E11)-(C11))),1-SQRT(RAND()*((E11)-(D11))/((E11)-(C11))))</f>
        <v>2.1287437123080819E-2</v>
      </c>
      <c r="G999" s="67">
        <f ca="1">(C12)+(E12-C12)*IF(RAND()&lt;((D12)-(C12))/((E12)-(C12)),SQRT(RAND()*((D12)-(C12))/((E12)-(C12))),1-SQRT(RAND()*((E12)-(D12))/((E12)-(C12))))</f>
        <v>0.14932538436731188</v>
      </c>
      <c r="H999" s="68">
        <f t="shared" ca="1" si="30"/>
        <v>304620474.86322999</v>
      </c>
      <c r="I999" s="69">
        <f t="shared" ca="1" si="31"/>
        <v>310.33696919412279</v>
      </c>
    </row>
    <row r="1000" spans="1:9" ht="16.05" customHeight="1" x14ac:dyDescent="0.3">
      <c r="A1000" s="70">
        <v>984</v>
      </c>
      <c r="B1000" s="71">
        <f ca="1">(C7)+(E7-C7)*IF(RAND()&lt;((D7)-(C7))/((E7)-(C7)),SQRT(RAND()*((D7)-(C7))/((E7)-(C7))),1-SQRT(RAND()*((E7)-(D7))/((E7)-(C7))))</f>
        <v>0.29285840989232093</v>
      </c>
      <c r="C1000" s="71">
        <f ca="1">(C8)+(E8-C8)*IF(RAND()&lt;((D8)-(C8))/((E8)-(C8)),SQRT(RAND()*((D8)-(C8))/((E8)-(C8))),1-SQRT(RAND()*((E8)-(D8))/((E8)-(C8))))</f>
        <v>0.65254850382968277</v>
      </c>
      <c r="D1000" s="72">
        <f ca="1">(C9)+(E9-C9)*IF(RAND()&lt;((D9)-(C9))/((E9)-(C9)),SQRT(RAND()*((D9)-(C9))/((E9)-(C9))),1-SQRT(RAND()*((E9)-(D9))/((E9)-(C9))))</f>
        <v>1166159.5134087109</v>
      </c>
      <c r="E1000" s="72">
        <f ca="1">(C10)+(E10-C10)*IF(RAND()&lt;((D10)-(C10))/((E10)-(C10)),SQRT(RAND()*((D10)-(C10))/((E10)-(C10))),1-SQRT(RAND()*((E10)-(D10))/((E10)-(C10))))</f>
        <v>3581863.1970693106</v>
      </c>
      <c r="F1000" s="71">
        <f ca="1">(C11)+(E11-C11)*IF(RAND()&lt;((D11)-(C11))/((E11)-(C11)),SQRT(RAND()*((D11)-(C11))/((E11)-(C11))),1-SQRT(RAND()*((E11)-(D11))/((E11)-(C11))))</f>
        <v>8.3065476934525342E-3</v>
      </c>
      <c r="G1000" s="71">
        <f ca="1">(C12)+(E12-C12)*IF(RAND()&lt;((D12)-(C12))/((E12)-(C12)),SQRT(RAND()*((D12)-(C12))/((E12)-(C12))),1-SQRT(RAND()*((E12)-(D12))/((E12)-(C12))))</f>
        <v>0.13951359303840485</v>
      </c>
      <c r="H1000" s="72">
        <f t="shared" ca="1" si="30"/>
        <v>253122632.20743123</v>
      </c>
      <c r="I1000" s="73">
        <f t="shared" ca="1" si="31"/>
        <v>287.61392364848399</v>
      </c>
    </row>
    <row r="1001" spans="1:9" ht="16.05" customHeight="1" x14ac:dyDescent="0.3">
      <c r="A1001" s="66">
        <v>985</v>
      </c>
      <c r="B1001" s="67">
        <f ca="1">(C7)+(E7-C7)*IF(RAND()&lt;((D7)-(C7))/((E7)-(C7)),SQRT(RAND()*((D7)-(C7))/((E7)-(C7))),1-SQRT(RAND()*((E7)-(D7))/((E7)-(C7))))</f>
        <v>0.30124782682798568</v>
      </c>
      <c r="C1001" s="67">
        <f ca="1">(C8)+(E8-C8)*IF(RAND()&lt;((D8)-(C8))/((E8)-(C8)),SQRT(RAND()*((D8)-(C8))/((E8)-(C8))),1-SQRT(RAND()*((E8)-(D8))/((E8)-(C8))))</f>
        <v>0.74108160194051143</v>
      </c>
      <c r="D1001" s="68">
        <f ca="1">(C9)+(E9-C9)*IF(RAND()&lt;((D9)-(C9))/((E9)-(C9)),SQRT(RAND()*((D9)-(C9))/((E9)-(C9))),1-SQRT(RAND()*((E9)-(D9))/((E9)-(C9))))</f>
        <v>1227495.1308712806</v>
      </c>
      <c r="E1001" s="68">
        <f ca="1">(C10)+(E10-C10)*IF(RAND()&lt;((D10)-(C10))/((E10)-(C10)),SQRT(RAND()*((D10)-(C10))/((E10)-(C10))),1-SQRT(RAND()*((E10)-(D10))/((E10)-(C10))))</f>
        <v>2868459.3332232842</v>
      </c>
      <c r="F1001" s="67">
        <f ca="1">(C11)+(E11-C11)*IF(RAND()&lt;((D11)-(C11))/((E11)-(C11)),SQRT(RAND()*((D11)-(C11))/((E11)-(C11))),1-SQRT(RAND()*((E11)-(D11))/((E11)-(C11))))</f>
        <v>1.525560880235402E-2</v>
      </c>
      <c r="G1001" s="67">
        <f ca="1">(C12)+(E12-C12)*IF(RAND()&lt;((D12)-(C12))/((E12)-(C12)),SQRT(RAND()*((D12)-(C12))/((E12)-(C12))),1-SQRT(RAND()*((E12)-(D12))/((E12)-(C12))))</f>
        <v>0.15812566363124581</v>
      </c>
      <c r="H1001" s="68">
        <f t="shared" ca="1" si="30"/>
        <v>340893840.8783496</v>
      </c>
      <c r="I1001" s="69">
        <f t="shared" ca="1" si="31"/>
        <v>367.62160718839152</v>
      </c>
    </row>
    <row r="1002" spans="1:9" ht="16.05" customHeight="1" x14ac:dyDescent="0.3">
      <c r="A1002" s="70">
        <v>986</v>
      </c>
      <c r="B1002" s="71">
        <f ca="1">(C7)+(E7-C7)*IF(RAND()&lt;((D7)-(C7))/((E7)-(C7)),SQRT(RAND()*((D7)-(C7))/((E7)-(C7))),1-SQRT(RAND()*((E7)-(D7))/((E7)-(C7))))</f>
        <v>0.26755080369573003</v>
      </c>
      <c r="C1002" s="71">
        <f ca="1">(C8)+(E8-C8)*IF(RAND()&lt;((D8)-(C8))/((E8)-(C8)),SQRT(RAND()*((D8)-(C8))/((E8)-(C8))),1-SQRT(RAND()*((E8)-(D8))/((E8)-(C8))))</f>
        <v>0.80544811984306497</v>
      </c>
      <c r="D1002" s="72">
        <f ca="1">(C9)+(E9-C9)*IF(RAND()&lt;((D9)-(C9))/((E9)-(C9)),SQRT(RAND()*((D9)-(C9))/((E9)-(C9))),1-SQRT(RAND()*((E9)-(D9))/((E9)-(C9))))</f>
        <v>1388346.5041122821</v>
      </c>
      <c r="E1002" s="72">
        <f ca="1">(C10)+(E10-C10)*IF(RAND()&lt;((D10)-(C10))/((E10)-(C10)),SQRT(RAND()*((D10)-(C10))/((E10)-(C10))),1-SQRT(RAND()*((E10)-(D10))/((E10)-(C10))))</f>
        <v>2641564.8373740725</v>
      </c>
      <c r="F1002" s="71">
        <f ca="1">(C11)+(E11-C11)*IF(RAND()&lt;((D11)-(C11))/((E11)-(C11)),SQRT(RAND()*((D11)-(C11))/((E11)-(C11))),1-SQRT(RAND()*((E11)-(D11))/((E11)-(C11))))</f>
        <v>7.6528486276790687E-3</v>
      </c>
      <c r="G1002" s="71">
        <f ca="1">(C12)+(E12-C12)*IF(RAND()&lt;((D12)-(C12))/((E12)-(C12)),SQRT(RAND()*((D12)-(C12))/((E12)-(C12))),1-SQRT(RAND()*((E12)-(D12))/((E12)-(C12))))</f>
        <v>0.16804819605538124</v>
      </c>
      <c r="H1002" s="72">
        <f t="shared" ca="1" si="30"/>
        <v>278286305.70952839</v>
      </c>
      <c r="I1002" s="73">
        <f t="shared" ca="1" si="31"/>
        <v>265.70264871765113</v>
      </c>
    </row>
    <row r="1003" spans="1:9" ht="16.05" customHeight="1" x14ac:dyDescent="0.3">
      <c r="A1003" s="66">
        <v>987</v>
      </c>
      <c r="B1003" s="67">
        <f ca="1">(C7)+(E7-C7)*IF(RAND()&lt;((D7)-(C7))/((E7)-(C7)),SQRT(RAND()*((D7)-(C7))/((E7)-(C7))),1-SQRT(RAND()*((E7)-(D7))/((E7)-(C7))))</f>
        <v>0.25755763351614663</v>
      </c>
      <c r="C1003" s="67">
        <f ca="1">(C8)+(E8-C8)*IF(RAND()&lt;((D8)-(C8))/((E8)-(C8)),SQRT(RAND()*((D8)-(C8))/((E8)-(C8))),1-SQRT(RAND()*((E8)-(D8))/((E8)-(C8))))</f>
        <v>0.73982117434235506</v>
      </c>
      <c r="D1003" s="68">
        <f ca="1">(C9)+(E9-C9)*IF(RAND()&lt;((D9)-(C9))/((E9)-(C9)),SQRT(RAND()*((D9)-(C9))/((E9)-(C9))),1-SQRT(RAND()*((E9)-(D9))/((E9)-(C9))))</f>
        <v>1219525.4575549215</v>
      </c>
      <c r="E1003" s="68">
        <f ca="1">(C10)+(E10-C10)*IF(RAND()&lt;((D10)-(C10))/((E10)-(C10)),SQRT(RAND()*((D10)-(C10))/((E10)-(C10))),1-SQRT(RAND()*((E10)-(D10))/((E10)-(C10))))</f>
        <v>3033623.7639921405</v>
      </c>
      <c r="F1003" s="67">
        <f ca="1">(C11)+(E11-C11)*IF(RAND()&lt;((D11)-(C11))/((E11)-(C11)),SQRT(RAND()*((D11)-(C11))/((E11)-(C11))),1-SQRT(RAND()*((E11)-(D11))/((E11)-(C11))))</f>
        <v>6.7164157033267414E-3</v>
      </c>
      <c r="G1003" s="67">
        <f ca="1">(C12)+(E12-C12)*IF(RAND()&lt;((D12)-(C12))/((E12)-(C12)),SQRT(RAND()*((D12)-(C12))/((E12)-(C12))),1-SQRT(RAND()*((E12)-(D12))/((E12)-(C12))))</f>
        <v>0.13793101685937512</v>
      </c>
      <c r="H1003" s="68">
        <f t="shared" ca="1" si="30"/>
        <v>243063714.57215005</v>
      </c>
      <c r="I1003" s="69">
        <f t="shared" ca="1" si="31"/>
        <v>264.20647031598401</v>
      </c>
    </row>
    <row r="1004" spans="1:9" ht="16.05" customHeight="1" x14ac:dyDescent="0.3">
      <c r="A1004" s="70">
        <v>988</v>
      </c>
      <c r="B1004" s="71">
        <f ca="1">(C7)+(E7-C7)*IF(RAND()&lt;((D7)-(C7))/((E7)-(C7)),SQRT(RAND()*((D7)-(C7))/((E7)-(C7))),1-SQRT(RAND()*((E7)-(D7))/((E7)-(C7))))</f>
        <v>0.26415843868368072</v>
      </c>
      <c r="C1004" s="71">
        <f ca="1">(C8)+(E8-C8)*IF(RAND()&lt;((D8)-(C8))/((E8)-(C8)),SQRT(RAND()*((D8)-(C8))/((E8)-(C8))),1-SQRT(RAND()*((E8)-(D8))/((E8)-(C8))))</f>
        <v>0.66275101867716557</v>
      </c>
      <c r="D1004" s="72">
        <f ca="1">(C9)+(E9-C9)*IF(RAND()&lt;((D9)-(C9))/((E9)-(C9)),SQRT(RAND()*((D9)-(C9))/((E9)-(C9))),1-SQRT(RAND()*((E9)-(D9))/((E9)-(C9))))</f>
        <v>1313493.3372431085</v>
      </c>
      <c r="E1004" s="72">
        <f ca="1">(C10)+(E10-C10)*IF(RAND()&lt;((D10)-(C10))/((E10)-(C10)),SQRT(RAND()*((D10)-(C10))/((E10)-(C10))),1-SQRT(RAND()*((E10)-(D10))/((E10)-(C10))))</f>
        <v>3262175.8758604508</v>
      </c>
      <c r="F1004" s="71">
        <f ca="1">(C11)+(E11-C11)*IF(RAND()&lt;((D11)-(C11))/((E11)-(C11)),SQRT(RAND()*((D11)-(C11))/((E11)-(C11))),1-SQRT(RAND()*((E11)-(D11))/((E11)-(C11))))</f>
        <v>8.0970046552838286E-3</v>
      </c>
      <c r="G1004" s="71">
        <f ca="1">(C12)+(E12-C12)*IF(RAND()&lt;((D12)-(C12))/((E12)-(C12)),SQRT(RAND()*((D12)-(C12))/((E12)-(C12))),1-SQRT(RAND()*((E12)-(D12))/((E12)-(C12))))</f>
        <v>0.1540686438432054</v>
      </c>
      <c r="H1004" s="72">
        <f t="shared" ca="1" si="30"/>
        <v>235231512.82602087</v>
      </c>
      <c r="I1004" s="73">
        <f t="shared" ca="1" si="31"/>
        <v>237.53442423780328</v>
      </c>
    </row>
    <row r="1005" spans="1:9" ht="16.05" customHeight="1" x14ac:dyDescent="0.3">
      <c r="A1005" s="66">
        <v>989</v>
      </c>
      <c r="B1005" s="67">
        <f ca="1">(C7)+(E7-C7)*IF(RAND()&lt;((D7)-(C7))/((E7)-(C7)),SQRT(RAND()*((D7)-(C7))/((E7)-(C7))),1-SQRT(RAND()*((E7)-(D7))/((E7)-(C7))))</f>
        <v>0.27700868114052835</v>
      </c>
      <c r="C1005" s="67">
        <f ca="1">(C8)+(E8-C8)*IF(RAND()&lt;((D8)-(C8))/((E8)-(C8)),SQRT(RAND()*((D8)-(C8))/((E8)-(C8))),1-SQRT(RAND()*((E8)-(D8))/((E8)-(C8))))</f>
        <v>0.648285005288181</v>
      </c>
      <c r="D1005" s="68">
        <f ca="1">(C9)+(E9-C9)*IF(RAND()&lt;((D9)-(C9))/((E9)-(C9)),SQRT(RAND()*((D9)-(C9))/((E9)-(C9))),1-SQRT(RAND()*((E9)-(D9))/((E9)-(C9))))</f>
        <v>1281682.236067551</v>
      </c>
      <c r="E1005" s="68">
        <f ca="1">(C10)+(E10-C10)*IF(RAND()&lt;((D10)-(C10))/((E10)-(C10)),SQRT(RAND()*((D10)-(C10))/((E10)-(C10))),1-SQRT(RAND()*((E10)-(D10))/((E10)-(C10))))</f>
        <v>2972014.9206286399</v>
      </c>
      <c r="F1005" s="67">
        <f ca="1">(C11)+(E11-C11)*IF(RAND()&lt;((D11)-(C11))/((E11)-(C11)),SQRT(RAND()*((D11)-(C11))/((E11)-(C11))),1-SQRT(RAND()*((E11)-(D11))/((E11)-(C11))))</f>
        <v>1.1762186917971654E-2</v>
      </c>
      <c r="G1005" s="67">
        <f ca="1">(C12)+(E12-C12)*IF(RAND()&lt;((D12)-(C12))/((E12)-(C12)),SQRT(RAND()*((D12)-(C12))/((E12)-(C12))),1-SQRT(RAND()*((E12)-(D12))/((E12)-(C12))))</f>
        <v>0.15237641083216394</v>
      </c>
      <c r="H1005" s="68">
        <f t="shared" ca="1" si="30"/>
        <v>267723213.43875882</v>
      </c>
      <c r="I1005" s="69">
        <f t="shared" ca="1" si="31"/>
        <v>276.8346623036615</v>
      </c>
    </row>
    <row r="1006" spans="1:9" ht="16.05" customHeight="1" x14ac:dyDescent="0.3">
      <c r="A1006" s="70">
        <v>990</v>
      </c>
      <c r="B1006" s="71">
        <f ca="1">(C7)+(E7-C7)*IF(RAND()&lt;((D7)-(C7))/((E7)-(C7)),SQRT(RAND()*((D7)-(C7))/((E7)-(C7))),1-SQRT(RAND()*((E7)-(D7))/((E7)-(C7))))</f>
        <v>0.2446683744691491</v>
      </c>
      <c r="C1006" s="71">
        <f ca="1">(C8)+(E8-C8)*IF(RAND()&lt;((D8)-(C8))/((E8)-(C8)),SQRT(RAND()*((D8)-(C8))/((E8)-(C8))),1-SQRT(RAND()*((E8)-(D8))/((E8)-(C8))))</f>
        <v>0.67056348622558648</v>
      </c>
      <c r="D1006" s="72">
        <f ca="1">(C9)+(E9-C9)*IF(RAND()&lt;((D9)-(C9))/((E9)-(C9)),SQRT(RAND()*((D9)-(C9))/((E9)-(C9))),1-SQRT(RAND()*((E9)-(D9))/((E9)-(C9))))</f>
        <v>1316842.58252161</v>
      </c>
      <c r="E1006" s="72">
        <f ca="1">(C10)+(E10-C10)*IF(RAND()&lt;((D10)-(C10))/((E10)-(C10)),SQRT(RAND()*((D10)-(C10))/((E10)-(C10))),1-SQRT(RAND()*((E10)-(D10))/((E10)-(C10))))</f>
        <v>3849211.4679697002</v>
      </c>
      <c r="F1006" s="71">
        <f ca="1">(C11)+(E11-C11)*IF(RAND()&lt;((D11)-(C11))/((E11)-(C11)),SQRT(RAND()*((D11)-(C11))/((E11)-(C11))),1-SQRT(RAND()*((E11)-(D11))/((E11)-(C11))))</f>
        <v>1.5522033544441642E-2</v>
      </c>
      <c r="G1006" s="71">
        <f ca="1">(C12)+(E12-C12)*IF(RAND()&lt;((D12)-(C12))/((E12)-(C12)),SQRT(RAND()*((D12)-(C12))/((E12)-(C12))),1-SQRT(RAND()*((E12)-(D12))/((E12)-(C12))))</f>
        <v>0.176947291586489</v>
      </c>
      <c r="H1006" s="72">
        <f t="shared" ca="1" si="30"/>
        <v>274620553.82971817</v>
      </c>
      <c r="I1006" s="73">
        <f t="shared" ca="1" si="31"/>
        <v>276.38683240035368</v>
      </c>
    </row>
    <row r="1007" spans="1:9" ht="16.05" customHeight="1" x14ac:dyDescent="0.3">
      <c r="A1007" s="66">
        <v>991</v>
      </c>
      <c r="B1007" s="67">
        <f ca="1">(C7)+(E7-C7)*IF(RAND()&lt;((D7)-(C7))/((E7)-(C7)),SQRT(RAND()*((D7)-(C7))/((E7)-(C7))),1-SQRT(RAND()*((E7)-(D7))/((E7)-(C7))))</f>
        <v>0.19548851525664079</v>
      </c>
      <c r="C1007" s="67">
        <f ca="1">(C8)+(E8-C8)*IF(RAND()&lt;((D8)-(C8))/((E8)-(C8)),SQRT(RAND()*((D8)-(C8))/((E8)-(C8))),1-SQRT(RAND()*((E8)-(D8))/((E8)-(C8))))</f>
        <v>0.66018398405931689</v>
      </c>
      <c r="D1007" s="68">
        <f ca="1">(C9)+(E9-C9)*IF(RAND()&lt;((D9)-(C9))/((E9)-(C9)),SQRT(RAND()*((D9)-(C9))/((E9)-(C9))),1-SQRT(RAND()*((E9)-(D9))/((E9)-(C9))))</f>
        <v>1112739.0455694168</v>
      </c>
      <c r="E1007" s="68">
        <f ca="1">(C10)+(E10-C10)*IF(RAND()&lt;((D10)-(C10))/((E10)-(C10)),SQRT(RAND()*((D10)-(C10))/((E10)-(C10))),1-SQRT(RAND()*((E10)-(D10))/((E10)-(C10))))</f>
        <v>3762314.6237182128</v>
      </c>
      <c r="F1007" s="67">
        <f ca="1">(C11)+(E11-C11)*IF(RAND()&lt;((D11)-(C11))/((E11)-(C11)),SQRT(RAND()*((D11)-(C11))/((E11)-(C11))),1-SQRT(RAND()*((E11)-(D11))/((E11)-(C11))))</f>
        <v>8.948860428608733E-3</v>
      </c>
      <c r="G1007" s="67">
        <f ca="1">(C12)+(E12-C12)*IF(RAND()&lt;((D12)-(C12))/((E12)-(C12)),SQRT(RAND()*((D12)-(C12))/((E12)-(C12))),1-SQRT(RAND()*((E12)-(D12))/((E12)-(C12))))</f>
        <v>0.18607668124846022</v>
      </c>
      <c r="H1007" s="68">
        <f t="shared" ca="1" si="30"/>
        <v>189624763.46520659</v>
      </c>
      <c r="I1007" s="69">
        <f t="shared" ca="1" si="31"/>
        <v>226.09107164778288</v>
      </c>
    </row>
    <row r="1008" spans="1:9" ht="16.05" customHeight="1" x14ac:dyDescent="0.3">
      <c r="A1008" s="70">
        <v>992</v>
      </c>
      <c r="B1008" s="71">
        <f ca="1">(C7)+(E7-C7)*IF(RAND()&lt;((D7)-(C7))/((E7)-(C7)),SQRT(RAND()*((D7)-(C7))/((E7)-(C7))),1-SQRT(RAND()*((E7)-(D7))/((E7)-(C7))))</f>
        <v>0.23037504959016969</v>
      </c>
      <c r="C1008" s="71">
        <f ca="1">(C8)+(E8-C8)*IF(RAND()&lt;((D8)-(C8))/((E8)-(C8)),SQRT(RAND()*((D8)-(C8))/((E8)-(C8))),1-SQRT(RAND()*((E8)-(D8))/((E8)-(C8))))</f>
        <v>0.65242301501808597</v>
      </c>
      <c r="D1008" s="72">
        <f ca="1">(C9)+(E9-C9)*IF(RAND()&lt;((D9)-(C9))/((E9)-(C9)),SQRT(RAND()*((D9)-(C9))/((E9)-(C9))),1-SQRT(RAND()*((E9)-(D9))/((E9)-(C9))))</f>
        <v>1225693.9188567225</v>
      </c>
      <c r="E1008" s="72">
        <f ca="1">(C10)+(E10-C10)*IF(RAND()&lt;((D10)-(C10))/((E10)-(C10)),SQRT(RAND()*((D10)-(C10))/((E10)-(C10))),1-SQRT(RAND()*((E10)-(D10))/((E10)-(C10))))</f>
        <v>3725579.2648426564</v>
      </c>
      <c r="F1008" s="71">
        <f ca="1">(C11)+(E11-C11)*IF(RAND()&lt;((D11)-(C11))/((E11)-(C11)),SQRT(RAND()*((D11)-(C11))/((E11)-(C11))),1-SQRT(RAND()*((E11)-(D11))/((E11)-(C11))))</f>
        <v>9.9379189763211251E-3</v>
      </c>
      <c r="G1008" s="71">
        <f ca="1">(C12)+(E12-C12)*IF(RAND()&lt;((D12)-(C12))/((E12)-(C12)),SQRT(RAND()*((D12)-(C12))/((E12)-(C12))),1-SQRT(RAND()*((E12)-(D12))/((E12)-(C12))))</f>
        <v>0.17713699682060952</v>
      </c>
      <c r="H1008" s="72">
        <f t="shared" ca="1" si="30"/>
        <v>219901846.13269842</v>
      </c>
      <c r="I1008" s="73">
        <f t="shared" ca="1" si="31"/>
        <v>237.95862532446077</v>
      </c>
    </row>
    <row r="1009" spans="1:9" ht="16.05" customHeight="1" x14ac:dyDescent="0.3">
      <c r="A1009" s="66">
        <v>993</v>
      </c>
      <c r="B1009" s="67">
        <f ca="1">(C7)+(E7-C7)*IF(RAND()&lt;((D7)-(C7))/((E7)-(C7)),SQRT(RAND()*((D7)-(C7))/((E7)-(C7))),1-SQRT(RAND()*((E7)-(D7))/((E7)-(C7))))</f>
        <v>0.23708180917913468</v>
      </c>
      <c r="C1009" s="67">
        <f ca="1">(C8)+(E8-C8)*IF(RAND()&lt;((D8)-(C8))/((E8)-(C8)),SQRT(RAND()*((D8)-(C8))/((E8)-(C8))),1-SQRT(RAND()*((E8)-(D8))/((E8)-(C8))))</f>
        <v>0.71174418129002226</v>
      </c>
      <c r="D1009" s="68">
        <f ca="1">(C9)+(E9-C9)*IF(RAND()&lt;((D9)-(C9))/((E9)-(C9)),SQRT(RAND()*((D9)-(C9))/((E9)-(C9))),1-SQRT(RAND()*((E9)-(D9))/((E9)-(C9))))</f>
        <v>1190104.5359488064</v>
      </c>
      <c r="E1009" s="68">
        <f ca="1">(C10)+(E10-C10)*IF(RAND()&lt;((D10)-(C10))/((E10)-(C10)),SQRT(RAND()*((D10)-(C10))/((E10)-(C10))),1-SQRT(RAND()*((E10)-(D10))/((E10)-(C10))))</f>
        <v>4063458.952580804</v>
      </c>
      <c r="F1009" s="67">
        <f ca="1">(C11)+(E11-C11)*IF(RAND()&lt;((D11)-(C11))/((E11)-(C11)),SQRT(RAND()*((D11)-(C11))/((E11)-(C11))),1-SQRT(RAND()*((E11)-(D11))/((E11)-(C11))))</f>
        <v>1.0025420030867538E-2</v>
      </c>
      <c r="G1009" s="67">
        <f ca="1">(C12)+(E12-C12)*IF(RAND()&lt;((D12)-(C12))/((E12)-(C12)),SQRT(RAND()*((D12)-(C12))/((E12)-(C12))),1-SQRT(RAND()*((E12)-(D12))/((E12)-(C12))))</f>
        <v>0.15377392569723242</v>
      </c>
      <c r="H1009" s="68">
        <f t="shared" ca="1" si="30"/>
        <v>239349643.1169205</v>
      </c>
      <c r="I1009" s="69">
        <f t="shared" ca="1" si="31"/>
        <v>266.58910013834355</v>
      </c>
    </row>
    <row r="1010" spans="1:9" ht="16.05" customHeight="1" x14ac:dyDescent="0.3">
      <c r="A1010" s="70">
        <v>994</v>
      </c>
      <c r="B1010" s="71">
        <f ca="1">(C7)+(E7-C7)*IF(RAND()&lt;((D7)-(C7))/((E7)-(C7)),SQRT(RAND()*((D7)-(C7))/((E7)-(C7))),1-SQRT(RAND()*((E7)-(D7))/((E7)-(C7))))</f>
        <v>0.24989115332155859</v>
      </c>
      <c r="C1010" s="71">
        <f ca="1">(C8)+(E8-C8)*IF(RAND()&lt;((D8)-(C8))/((E8)-(C8)),SQRT(RAND()*((D8)-(C8))/((E8)-(C8))),1-SQRT(RAND()*((E8)-(D8))/((E8)-(C8))))</f>
        <v>0.60947760458380884</v>
      </c>
      <c r="D1010" s="72">
        <f ca="1">(C9)+(E9-C9)*IF(RAND()&lt;((D9)-(C9))/((E9)-(C9)),SQRT(RAND()*((D9)-(C9))/((E9)-(C9))),1-SQRT(RAND()*((E9)-(D9))/((E9)-(C9))))</f>
        <v>1376420.3463650506</v>
      </c>
      <c r="E1010" s="72">
        <f ca="1">(C10)+(E10-C10)*IF(RAND()&lt;((D10)-(C10))/((E10)-(C10)),SQRT(RAND()*((D10)-(C10))/((E10)-(C10))),1-SQRT(RAND()*((E10)-(D10))/((E10)-(C10))))</f>
        <v>4865205.5751387207</v>
      </c>
      <c r="F1010" s="71">
        <f ca="1">(C11)+(E11-C11)*IF(RAND()&lt;((D11)-(C11))/((E11)-(C11)),SQRT(RAND()*((D11)-(C11))/((E11)-(C11))),1-SQRT(RAND()*((E11)-(D11))/((E11)-(C11))))</f>
        <v>1.4688721660496958E-2</v>
      </c>
      <c r="G1010" s="71">
        <f ca="1">(C12)+(E12-C12)*IF(RAND()&lt;((D12)-(C12))/((E12)-(C12)),SQRT(RAND()*((D12)-(C12))/((E12)-(C12))),1-SQRT(RAND()*((E12)-(D12))/((E12)-(C12))))</f>
        <v>0.16615963439731279</v>
      </c>
      <c r="H1010" s="72">
        <f t="shared" ca="1" si="30"/>
        <v>251897791.8453559</v>
      </c>
      <c r="I1010" s="73">
        <f t="shared" ca="1" si="31"/>
        <v>242.70601383833994</v>
      </c>
    </row>
    <row r="1011" spans="1:9" ht="16.05" customHeight="1" x14ac:dyDescent="0.3">
      <c r="A1011" s="66">
        <v>995</v>
      </c>
      <c r="B1011" s="67">
        <f ca="1">(C7)+(E7-C7)*IF(RAND()&lt;((D7)-(C7))/((E7)-(C7)),SQRT(RAND()*((D7)-(C7))/((E7)-(C7))),1-SQRT(RAND()*((E7)-(D7))/((E7)-(C7))))</f>
        <v>0.23917513166613968</v>
      </c>
      <c r="C1011" s="67">
        <f ca="1">(C8)+(E8-C8)*IF(RAND()&lt;((D8)-(C8))/((E8)-(C8)),SQRT(RAND()*((D8)-(C8))/((E8)-(C8))),1-SQRT(RAND()*((E8)-(D8))/((E8)-(C8))))</f>
        <v>0.65857963931042673</v>
      </c>
      <c r="D1011" s="68">
        <f ca="1">(C9)+(E9-C9)*IF(RAND()&lt;((D9)-(C9))/((E9)-(C9)),SQRT(RAND()*((D9)-(C9))/((E9)-(C9))),1-SQRT(RAND()*((E9)-(D9))/((E9)-(C9))))</f>
        <v>1156779.1671738089</v>
      </c>
      <c r="E1011" s="68">
        <f ca="1">(C10)+(E10-C10)*IF(RAND()&lt;((D10)-(C10))/((E10)-(C10)),SQRT(RAND()*((D10)-(C10))/((E10)-(C10))),1-SQRT(RAND()*((E10)-(D10))/((E10)-(C10))))</f>
        <v>3016234.2652272619</v>
      </c>
      <c r="F1011" s="67">
        <f ca="1">(C11)+(E11-C11)*IF(RAND()&lt;((D11)-(C11))/((E11)-(C11)),SQRT(RAND()*((D11)-(C11))/((E11)-(C11))),1-SQRT(RAND()*((E11)-(D11))/((E11)-(C11))))</f>
        <v>6.2728905473846868E-3</v>
      </c>
      <c r="G1011" s="67">
        <f ca="1">(C12)+(E12-C12)*IF(RAND()&lt;((D12)-(C12))/((E12)-(C12)),SQRT(RAND()*((D12)-(C12))/((E12)-(C12))),1-SQRT(RAND()*((E12)-(D12))/((E12)-(C12))))</f>
        <v>0.19108073652566854</v>
      </c>
      <c r="H1011" s="68">
        <f t="shared" ca="1" si="30"/>
        <v>204055205.50392213</v>
      </c>
      <c r="I1011" s="69">
        <f t="shared" ca="1" si="31"/>
        <v>233.98763619413953</v>
      </c>
    </row>
    <row r="1012" spans="1:9" ht="16.05" customHeight="1" x14ac:dyDescent="0.3">
      <c r="A1012" s="70">
        <v>996</v>
      </c>
      <c r="B1012" s="71">
        <f ca="1">(C7)+(E7-C7)*IF(RAND()&lt;((D7)-(C7))/((E7)-(C7)),SQRT(RAND()*((D7)-(C7))/((E7)-(C7))),1-SQRT(RAND()*((E7)-(D7))/((E7)-(C7))))</f>
        <v>0.23410175341198899</v>
      </c>
      <c r="C1012" s="71">
        <f ca="1">(C8)+(E8-C8)*IF(RAND()&lt;((D8)-(C8))/((E8)-(C8)),SQRT(RAND()*((D8)-(C8))/((E8)-(C8))),1-SQRT(RAND()*((E8)-(D8))/((E8)-(C8))))</f>
        <v>0.72996382498833201</v>
      </c>
      <c r="D1012" s="72">
        <f ca="1">(C9)+(E9-C9)*IF(RAND()&lt;((D9)-(C9))/((E9)-(C9)),SQRT(RAND()*((D9)-(C9))/((E9)-(C9))),1-SQRT(RAND()*((E9)-(D9))/((E9)-(C9))))</f>
        <v>1159735.7854447768</v>
      </c>
      <c r="E1012" s="72">
        <f ca="1">(C10)+(E10-C10)*IF(RAND()&lt;((D10)-(C10))/((E10)-(C10)),SQRT(RAND()*((D10)-(C10))/((E10)-(C10))),1-SQRT(RAND()*((E10)-(D10))/((E10)-(C10))))</f>
        <v>3811822.5744927707</v>
      </c>
      <c r="F1012" s="71">
        <f ca="1">(C11)+(E11-C11)*IF(RAND()&lt;((D11)-(C11))/((E11)-(C11)),SQRT(RAND()*((D11)-(C11))/((E11)-(C11))),1-SQRT(RAND()*((E11)-(D11))/((E11)-(C11))))</f>
        <v>1.7593810135637669E-2</v>
      </c>
      <c r="G1012" s="71">
        <f ca="1">(C12)+(E12-C12)*IF(RAND()&lt;((D12)-(C12))/((E12)-(C12)),SQRT(RAND()*((D12)-(C12))/((E12)-(C12))),1-SQRT(RAND()*((E12)-(D12))/((E12)-(C12))))</f>
        <v>0.17327430536387564</v>
      </c>
      <c r="H1012" s="72">
        <f t="shared" ca="1" si="30"/>
        <v>297292772.35092068</v>
      </c>
      <c r="I1012" s="73">
        <f t="shared" ca="1" si="31"/>
        <v>339.43515743567332</v>
      </c>
    </row>
    <row r="1013" spans="1:9" ht="16.05" customHeight="1" x14ac:dyDescent="0.3">
      <c r="A1013" s="66">
        <v>997</v>
      </c>
      <c r="B1013" s="67">
        <f ca="1">(C7)+(E7-C7)*IF(RAND()&lt;((D7)-(C7))/((E7)-(C7)),SQRT(RAND()*((D7)-(C7))/((E7)-(C7))),1-SQRT(RAND()*((E7)-(D7))/((E7)-(C7))))</f>
        <v>0.28164288763726281</v>
      </c>
      <c r="C1013" s="67">
        <f ca="1">(C8)+(E8-C8)*IF(RAND()&lt;((D8)-(C8))/((E8)-(C8)),SQRT(RAND()*((D8)-(C8))/((E8)-(C8))),1-SQRT(RAND()*((E8)-(D8))/((E8)-(C8))))</f>
        <v>0.61333165239182619</v>
      </c>
      <c r="D1013" s="68">
        <f ca="1">(C9)+(E9-C9)*IF(RAND()&lt;((D9)-(C9))/((E9)-(C9)),SQRT(RAND()*((D9)-(C9))/((E9)-(C9))),1-SQRT(RAND()*((E9)-(D9))/((E9)-(C9))))</f>
        <v>1250104.4851218236</v>
      </c>
      <c r="E1013" s="68">
        <f ca="1">(C10)+(E10-C10)*IF(RAND()&lt;((D10)-(C10))/((E10)-(C10)),SQRT(RAND()*((D10)-(C10))/((E10)-(C10))),1-SQRT(RAND()*((E10)-(D10))/((E10)-(C10))))</f>
        <v>2449767.2378973952</v>
      </c>
      <c r="F1013" s="67">
        <f ca="1">(C11)+(E11-C11)*IF(RAND()&lt;((D11)-(C11))/((E11)-(C11)),SQRT(RAND()*((D11)-(C11))/((E11)-(C11))),1-SQRT(RAND()*((E11)-(D11))/((E11)-(C11))))</f>
        <v>1.6027737150293597E-2</v>
      </c>
      <c r="G1013" s="67">
        <f ca="1">(C12)+(E12-C12)*IF(RAND()&lt;((D12)-(C12))/((E12)-(C12)),SQRT(RAND()*((D12)-(C12))/((E12)-(C12))),1-SQRT(RAND()*((E12)-(D12))/((E12)-(C12))))</f>
        <v>0.13613383492889605</v>
      </c>
      <c r="H1013" s="68">
        <f t="shared" ca="1" si="30"/>
        <v>293080102.49967521</v>
      </c>
      <c r="I1013" s="69">
        <f t="shared" ca="1" si="31"/>
        <v>310.54831035510989</v>
      </c>
    </row>
    <row r="1014" spans="1:9" ht="16.05" customHeight="1" x14ac:dyDescent="0.3">
      <c r="A1014" s="70">
        <v>998</v>
      </c>
      <c r="B1014" s="71">
        <f ca="1">(C7)+(E7-C7)*IF(RAND()&lt;((D7)-(C7))/((E7)-(C7)),SQRT(RAND()*((D7)-(C7))/((E7)-(C7))),1-SQRT(RAND()*((E7)-(D7))/((E7)-(C7))))</f>
        <v>0.35565639565204255</v>
      </c>
      <c r="C1014" s="71">
        <f ca="1">(C8)+(E8-C8)*IF(RAND()&lt;((D8)-(C8))/((E8)-(C8)),SQRT(RAND()*((D8)-(C8))/((E8)-(C8))),1-SQRT(RAND()*((E8)-(D8))/((E8)-(C8))))</f>
        <v>0.61432157083366146</v>
      </c>
      <c r="D1014" s="72">
        <f ca="1">(C9)+(E9-C9)*IF(RAND()&lt;((D9)-(C9))/((E9)-(C9)),SQRT(RAND()*((D9)-(C9))/((E9)-(C9))),1-SQRT(RAND()*((E9)-(D9))/((E9)-(C9))))</f>
        <v>1173095.2306456619</v>
      </c>
      <c r="E1014" s="72">
        <f ca="1">(C10)+(E10-C10)*IF(RAND()&lt;((D10)-(C10))/((E10)-(C10)),SQRT(RAND()*((D10)-(C10))/((E10)-(C10))),1-SQRT(RAND()*((E10)-(D10))/((E10)-(C10))))</f>
        <v>3080563.2834686465</v>
      </c>
      <c r="F1014" s="71">
        <f ca="1">(C11)+(E11-C11)*IF(RAND()&lt;((D11)-(C11))/((E11)-(C11)),SQRT(RAND()*((D11)-(C11))/((E11)-(C11))),1-SQRT(RAND()*((E11)-(D11))/((E11)-(C11))))</f>
        <v>1.9311057531696166E-2</v>
      </c>
      <c r="G1014" s="71">
        <f ca="1">(C12)+(E12-C12)*IF(RAND()&lt;((D12)-(C12))/((E12)-(C12)),SQRT(RAND()*((D12)-(C12))/((E12)-(C12))),1-SQRT(RAND()*((E12)-(D12))/((E12)-(C12))))</f>
        <v>0.15511627000747957</v>
      </c>
      <c r="H1014" s="72">
        <f t="shared" ca="1" si="30"/>
        <v>364234385.23191708</v>
      </c>
      <c r="I1014" s="73">
        <f t="shared" ca="1" si="31"/>
        <v>410.85143938623338</v>
      </c>
    </row>
    <row r="1015" spans="1:9" ht="16.05" customHeight="1" x14ac:dyDescent="0.3">
      <c r="A1015" s="66">
        <v>999</v>
      </c>
      <c r="B1015" s="67">
        <f ca="1">(C7)+(E7-C7)*IF(RAND()&lt;((D7)-(C7))/((E7)-(C7)),SQRT(RAND()*((D7)-(C7))/((E7)-(C7))),1-SQRT(RAND()*((E7)-(D7))/((E7)-(C7))))</f>
        <v>0.24893389631959165</v>
      </c>
      <c r="C1015" s="67">
        <f ca="1">(C8)+(E8-C8)*IF(RAND()&lt;((D8)-(C8))/((E8)-(C8)),SQRT(RAND()*((D8)-(C8))/((E8)-(C8))),1-SQRT(RAND()*((E8)-(D8))/((E8)-(C8))))</f>
        <v>0.79121229731507658</v>
      </c>
      <c r="D1015" s="68">
        <f ca="1">(C9)+(E9-C9)*IF(RAND()&lt;((D9)-(C9))/((E9)-(C9)),SQRT(RAND()*((D9)-(C9))/((E9)-(C9))),1-SQRT(RAND()*((E9)-(D9))/((E9)-(C9))))</f>
        <v>1192187.3960259284</v>
      </c>
      <c r="E1015" s="68">
        <f ca="1">(C10)+(E10-C10)*IF(RAND()&lt;((D10)-(C10))/((E10)-(C10)),SQRT(RAND()*((D10)-(C10))/((E10)-(C10))),1-SQRT(RAND()*((E10)-(D10))/((E10)-(C10))))</f>
        <v>3361683.7836974245</v>
      </c>
      <c r="F1015" s="67">
        <f ca="1">(C11)+(E11-C11)*IF(RAND()&lt;((D11)-(C11))/((E11)-(C11)),SQRT(RAND()*((D11)-(C11))/((E11)-(C11))),1-SQRT(RAND()*((E11)-(D11))/((E11)-(C11))))</f>
        <v>1.6289290741999869E-2</v>
      </c>
      <c r="G1015" s="67">
        <f ca="1">(C12)+(E12-C12)*IF(RAND()&lt;((D12)-(C12))/((E12)-(C12)),SQRT(RAND()*((D12)-(C12))/((E12)-(C12))),1-SQRT(RAND()*((E12)-(D12))/((E12)-(C12))))</f>
        <v>0.17443880223628366</v>
      </c>
      <c r="H1015" s="68">
        <f t="shared" ca="1" si="30"/>
        <v>317918212.18632782</v>
      </c>
      <c r="I1015" s="69">
        <f t="shared" ca="1" si="31"/>
        <v>353.05070237212374</v>
      </c>
    </row>
    <row r="1016" spans="1:9" ht="16.05" customHeight="1" x14ac:dyDescent="0.3">
      <c r="A1016" s="70">
        <v>1000</v>
      </c>
      <c r="B1016" s="71">
        <f ca="1">(C7)+(E7-C7)*IF(RAND()&lt;((D7)-(C7))/((E7)-(C7)),SQRT(RAND()*((D7)-(C7))/((E7)-(C7))),1-SQRT(RAND()*((E7)-(D7))/((E7)-(C7))))</f>
        <v>0.21811395509965575</v>
      </c>
      <c r="C1016" s="71">
        <f ca="1">(C8)+(E8-C8)*IF(RAND()&lt;((D8)-(C8))/((E8)-(C8)),SQRT(RAND()*((D8)-(C8))/((E8)-(C8))),1-SQRT(RAND()*((E8)-(D8))/((E8)-(C8))))</f>
        <v>0.54027246788080607</v>
      </c>
      <c r="D1016" s="72">
        <f ca="1">(C9)+(E9-C9)*IF(RAND()&lt;((D9)-(C9))/((E9)-(C9)),SQRT(RAND()*((D9)-(C9))/((E9)-(C9))),1-SQRT(RAND()*((E9)-(D9))/((E9)-(C9))))</f>
        <v>1152177.8625946487</v>
      </c>
      <c r="E1016" s="72">
        <f ca="1">(C10)+(E10-C10)*IF(RAND()&lt;((D10)-(C10))/((E10)-(C10)),SQRT(RAND()*((D10)-(C10))/((E10)-(C10))),1-SQRT(RAND()*((E10)-(D10))/((E10)-(C10))))</f>
        <v>4063694.980692355</v>
      </c>
      <c r="F1016" s="71">
        <f ca="1">(C11)+(E11-C11)*IF(RAND()&lt;((D11)-(C11))/((E11)-(C11)),SQRT(RAND()*((D11)-(C11))/((E11)-(C11))),1-SQRT(RAND()*((E11)-(D11))/((E11)-(C11))))</f>
        <v>1.3289136229920291E-2</v>
      </c>
      <c r="G1016" s="71">
        <f ca="1">(C12)+(E12-C12)*IF(RAND()&lt;((D12)-(C12))/((E12)-(C12)),SQRT(RAND()*((D12)-(C12))/((E12)-(C12))),1-SQRT(RAND()*((E12)-(D12))/((E12)-(C12))))</f>
        <v>0.16068285727606063</v>
      </c>
      <c r="H1016" s="72">
        <f t="shared" ca="1" si="30"/>
        <v>207565422.97675651</v>
      </c>
      <c r="I1016" s="73">
        <f t="shared" ca="1" si="31"/>
        <v>238.93523338034561</v>
      </c>
    </row>
    <row r="1019" spans="1:9" ht="22.05" customHeight="1" x14ac:dyDescent="0.3">
      <c r="A1019" s="264" t="s">
        <v>648</v>
      </c>
      <c r="B1019" s="198"/>
      <c r="C1019" s="198"/>
      <c r="D1019" s="198"/>
      <c r="E1019" s="198"/>
      <c r="F1019" s="198"/>
      <c r="G1019" s="198"/>
      <c r="H1019" s="198"/>
      <c r="I1019" s="198"/>
    </row>
    <row r="1020" spans="1:9" ht="19.95" customHeight="1" x14ac:dyDescent="0.3">
      <c r="A1020" s="74" t="s">
        <v>222</v>
      </c>
      <c r="B1020" s="74" t="s">
        <v>646</v>
      </c>
      <c r="C1020" s="74" t="s">
        <v>647</v>
      </c>
      <c r="D1020" s="74" t="s">
        <v>649</v>
      </c>
    </row>
    <row r="1021" spans="1:9" ht="25.95" customHeight="1" x14ac:dyDescent="0.3">
      <c r="A1021" s="75" t="s">
        <v>650</v>
      </c>
      <c r="B1021" s="76">
        <f ca="1">AVERAGE(H17:H1016)</f>
        <v>278145308.20897961</v>
      </c>
      <c r="C1021" s="77">
        <f ca="1">AVERAGE(I17:I1016)</f>
        <v>296.54744356494683</v>
      </c>
      <c r="D1021" s="287" t="s">
        <v>651</v>
      </c>
      <c r="E1021" s="267"/>
      <c r="F1021" s="267"/>
      <c r="G1021" s="267"/>
      <c r="H1021" s="267"/>
      <c r="I1021" s="268"/>
    </row>
    <row r="1022" spans="1:9" ht="25.95" customHeight="1" x14ac:dyDescent="0.3">
      <c r="A1022" s="78" t="s">
        <v>652</v>
      </c>
      <c r="B1022" s="79">
        <f ca="1">MEDIAN(H17:H1016)</f>
        <v>274451107.67476785</v>
      </c>
      <c r="C1022" s="80">
        <f ca="1">MEDIAN(I17:I1016)</f>
        <v>290.23697933204119</v>
      </c>
      <c r="D1022" s="303" t="s">
        <v>653</v>
      </c>
      <c r="E1022" s="267"/>
      <c r="F1022" s="267"/>
      <c r="G1022" s="267"/>
      <c r="H1022" s="267"/>
      <c r="I1022" s="268"/>
    </row>
    <row r="1023" spans="1:9" ht="25.95" customHeight="1" x14ac:dyDescent="0.3">
      <c r="A1023" s="75" t="s">
        <v>654</v>
      </c>
      <c r="B1023" s="76">
        <f ca="1">PERCENTILE(H17:H1016,0.1)</f>
        <v>212803905.74639857</v>
      </c>
      <c r="C1023" s="77">
        <f ca="1">PERCENTILE(I17:I1016,0.1)</f>
        <v>223.14422380267919</v>
      </c>
      <c r="D1023" s="287" t="s">
        <v>655</v>
      </c>
      <c r="E1023" s="267"/>
      <c r="F1023" s="267"/>
      <c r="G1023" s="267"/>
      <c r="H1023" s="267"/>
      <c r="I1023" s="268"/>
    </row>
    <row r="1024" spans="1:9" ht="25.95" customHeight="1" x14ac:dyDescent="0.3">
      <c r="A1024" s="78" t="s">
        <v>656</v>
      </c>
      <c r="B1024" s="79">
        <f ca="1">PERCENTILE(H17:H1016,0.9)</f>
        <v>349763282.19896591</v>
      </c>
      <c r="C1024" s="80">
        <f ca="1">PERCENTILE(I17:I1016,0.9)</f>
        <v>375.77768204842977</v>
      </c>
      <c r="D1024" s="303" t="s">
        <v>657</v>
      </c>
      <c r="E1024" s="267"/>
      <c r="F1024" s="267"/>
      <c r="G1024" s="267"/>
      <c r="H1024" s="267"/>
      <c r="I1024" s="268"/>
    </row>
    <row r="1025" spans="1:9" ht="25.95" customHeight="1" x14ac:dyDescent="0.3">
      <c r="A1025" s="75" t="s">
        <v>658</v>
      </c>
      <c r="B1025" s="76">
        <f ca="1">STDEV(H17:H1016)</f>
        <v>52095239.049733363</v>
      </c>
      <c r="C1025" s="77">
        <f ca="1">STDEV(I17:I1016)</f>
        <v>58.710188396668883</v>
      </c>
      <c r="D1025" s="287" t="s">
        <v>659</v>
      </c>
      <c r="E1025" s="267"/>
      <c r="F1025" s="267"/>
      <c r="G1025" s="267"/>
      <c r="H1025" s="267"/>
      <c r="I1025" s="268"/>
    </row>
    <row r="1026" spans="1:9" ht="25.95" customHeight="1" x14ac:dyDescent="0.3">
      <c r="A1026" s="78" t="s">
        <v>660</v>
      </c>
      <c r="B1026" s="79">
        <f ca="1">MIN(H17:H1016)</f>
        <v>151945087.65445641</v>
      </c>
      <c r="C1026" s="80">
        <f ca="1">MIN(I17:I1016)</f>
        <v>164.49255441656072</v>
      </c>
      <c r="D1026" s="303" t="s">
        <v>661</v>
      </c>
      <c r="E1026" s="267"/>
      <c r="F1026" s="267"/>
      <c r="G1026" s="267"/>
      <c r="H1026" s="267"/>
      <c r="I1026" s="268"/>
    </row>
    <row r="1027" spans="1:9" ht="25.95" customHeight="1" x14ac:dyDescent="0.3">
      <c r="A1027" s="75" t="s">
        <v>662</v>
      </c>
      <c r="B1027" s="76">
        <f ca="1">MAX(H17:H1016)</f>
        <v>449870817.39435863</v>
      </c>
      <c r="C1027" s="77">
        <f ca="1">MAX(I17:I1016)</f>
        <v>522.27183823163693</v>
      </c>
      <c r="D1027" s="287" t="s">
        <v>663</v>
      </c>
      <c r="E1027" s="267"/>
      <c r="F1027" s="267"/>
      <c r="G1027" s="267"/>
      <c r="H1027" s="267"/>
      <c r="I1027" s="268"/>
    </row>
    <row r="1028" spans="1:9" ht="25.95" customHeight="1" x14ac:dyDescent="0.3">
      <c r="A1028" s="78" t="s">
        <v>664</v>
      </c>
      <c r="B1028" s="81">
        <f ca="1">COUNTIF(H17:H1016,"&gt;0")/1000</f>
        <v>1</v>
      </c>
      <c r="C1028" s="82" t="s">
        <v>665</v>
      </c>
      <c r="D1028" s="303" t="s">
        <v>666</v>
      </c>
      <c r="E1028" s="267"/>
      <c r="F1028" s="267"/>
      <c r="G1028" s="267"/>
      <c r="H1028" s="267"/>
      <c r="I1028" s="268"/>
    </row>
    <row r="1029" spans="1:9" ht="25.95" customHeight="1" x14ac:dyDescent="0.3">
      <c r="A1029" s="75" t="s">
        <v>667</v>
      </c>
      <c r="B1029" s="83" t="s">
        <v>665</v>
      </c>
      <c r="C1029" s="84">
        <f ca="1">COUNTIF(I17:I1016,"&gt;2")/1000</f>
        <v>1</v>
      </c>
      <c r="D1029" s="287" t="s">
        <v>668</v>
      </c>
      <c r="E1029" s="267"/>
      <c r="F1029" s="267"/>
      <c r="G1029" s="267"/>
      <c r="H1029" s="267"/>
      <c r="I1029" s="268"/>
    </row>
    <row r="1030" spans="1:9" ht="25.95" customHeight="1" x14ac:dyDescent="0.3">
      <c r="A1030" s="78" t="s">
        <v>669</v>
      </c>
      <c r="B1030" s="81">
        <f ca="1">COUNTIF(H17:H1016,"&gt;10000000")/1000</f>
        <v>1</v>
      </c>
      <c r="C1030" s="82" t="s">
        <v>665</v>
      </c>
      <c r="D1030" s="303" t="s">
        <v>670</v>
      </c>
      <c r="E1030" s="267"/>
      <c r="F1030" s="267"/>
      <c r="G1030" s="267"/>
      <c r="H1030" s="267"/>
      <c r="I1030" s="268"/>
    </row>
    <row r="1033" spans="1:9" ht="22.05" customHeight="1" x14ac:dyDescent="0.3">
      <c r="A1033" s="270" t="s">
        <v>671</v>
      </c>
      <c r="B1033" s="198"/>
      <c r="C1033" s="198"/>
      <c r="D1033" s="198"/>
      <c r="E1033" s="198"/>
      <c r="F1033" s="198"/>
      <c r="G1033" s="198"/>
      <c r="H1033" s="198"/>
      <c r="I1033" s="198"/>
    </row>
    <row r="1034" spans="1:9" ht="19.95" customHeight="1" x14ac:dyDescent="0.3">
      <c r="A1034" s="28" t="s">
        <v>672</v>
      </c>
      <c r="B1034" s="28" t="s">
        <v>673</v>
      </c>
      <c r="C1034" s="28" t="s">
        <v>674</v>
      </c>
      <c r="D1034" s="28" t="s">
        <v>675</v>
      </c>
    </row>
    <row r="1035" spans="1:9" ht="24" customHeight="1" x14ac:dyDescent="0.3">
      <c r="A1035" s="85" t="s">
        <v>676</v>
      </c>
      <c r="B1035" s="86">
        <f ca="1">COUNTIFS(H17:H1016,"&lt;-5000000")</f>
        <v>0</v>
      </c>
      <c r="C1035" s="87">
        <f t="shared" ref="C1035:C1042" ca="1" si="32">B1035/1000</f>
        <v>0</v>
      </c>
      <c r="D1035" s="304" t="s">
        <v>677</v>
      </c>
      <c r="E1035" s="267"/>
      <c r="F1035" s="267"/>
      <c r="G1035" s="267"/>
      <c r="H1035" s="267"/>
      <c r="I1035" s="268"/>
    </row>
    <row r="1036" spans="1:9" ht="24" customHeight="1" x14ac:dyDescent="0.3">
      <c r="A1036" s="88" t="s">
        <v>678</v>
      </c>
      <c r="B1036" s="89">
        <f ca="1">COUNTIFS(H17:H1016,"&gt;=-5000000",H17:H1016,"&lt;-2000000")</f>
        <v>0</v>
      </c>
      <c r="C1036" s="90">
        <f t="shared" ca="1" si="32"/>
        <v>0</v>
      </c>
      <c r="D1036" s="307" t="s">
        <v>677</v>
      </c>
      <c r="E1036" s="267"/>
      <c r="F1036" s="267"/>
      <c r="G1036" s="267"/>
      <c r="H1036" s="267"/>
      <c r="I1036" s="268"/>
    </row>
    <row r="1037" spans="1:9" ht="24" customHeight="1" x14ac:dyDescent="0.3">
      <c r="A1037" s="85" t="s">
        <v>679</v>
      </c>
      <c r="B1037" s="86">
        <f ca="1">COUNTIFS(H17:H1016,"&gt;=-2000000",H17:H1016,"&lt;0")</f>
        <v>0</v>
      </c>
      <c r="C1037" s="87">
        <f t="shared" ca="1" si="32"/>
        <v>0</v>
      </c>
      <c r="D1037" s="304" t="s">
        <v>677</v>
      </c>
      <c r="E1037" s="267"/>
      <c r="F1037" s="267"/>
      <c r="G1037" s="267"/>
      <c r="H1037" s="267"/>
      <c r="I1037" s="268"/>
    </row>
    <row r="1038" spans="1:9" ht="24" customHeight="1" x14ac:dyDescent="0.3">
      <c r="A1038" s="88" t="s">
        <v>680</v>
      </c>
      <c r="B1038" s="89">
        <f ca="1">COUNTIFS(H17:H1016,"&gt;=0",H17:H1016,"&lt;5000000")</f>
        <v>0</v>
      </c>
      <c r="C1038" s="90">
        <f t="shared" ca="1" si="32"/>
        <v>0</v>
      </c>
      <c r="D1038" s="307" t="s">
        <v>677</v>
      </c>
      <c r="E1038" s="267"/>
      <c r="F1038" s="267"/>
      <c r="G1038" s="267"/>
      <c r="H1038" s="267"/>
      <c r="I1038" s="268"/>
    </row>
    <row r="1039" spans="1:9" ht="24" customHeight="1" x14ac:dyDescent="0.3">
      <c r="A1039" s="85" t="s">
        <v>681</v>
      </c>
      <c r="B1039" s="86">
        <f ca="1">COUNTIFS(H17:H1016,"&gt;=5000000",H17:H1016,"&lt;10000000")</f>
        <v>0</v>
      </c>
      <c r="C1039" s="87">
        <f t="shared" ca="1" si="32"/>
        <v>0</v>
      </c>
      <c r="D1039" s="304" t="s">
        <v>677</v>
      </c>
      <c r="E1039" s="267"/>
      <c r="F1039" s="267"/>
      <c r="G1039" s="267"/>
      <c r="H1039" s="267"/>
      <c r="I1039" s="268"/>
    </row>
    <row r="1040" spans="1:9" ht="24" customHeight="1" x14ac:dyDescent="0.3">
      <c r="A1040" s="88" t="s">
        <v>682</v>
      </c>
      <c r="B1040" s="89">
        <f ca="1">COUNTIFS(H17:H1016,"&gt;=10000000",H17:H1016,"&lt;20000000")</f>
        <v>0</v>
      </c>
      <c r="C1040" s="90">
        <f t="shared" ca="1" si="32"/>
        <v>0</v>
      </c>
      <c r="D1040" s="307" t="s">
        <v>677</v>
      </c>
      <c r="E1040" s="267"/>
      <c r="F1040" s="267"/>
      <c r="G1040" s="267"/>
      <c r="H1040" s="267"/>
      <c r="I1040" s="268"/>
    </row>
    <row r="1041" spans="1:9" ht="24" customHeight="1" x14ac:dyDescent="0.3">
      <c r="A1041" s="85" t="s">
        <v>683</v>
      </c>
      <c r="B1041" s="86">
        <f ca="1">COUNTIFS(H17:H1016,"&gt;=20000000",H17:H1016,"&lt;40000000")</f>
        <v>0</v>
      </c>
      <c r="C1041" s="87">
        <f t="shared" ca="1" si="32"/>
        <v>0</v>
      </c>
      <c r="D1041" s="304" t="s">
        <v>677</v>
      </c>
      <c r="E1041" s="267"/>
      <c r="F1041" s="267"/>
      <c r="G1041" s="267"/>
      <c r="H1041" s="267"/>
      <c r="I1041" s="268"/>
    </row>
    <row r="1042" spans="1:9" ht="24" customHeight="1" x14ac:dyDescent="0.3">
      <c r="A1042" s="88" t="s">
        <v>684</v>
      </c>
      <c r="B1042" s="89">
        <f ca="1">COUNTIFS(H17:H1016,"&gt;=40000000")</f>
        <v>1000</v>
      </c>
      <c r="C1042" s="90">
        <f t="shared" ca="1" si="32"/>
        <v>1</v>
      </c>
      <c r="D1042" s="307" t="s">
        <v>677</v>
      </c>
      <c r="E1042" s="267"/>
      <c r="F1042" s="267"/>
      <c r="G1042" s="267"/>
      <c r="H1042" s="267"/>
      <c r="I1042" s="268"/>
    </row>
    <row r="1045" spans="1:9" ht="36" customHeight="1" x14ac:dyDescent="0.3">
      <c r="A1045" s="275" t="s">
        <v>685</v>
      </c>
      <c r="B1045" s="198"/>
      <c r="C1045" s="198"/>
      <c r="D1045" s="198"/>
      <c r="E1045" s="198"/>
      <c r="F1045" s="198"/>
      <c r="G1045" s="198"/>
      <c r="H1045" s="198"/>
      <c r="I1045" s="198"/>
    </row>
    <row r="1047" spans="1:9" ht="24" customHeight="1" x14ac:dyDescent="0.3">
      <c r="A1047" s="222" t="s">
        <v>686</v>
      </c>
      <c r="B1047" s="198"/>
      <c r="C1047" s="198"/>
      <c r="D1047" s="198"/>
      <c r="E1047" s="198"/>
      <c r="F1047" s="198"/>
      <c r="G1047" s="198"/>
      <c r="H1047" s="198"/>
      <c r="I1047" s="198"/>
    </row>
    <row r="1048" spans="1:9" ht="52.05" customHeight="1" x14ac:dyDescent="0.3">
      <c r="A1048" s="282" t="s">
        <v>687</v>
      </c>
      <c r="B1048" s="198"/>
      <c r="C1048" s="198"/>
      <c r="D1048" s="198"/>
      <c r="E1048" s="198"/>
      <c r="F1048" s="198"/>
      <c r="G1048" s="198"/>
      <c r="H1048" s="198"/>
      <c r="I1048" s="198"/>
    </row>
    <row r="1049" spans="1:9" ht="22.05" customHeight="1" x14ac:dyDescent="0.3">
      <c r="A1049" s="58" t="s">
        <v>688</v>
      </c>
      <c r="B1049" s="58" t="s">
        <v>689</v>
      </c>
      <c r="C1049" s="58" t="s">
        <v>690</v>
      </c>
      <c r="D1049" s="58" t="s">
        <v>691</v>
      </c>
      <c r="E1049" s="58" t="s">
        <v>188</v>
      </c>
    </row>
    <row r="1050" spans="1:9" ht="55.95" customHeight="1" x14ac:dyDescent="0.3">
      <c r="A1050" s="161" t="s">
        <v>692</v>
      </c>
      <c r="B1050" s="162" t="s">
        <v>693</v>
      </c>
      <c r="C1050" s="162" t="s">
        <v>694</v>
      </c>
      <c r="D1050" s="162" t="s">
        <v>695</v>
      </c>
      <c r="E1050" s="182" t="s">
        <v>696</v>
      </c>
    </row>
    <row r="1051" spans="1:9" ht="55.95" customHeight="1" x14ac:dyDescent="0.3">
      <c r="A1051" s="168" t="s">
        <v>697</v>
      </c>
      <c r="B1051" s="38" t="s">
        <v>698</v>
      </c>
      <c r="C1051" s="38" t="s">
        <v>699</v>
      </c>
      <c r="D1051" s="38" t="s">
        <v>700</v>
      </c>
      <c r="E1051" s="183" t="s">
        <v>701</v>
      </c>
    </row>
    <row r="1052" spans="1:9" ht="55.95" customHeight="1" x14ac:dyDescent="0.3">
      <c r="A1052" s="161" t="s">
        <v>702</v>
      </c>
      <c r="B1052" s="162" t="s">
        <v>703</v>
      </c>
      <c r="C1052" s="162" t="s">
        <v>704</v>
      </c>
      <c r="D1052" s="162" t="s">
        <v>705</v>
      </c>
      <c r="E1052" s="182" t="s">
        <v>706</v>
      </c>
    </row>
    <row r="1053" spans="1:9" ht="55.95" customHeight="1" x14ac:dyDescent="0.3">
      <c r="A1053" s="168" t="s">
        <v>707</v>
      </c>
      <c r="B1053" s="38" t="s">
        <v>708</v>
      </c>
      <c r="C1053" s="38" t="s">
        <v>709</v>
      </c>
      <c r="D1053" s="38" t="s">
        <v>710</v>
      </c>
      <c r="E1053" s="183" t="s">
        <v>711</v>
      </c>
    </row>
    <row r="1054" spans="1:9" ht="55.95" customHeight="1" x14ac:dyDescent="0.3">
      <c r="A1054" s="168" t="s">
        <v>712</v>
      </c>
      <c r="B1054" s="38" t="s">
        <v>713</v>
      </c>
      <c r="C1054" s="38" t="s">
        <v>714</v>
      </c>
      <c r="D1054" s="38" t="s">
        <v>715</v>
      </c>
      <c r="E1054" s="183" t="s">
        <v>716</v>
      </c>
    </row>
    <row r="1055" spans="1:9" ht="72" customHeight="1" x14ac:dyDescent="0.3">
      <c r="A1055" s="272" t="s">
        <v>717</v>
      </c>
      <c r="B1055" s="198"/>
      <c r="C1055" s="198"/>
      <c r="D1055" s="198"/>
      <c r="E1055" s="198"/>
      <c r="F1055" s="198"/>
      <c r="G1055" s="198"/>
      <c r="H1055" s="198"/>
      <c r="I1055" s="198"/>
    </row>
  </sheetData>
  <mergeCells count="29">
    <mergeCell ref="A1055:I1055"/>
    <mergeCell ref="D1028:I1028"/>
    <mergeCell ref="A1:I1"/>
    <mergeCell ref="D1027:I1027"/>
    <mergeCell ref="A1048:I1048"/>
    <mergeCell ref="A2:I2"/>
    <mergeCell ref="D1025:I1025"/>
    <mergeCell ref="A5:I5"/>
    <mergeCell ref="A1033:I1033"/>
    <mergeCell ref="D1037:I1037"/>
    <mergeCell ref="A1045:I1045"/>
    <mergeCell ref="D1022:I1022"/>
    <mergeCell ref="D1040:I1040"/>
    <mergeCell ref="D1041:I1041"/>
    <mergeCell ref="D1021:I1021"/>
    <mergeCell ref="D1024:I1024"/>
    <mergeCell ref="A1019:I1019"/>
    <mergeCell ref="D1036:I1036"/>
    <mergeCell ref="A15:I15"/>
    <mergeCell ref="D1042:I1042"/>
    <mergeCell ref="D1030:I1030"/>
    <mergeCell ref="D1039:I1039"/>
    <mergeCell ref="D1023:I1023"/>
    <mergeCell ref="A3:I3"/>
    <mergeCell ref="A1047:I1047"/>
    <mergeCell ref="D1035:I1035"/>
    <mergeCell ref="D1026:I1026"/>
    <mergeCell ref="D1038:I1038"/>
    <mergeCell ref="D1029:I10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4"/>
  <sheetViews>
    <sheetView workbookViewId="0">
      <pane ySplit="5" topLeftCell="A6" activePane="bottomLeft" state="frozen"/>
      <selection pane="bottomLeft"/>
    </sheetView>
  </sheetViews>
  <sheetFormatPr defaultRowHeight="14.4" x14ac:dyDescent="0.3"/>
  <cols>
    <col min="1" max="1" width="38" customWidth="1"/>
    <col min="2" max="5" width="22" customWidth="1"/>
    <col min="6" max="6" width="36" customWidth="1"/>
  </cols>
  <sheetData>
    <row r="1" spans="1:6" ht="34.049999999999997" customHeight="1" x14ac:dyDescent="0.3">
      <c r="A1" s="279" t="s">
        <v>718</v>
      </c>
      <c r="B1" s="198"/>
      <c r="C1" s="198"/>
      <c r="D1" s="198"/>
      <c r="E1" s="198"/>
      <c r="F1" s="198"/>
    </row>
    <row r="2" spans="1:6" ht="19.95" customHeight="1" x14ac:dyDescent="0.3">
      <c r="A2" s="283" t="s">
        <v>719</v>
      </c>
      <c r="B2" s="198"/>
      <c r="C2" s="198"/>
      <c r="D2" s="198"/>
      <c r="E2" s="198"/>
      <c r="F2" s="198"/>
    </row>
    <row r="3" spans="1:6" ht="7.95" customHeight="1" x14ac:dyDescent="0.3"/>
    <row r="4" spans="1:6" ht="22.05" customHeight="1" x14ac:dyDescent="0.3">
      <c r="A4" s="222" t="s">
        <v>720</v>
      </c>
      <c r="B4" s="198"/>
      <c r="C4" s="198"/>
      <c r="D4" s="198"/>
      <c r="E4" s="198"/>
      <c r="F4" s="198"/>
    </row>
    <row r="5" spans="1:6" ht="28.05" customHeight="1" x14ac:dyDescent="0.3">
      <c r="A5" s="58" t="s">
        <v>222</v>
      </c>
      <c r="B5" s="58" t="s">
        <v>721</v>
      </c>
      <c r="C5" s="58" t="s">
        <v>722</v>
      </c>
      <c r="D5" s="58" t="s">
        <v>723</v>
      </c>
      <c r="E5" s="58" t="s">
        <v>724</v>
      </c>
      <c r="F5" s="58" t="s">
        <v>725</v>
      </c>
    </row>
    <row r="6" spans="1:6" ht="52.05" customHeight="1" x14ac:dyDescent="0.3">
      <c r="A6" s="11" t="s">
        <v>726</v>
      </c>
      <c r="B6" s="91">
        <f>Inputs!C9*Inputs!C22*Inputs!C21</f>
        <v>48072500</v>
      </c>
      <c r="C6" s="92" t="s">
        <v>727</v>
      </c>
      <c r="D6" s="93" t="s">
        <v>728</v>
      </c>
      <c r="E6" s="94" t="s">
        <v>729</v>
      </c>
      <c r="F6" s="4" t="s">
        <v>730</v>
      </c>
    </row>
    <row r="7" spans="1:6" ht="52.05" customHeight="1" x14ac:dyDescent="0.3">
      <c r="A7" s="11" t="s">
        <v>731</v>
      </c>
      <c r="B7" s="91">
        <f>(Inputs!C9*Inputs!C22*Inputs!C21)-(Inputs!C16+Inputs!C17)</f>
        <v>44572500</v>
      </c>
      <c r="C7" s="92" t="s">
        <v>732</v>
      </c>
      <c r="D7" s="93" t="s">
        <v>733</v>
      </c>
      <c r="E7" s="94" t="s">
        <v>734</v>
      </c>
      <c r="F7" s="4" t="s">
        <v>735</v>
      </c>
    </row>
    <row r="8" spans="1:6" ht="52.05" customHeight="1" x14ac:dyDescent="0.3">
      <c r="A8" s="11" t="s">
        <v>736</v>
      </c>
      <c r="B8" s="95" t="s">
        <v>737</v>
      </c>
      <c r="C8" s="92" t="s">
        <v>738</v>
      </c>
      <c r="D8" s="93" t="s">
        <v>739</v>
      </c>
      <c r="E8" s="94" t="s">
        <v>740</v>
      </c>
      <c r="F8" s="4" t="s">
        <v>741</v>
      </c>
    </row>
    <row r="9" spans="1:6" ht="52.05" customHeight="1" x14ac:dyDescent="0.3">
      <c r="A9" s="11" t="s">
        <v>496</v>
      </c>
      <c r="B9" s="91">
        <f>Inputs!C21</f>
        <v>0.67</v>
      </c>
      <c r="C9" s="92" t="s">
        <v>742</v>
      </c>
      <c r="D9" s="93" t="s">
        <v>743</v>
      </c>
      <c r="E9" s="94" t="s">
        <v>744</v>
      </c>
      <c r="F9" s="4" t="s">
        <v>745</v>
      </c>
    </row>
    <row r="10" spans="1:6" ht="52.05" customHeight="1" x14ac:dyDescent="0.3">
      <c r="A10" s="13" t="s">
        <v>746</v>
      </c>
      <c r="B10" s="96" t="s">
        <v>747</v>
      </c>
      <c r="C10" s="97" t="s">
        <v>748</v>
      </c>
      <c r="D10" s="98" t="s">
        <v>749</v>
      </c>
      <c r="E10" s="99" t="s">
        <v>750</v>
      </c>
      <c r="F10" s="7" t="s">
        <v>751</v>
      </c>
    </row>
    <row r="11" spans="1:6" ht="52.05" customHeight="1" x14ac:dyDescent="0.3">
      <c r="A11" s="11" t="s">
        <v>752</v>
      </c>
      <c r="B11" s="95" t="s">
        <v>753</v>
      </c>
      <c r="C11" s="92" t="s">
        <v>754</v>
      </c>
      <c r="D11" s="93" t="s">
        <v>755</v>
      </c>
      <c r="E11" s="94" t="s">
        <v>756</v>
      </c>
      <c r="F11" s="4" t="s">
        <v>757</v>
      </c>
    </row>
    <row r="12" spans="1:6" ht="52.05" customHeight="1" x14ac:dyDescent="0.3">
      <c r="A12" s="13" t="s">
        <v>758</v>
      </c>
      <c r="B12" s="96" t="s">
        <v>759</v>
      </c>
      <c r="C12" s="97" t="s">
        <v>760</v>
      </c>
      <c r="D12" s="98" t="s">
        <v>761</v>
      </c>
      <c r="E12" s="99" t="s">
        <v>762</v>
      </c>
      <c r="F12" s="7" t="s">
        <v>763</v>
      </c>
    </row>
    <row r="13" spans="1:6" ht="52.05" customHeight="1" x14ac:dyDescent="0.3">
      <c r="A13" s="100" t="s">
        <v>764</v>
      </c>
      <c r="B13" s="101" t="s">
        <v>765</v>
      </c>
      <c r="C13" s="102" t="s">
        <v>766</v>
      </c>
      <c r="D13" s="103" t="s">
        <v>767</v>
      </c>
      <c r="E13" s="104" t="s">
        <v>768</v>
      </c>
      <c r="F13" s="105" t="s">
        <v>769</v>
      </c>
    </row>
    <row r="14" spans="1:6" ht="10.050000000000001" customHeight="1" x14ac:dyDescent="0.3"/>
    <row r="15" spans="1:6" ht="22.05" customHeight="1" x14ac:dyDescent="0.3">
      <c r="A15" s="239" t="s">
        <v>770</v>
      </c>
      <c r="B15" s="198"/>
      <c r="C15" s="198"/>
      <c r="D15" s="198"/>
      <c r="E15" s="198"/>
      <c r="F15" s="198"/>
    </row>
    <row r="16" spans="1:6" ht="22.05" customHeight="1" x14ac:dyDescent="0.3">
      <c r="A16" s="264" t="s">
        <v>771</v>
      </c>
      <c r="B16" s="198"/>
      <c r="C16" s="198"/>
      <c r="D16" s="198"/>
      <c r="E16" s="198"/>
      <c r="F16" s="198"/>
    </row>
    <row r="17" spans="1:6" ht="64.95" customHeight="1" x14ac:dyDescent="0.3">
      <c r="A17" s="246" t="s">
        <v>772</v>
      </c>
      <c r="B17" s="198"/>
      <c r="C17" s="198"/>
      <c r="D17" s="198"/>
      <c r="E17" s="198"/>
      <c r="F17" s="198"/>
    </row>
    <row r="18" spans="1:6" ht="6" customHeight="1" x14ac:dyDescent="0.3"/>
    <row r="19" spans="1:6" ht="22.05" customHeight="1" x14ac:dyDescent="0.3">
      <c r="A19" s="264" t="s">
        <v>773</v>
      </c>
      <c r="B19" s="198"/>
      <c r="C19" s="198"/>
      <c r="D19" s="198"/>
      <c r="E19" s="198"/>
      <c r="F19" s="198"/>
    </row>
    <row r="20" spans="1:6" ht="64.95" customHeight="1" x14ac:dyDescent="0.3">
      <c r="A20" s="252" t="s">
        <v>774</v>
      </c>
      <c r="B20" s="198"/>
      <c r="C20" s="198"/>
      <c r="D20" s="198"/>
      <c r="E20" s="198"/>
      <c r="F20" s="198"/>
    </row>
    <row r="21" spans="1:6" ht="6" customHeight="1" x14ac:dyDescent="0.3"/>
    <row r="22" spans="1:6" ht="22.05" customHeight="1" x14ac:dyDescent="0.3">
      <c r="A22" s="264" t="s">
        <v>775</v>
      </c>
      <c r="B22" s="198"/>
      <c r="C22" s="198"/>
      <c r="D22" s="198"/>
      <c r="E22" s="198"/>
      <c r="F22" s="198"/>
    </row>
    <row r="23" spans="1:6" ht="64.95" customHeight="1" x14ac:dyDescent="0.3">
      <c r="A23" s="252" t="s">
        <v>776</v>
      </c>
      <c r="B23" s="198"/>
      <c r="C23" s="198"/>
      <c r="D23" s="198"/>
      <c r="E23" s="198"/>
      <c r="F23" s="198"/>
    </row>
    <row r="24" spans="1:6" ht="6" customHeight="1" x14ac:dyDescent="0.3"/>
    <row r="25" spans="1:6" ht="22.05" customHeight="1" x14ac:dyDescent="0.3">
      <c r="A25" s="264" t="s">
        <v>777</v>
      </c>
      <c r="B25" s="198"/>
      <c r="C25" s="198"/>
      <c r="D25" s="198"/>
      <c r="E25" s="198"/>
      <c r="F25" s="198"/>
    </row>
    <row r="26" spans="1:6" ht="64.95" customHeight="1" x14ac:dyDescent="0.3">
      <c r="A26" s="245" t="s">
        <v>778</v>
      </c>
      <c r="B26" s="198"/>
      <c r="C26" s="198"/>
      <c r="D26" s="198"/>
      <c r="E26" s="198"/>
      <c r="F26" s="198"/>
    </row>
    <row r="27" spans="1:6" ht="6" customHeight="1" x14ac:dyDescent="0.3"/>
    <row r="28" spans="1:6" ht="22.05" customHeight="1" x14ac:dyDescent="0.3">
      <c r="A28" s="264" t="s">
        <v>779</v>
      </c>
      <c r="B28" s="198"/>
      <c r="C28" s="198"/>
      <c r="D28" s="198"/>
      <c r="E28" s="198"/>
      <c r="F28" s="198"/>
    </row>
    <row r="29" spans="1:6" ht="64.95" customHeight="1" x14ac:dyDescent="0.3">
      <c r="A29" s="247" t="s">
        <v>780</v>
      </c>
      <c r="B29" s="198"/>
      <c r="C29" s="198"/>
      <c r="D29" s="198"/>
      <c r="E29" s="198"/>
      <c r="F29" s="198"/>
    </row>
    <row r="30" spans="1:6" ht="6" customHeight="1" x14ac:dyDescent="0.3"/>
    <row r="31" spans="1:6" ht="22.05" customHeight="1" x14ac:dyDescent="0.3">
      <c r="A31" s="205" t="s">
        <v>781</v>
      </c>
      <c r="B31" s="198"/>
      <c r="C31" s="198"/>
      <c r="D31" s="198"/>
      <c r="E31" s="198"/>
      <c r="F31" s="198"/>
    </row>
    <row r="32" spans="1:6" ht="22.05" customHeight="1" x14ac:dyDescent="0.3">
      <c r="A32" s="106" t="s">
        <v>488</v>
      </c>
      <c r="B32" s="106" t="s">
        <v>782</v>
      </c>
      <c r="C32" s="106" t="s">
        <v>783</v>
      </c>
      <c r="D32" s="106" t="s">
        <v>784</v>
      </c>
      <c r="E32" s="106" t="s">
        <v>785</v>
      </c>
      <c r="F32" s="106" t="s">
        <v>786</v>
      </c>
    </row>
    <row r="33" spans="1:6" ht="36" customHeight="1" x14ac:dyDescent="0.3">
      <c r="A33" s="107" t="s">
        <v>492</v>
      </c>
      <c r="B33" s="108" t="s">
        <v>493</v>
      </c>
      <c r="C33" s="108" t="s">
        <v>494</v>
      </c>
      <c r="D33" s="108" t="s">
        <v>787</v>
      </c>
      <c r="E33" s="109">
        <f>((Inputs!C9*0.4-Inputs!C9*0.15)*0.67-(0))*(1-(1+Inputs!C38)^-5)/Inputs!C38</f>
        <v>182232596.97238773</v>
      </c>
      <c r="F33" s="105" t="s">
        <v>788</v>
      </c>
    </row>
    <row r="34" spans="1:6" ht="36" customHeight="1" x14ac:dyDescent="0.3">
      <c r="A34" s="110" t="s">
        <v>496</v>
      </c>
      <c r="B34" s="111" t="s">
        <v>497</v>
      </c>
      <c r="C34" s="111" t="s">
        <v>54</v>
      </c>
      <c r="D34" s="111" t="s">
        <v>789</v>
      </c>
      <c r="E34" s="112">
        <f>(Inputs!C9*0.25*(0.9-0.5))*(1-(1+Inputs!C38)^-5)/Inputs!C38</f>
        <v>108795580.28202254</v>
      </c>
      <c r="F34" s="113" t="s">
        <v>790</v>
      </c>
    </row>
    <row r="35" spans="1:6" ht="36" customHeight="1" x14ac:dyDescent="0.3">
      <c r="A35" s="107" t="s">
        <v>503</v>
      </c>
      <c r="B35" s="108" t="s">
        <v>791</v>
      </c>
      <c r="C35" s="108" t="s">
        <v>792</v>
      </c>
      <c r="D35" s="108" t="s">
        <v>793</v>
      </c>
      <c r="E35" s="109">
        <f>(5500000-2000000)*(1-(1+Inputs!C38)^-5)/Inputs!C38</f>
        <v>13267753.692929577</v>
      </c>
      <c r="F35" s="105" t="s">
        <v>794</v>
      </c>
    </row>
    <row r="36" spans="1:6" ht="36" customHeight="1" x14ac:dyDescent="0.3">
      <c r="A36" s="110" t="s">
        <v>499</v>
      </c>
      <c r="B36" s="111" t="s">
        <v>795</v>
      </c>
      <c r="C36" s="111" t="s">
        <v>501</v>
      </c>
      <c r="D36" s="111" t="s">
        <v>796</v>
      </c>
      <c r="E36" s="112">
        <f>500000</f>
        <v>500000</v>
      </c>
      <c r="F36" s="113" t="s">
        <v>797</v>
      </c>
    </row>
    <row r="37" spans="1:6" ht="36" customHeight="1" x14ac:dyDescent="0.3">
      <c r="A37" s="107" t="s">
        <v>798</v>
      </c>
      <c r="B37" s="108" t="s">
        <v>799</v>
      </c>
      <c r="C37" s="108" t="s">
        <v>800</v>
      </c>
      <c r="D37" s="108" t="s">
        <v>801</v>
      </c>
      <c r="E37" s="109">
        <f>(Inputs!C9*0.25*0.67-Inputs!C16-Inputs!C17)*((1-(1.08)^-5)/0.08-(1-(1.12)^-5)/0.12)</f>
        <v>17291180.848640222</v>
      </c>
      <c r="F37" s="105" t="s">
        <v>802</v>
      </c>
    </row>
    <row r="38" spans="1:6" ht="10.050000000000001" customHeight="1" x14ac:dyDescent="0.3"/>
    <row r="39" spans="1:6" ht="22.05" customHeight="1" x14ac:dyDescent="0.3">
      <c r="A39" s="293" t="s">
        <v>803</v>
      </c>
      <c r="B39" s="198"/>
      <c r="C39" s="198"/>
      <c r="D39" s="198"/>
      <c r="E39" s="198"/>
      <c r="F39" s="198"/>
    </row>
    <row r="40" spans="1:6" ht="22.05" customHeight="1" x14ac:dyDescent="0.3">
      <c r="A40" s="291" t="s">
        <v>97</v>
      </c>
      <c r="B40" s="198"/>
      <c r="C40" s="198"/>
      <c r="D40" s="198"/>
      <c r="E40" s="198"/>
      <c r="F40" s="198"/>
    </row>
    <row r="41" spans="1:6" ht="70.05" customHeight="1" x14ac:dyDescent="0.3">
      <c r="A41" s="243" t="s">
        <v>804</v>
      </c>
      <c r="B41" s="198"/>
      <c r="C41" s="198"/>
      <c r="D41" s="198"/>
      <c r="E41" s="198"/>
      <c r="F41" s="198"/>
    </row>
    <row r="42" spans="1:6" ht="6" customHeight="1" x14ac:dyDescent="0.3"/>
    <row r="43" spans="1:6" ht="22.05" customHeight="1" x14ac:dyDescent="0.3">
      <c r="A43" s="291" t="s">
        <v>99</v>
      </c>
      <c r="B43" s="198"/>
      <c r="C43" s="198"/>
      <c r="D43" s="198"/>
      <c r="E43" s="198"/>
      <c r="F43" s="198"/>
    </row>
    <row r="44" spans="1:6" ht="70.05" customHeight="1" x14ac:dyDescent="0.3">
      <c r="A44" s="252" t="s">
        <v>805</v>
      </c>
      <c r="B44" s="198"/>
      <c r="C44" s="198"/>
      <c r="D44" s="198"/>
      <c r="E44" s="198"/>
      <c r="F44" s="198"/>
    </row>
    <row r="45" spans="1:6" ht="6" customHeight="1" x14ac:dyDescent="0.3"/>
    <row r="46" spans="1:6" ht="22.05" customHeight="1" x14ac:dyDescent="0.3">
      <c r="A46" s="291" t="s">
        <v>103</v>
      </c>
      <c r="B46" s="198"/>
      <c r="C46" s="198"/>
      <c r="D46" s="198"/>
      <c r="E46" s="198"/>
      <c r="F46" s="198"/>
    </row>
    <row r="47" spans="1:6" ht="70.05" customHeight="1" x14ac:dyDescent="0.3">
      <c r="A47" s="245" t="s">
        <v>806</v>
      </c>
      <c r="B47" s="198"/>
      <c r="C47" s="198"/>
      <c r="D47" s="198"/>
      <c r="E47" s="198"/>
      <c r="F47" s="198"/>
    </row>
    <row r="48" spans="1:6" ht="6" customHeight="1" x14ac:dyDescent="0.3"/>
    <row r="49" spans="1:6" ht="22.05" customHeight="1" x14ac:dyDescent="0.3">
      <c r="A49" s="291" t="s">
        <v>807</v>
      </c>
      <c r="B49" s="198"/>
      <c r="C49" s="198"/>
      <c r="D49" s="198"/>
      <c r="E49" s="198"/>
      <c r="F49" s="198"/>
    </row>
    <row r="50" spans="1:6" ht="70.05" customHeight="1" x14ac:dyDescent="0.3">
      <c r="A50" s="244" t="s">
        <v>808</v>
      </c>
      <c r="B50" s="198"/>
      <c r="C50" s="198"/>
      <c r="D50" s="198"/>
      <c r="E50" s="198"/>
      <c r="F50" s="198"/>
    </row>
    <row r="51" spans="1:6" ht="6" customHeight="1" x14ac:dyDescent="0.3"/>
    <row r="52" spans="1:6" ht="22.05" customHeight="1" x14ac:dyDescent="0.3">
      <c r="A52" s="291" t="s">
        <v>809</v>
      </c>
      <c r="B52" s="198"/>
      <c r="C52" s="198"/>
      <c r="D52" s="198"/>
      <c r="E52" s="198"/>
      <c r="F52" s="198"/>
    </row>
    <row r="53" spans="1:6" ht="70.05" customHeight="1" x14ac:dyDescent="0.3">
      <c r="A53" s="247" t="s">
        <v>810</v>
      </c>
      <c r="B53" s="198"/>
      <c r="C53" s="198"/>
      <c r="D53" s="198"/>
      <c r="E53" s="198"/>
      <c r="F53" s="198"/>
    </row>
    <row r="54" spans="1:6" ht="6" customHeight="1" x14ac:dyDescent="0.3"/>
  </sheetData>
  <mergeCells count="26">
    <mergeCell ref="A1:F1"/>
    <mergeCell ref="A25:F25"/>
    <mergeCell ref="A53:F53"/>
    <mergeCell ref="A29:F29"/>
    <mergeCell ref="A43:F43"/>
    <mergeCell ref="A52:F52"/>
    <mergeCell ref="A28:F28"/>
    <mergeCell ref="A44:F44"/>
    <mergeCell ref="A31:F31"/>
    <mergeCell ref="A40:F40"/>
    <mergeCell ref="A39:F39"/>
    <mergeCell ref="A49:F49"/>
    <mergeCell ref="A2:F2"/>
    <mergeCell ref="A47:F47"/>
    <mergeCell ref="A23:F23"/>
    <mergeCell ref="A22:F22"/>
    <mergeCell ref="A17:F17"/>
    <mergeCell ref="A4:F4"/>
    <mergeCell ref="A20:F20"/>
    <mergeCell ref="A19:F19"/>
    <mergeCell ref="A15:F15"/>
    <mergeCell ref="A41:F41"/>
    <mergeCell ref="A16:F16"/>
    <mergeCell ref="A46:F46"/>
    <mergeCell ref="A50:F50"/>
    <mergeCell ref="A26:F2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5"/>
  <sheetViews>
    <sheetView workbookViewId="0">
      <pane ySplit="4" topLeftCell="A5" activePane="bottomLeft" state="frozen"/>
      <selection pane="bottomLeft"/>
    </sheetView>
  </sheetViews>
  <sheetFormatPr defaultRowHeight="14.4" x14ac:dyDescent="0.3"/>
  <cols>
    <col min="1" max="1" width="4" customWidth="1"/>
    <col min="2" max="2" width="22" customWidth="1"/>
    <col min="3" max="3" width="38" customWidth="1"/>
    <col min="4" max="5" width="14" customWidth="1"/>
    <col min="6" max="6" width="42" customWidth="1"/>
    <col min="7" max="7" width="48" customWidth="1"/>
  </cols>
  <sheetData>
    <row r="1" spans="1:7" ht="31.95" customHeight="1" x14ac:dyDescent="0.3">
      <c r="A1" s="310" t="s">
        <v>811</v>
      </c>
      <c r="B1" s="198"/>
      <c r="C1" s="198"/>
      <c r="D1" s="198"/>
      <c r="E1" s="198"/>
      <c r="F1" s="198"/>
    </row>
    <row r="2" spans="1:7" ht="19.95" customHeight="1" x14ac:dyDescent="0.3">
      <c r="A2" s="309" t="s">
        <v>812</v>
      </c>
      <c r="B2" s="198"/>
      <c r="C2" s="198"/>
      <c r="D2" s="198"/>
      <c r="E2" s="198"/>
      <c r="F2" s="198"/>
      <c r="G2" s="19" t="s">
        <v>813</v>
      </c>
    </row>
    <row r="3" spans="1:7" ht="18" customHeight="1" x14ac:dyDescent="0.3">
      <c r="A3" s="308" t="s">
        <v>814</v>
      </c>
      <c r="B3" s="198"/>
      <c r="C3" s="198"/>
      <c r="D3" s="198"/>
      <c r="E3" s="198"/>
      <c r="F3" s="198"/>
    </row>
    <row r="4" spans="1:7" ht="28.05" customHeight="1" x14ac:dyDescent="0.3">
      <c r="A4" s="1" t="s">
        <v>815</v>
      </c>
      <c r="B4" s="1" t="s">
        <v>816</v>
      </c>
      <c r="C4" s="1" t="s">
        <v>488</v>
      </c>
      <c r="D4" s="1" t="s">
        <v>817</v>
      </c>
      <c r="E4" s="1" t="s">
        <v>621</v>
      </c>
      <c r="F4" s="1" t="s">
        <v>620</v>
      </c>
      <c r="G4" s="1" t="s">
        <v>818</v>
      </c>
    </row>
    <row r="5" spans="1:7" ht="31.95" customHeight="1" x14ac:dyDescent="0.3">
      <c r="A5" s="2">
        <v>1</v>
      </c>
      <c r="B5" s="3" t="s">
        <v>819</v>
      </c>
      <c r="C5" s="4" t="s">
        <v>820</v>
      </c>
      <c r="D5" s="4" t="s">
        <v>821</v>
      </c>
      <c r="E5" s="4" t="s">
        <v>822</v>
      </c>
      <c r="F5" s="4" t="s">
        <v>823</v>
      </c>
      <c r="G5" s="4" t="s">
        <v>824</v>
      </c>
    </row>
    <row r="6" spans="1:7" ht="31.95" customHeight="1" x14ac:dyDescent="0.3">
      <c r="A6" s="2">
        <v>2</v>
      </c>
      <c r="B6" s="3" t="s">
        <v>819</v>
      </c>
      <c r="C6" s="4" t="s">
        <v>825</v>
      </c>
      <c r="D6" s="4" t="s">
        <v>826</v>
      </c>
      <c r="E6" s="4" t="s">
        <v>822</v>
      </c>
      <c r="F6" s="4" t="s">
        <v>823</v>
      </c>
      <c r="G6" s="4" t="s">
        <v>827</v>
      </c>
    </row>
    <row r="7" spans="1:7" ht="31.95" customHeight="1" x14ac:dyDescent="0.3">
      <c r="A7" s="2">
        <v>3</v>
      </c>
      <c r="B7" s="3" t="s">
        <v>819</v>
      </c>
      <c r="C7" s="4" t="s">
        <v>828</v>
      </c>
      <c r="D7" s="4" t="s">
        <v>829</v>
      </c>
      <c r="E7" s="4" t="s">
        <v>822</v>
      </c>
      <c r="F7" s="4" t="s">
        <v>823</v>
      </c>
      <c r="G7" s="4" t="s">
        <v>830</v>
      </c>
    </row>
    <row r="8" spans="1:7" ht="31.95" customHeight="1" x14ac:dyDescent="0.3">
      <c r="A8" s="2">
        <v>4</v>
      </c>
      <c r="B8" s="3" t="s">
        <v>819</v>
      </c>
      <c r="C8" s="4" t="s">
        <v>831</v>
      </c>
      <c r="D8" s="4" t="s">
        <v>832</v>
      </c>
      <c r="E8" s="4" t="s">
        <v>822</v>
      </c>
      <c r="F8" s="4" t="s">
        <v>833</v>
      </c>
      <c r="G8" s="4" t="s">
        <v>834</v>
      </c>
    </row>
    <row r="9" spans="1:7" ht="31.95" customHeight="1" x14ac:dyDescent="0.3">
      <c r="A9" s="2">
        <v>5</v>
      </c>
      <c r="B9" s="3" t="s">
        <v>819</v>
      </c>
      <c r="C9" s="4" t="s">
        <v>835</v>
      </c>
      <c r="D9" s="4" t="s">
        <v>836</v>
      </c>
      <c r="E9" s="4" t="s">
        <v>822</v>
      </c>
      <c r="F9" s="4" t="s">
        <v>837</v>
      </c>
      <c r="G9" s="4" t="s">
        <v>838</v>
      </c>
    </row>
    <row r="10" spans="1:7" ht="31.95" customHeight="1" x14ac:dyDescent="0.3">
      <c r="A10" s="2">
        <v>6</v>
      </c>
      <c r="B10" s="3" t="s">
        <v>819</v>
      </c>
      <c r="C10" s="4" t="s">
        <v>839</v>
      </c>
      <c r="D10" s="4" t="s">
        <v>840</v>
      </c>
      <c r="E10" s="4" t="s">
        <v>822</v>
      </c>
      <c r="F10" s="4" t="s">
        <v>841</v>
      </c>
      <c r="G10" s="4" t="s">
        <v>842</v>
      </c>
    </row>
    <row r="11" spans="1:7" ht="31.95" customHeight="1" x14ac:dyDescent="0.3">
      <c r="A11" s="2">
        <v>7</v>
      </c>
      <c r="B11" s="3" t="s">
        <v>819</v>
      </c>
      <c r="C11" s="4" t="s">
        <v>843</v>
      </c>
      <c r="D11" s="4" t="s">
        <v>844</v>
      </c>
      <c r="E11" s="4" t="s">
        <v>822</v>
      </c>
      <c r="F11" s="4" t="s">
        <v>845</v>
      </c>
      <c r="G11" s="4" t="s">
        <v>846</v>
      </c>
    </row>
    <row r="12" spans="1:7" ht="31.95" customHeight="1" x14ac:dyDescent="0.3">
      <c r="A12" s="2">
        <v>8</v>
      </c>
      <c r="B12" s="3" t="s">
        <v>819</v>
      </c>
      <c r="C12" s="4" t="s">
        <v>847</v>
      </c>
      <c r="D12" s="4" t="s">
        <v>346</v>
      </c>
      <c r="E12" s="4" t="s">
        <v>822</v>
      </c>
      <c r="F12" s="4" t="s">
        <v>848</v>
      </c>
      <c r="G12" s="4" t="s">
        <v>849</v>
      </c>
    </row>
    <row r="13" spans="1:7" ht="31.95" customHeight="1" x14ac:dyDescent="0.3">
      <c r="A13" s="2">
        <v>9</v>
      </c>
      <c r="B13" s="3" t="s">
        <v>850</v>
      </c>
      <c r="C13" s="4" t="s">
        <v>851</v>
      </c>
      <c r="D13" s="4" t="s">
        <v>852</v>
      </c>
      <c r="E13" s="4" t="s">
        <v>442</v>
      </c>
      <c r="F13" s="4" t="s">
        <v>853</v>
      </c>
      <c r="G13" s="4" t="s">
        <v>854</v>
      </c>
    </row>
    <row r="14" spans="1:7" ht="31.95" customHeight="1" x14ac:dyDescent="0.3">
      <c r="A14" s="2">
        <v>10</v>
      </c>
      <c r="B14" s="3" t="s">
        <v>850</v>
      </c>
      <c r="C14" s="4" t="s">
        <v>855</v>
      </c>
      <c r="D14" s="4" t="s">
        <v>856</v>
      </c>
      <c r="E14" s="4" t="s">
        <v>857</v>
      </c>
      <c r="F14" s="4" t="s">
        <v>858</v>
      </c>
      <c r="G14" s="4" t="s">
        <v>859</v>
      </c>
    </row>
    <row r="15" spans="1:7" ht="31.95" customHeight="1" x14ac:dyDescent="0.3">
      <c r="A15" s="2">
        <v>11</v>
      </c>
      <c r="B15" s="3" t="s">
        <v>850</v>
      </c>
      <c r="C15" s="4" t="s">
        <v>860</v>
      </c>
      <c r="D15" s="4" t="s">
        <v>861</v>
      </c>
      <c r="E15" s="4" t="s">
        <v>442</v>
      </c>
      <c r="F15" s="4" t="s">
        <v>862</v>
      </c>
      <c r="G15" s="4" t="s">
        <v>863</v>
      </c>
    </row>
    <row r="16" spans="1:7" ht="31.95" customHeight="1" x14ac:dyDescent="0.3">
      <c r="A16" s="2">
        <v>12</v>
      </c>
      <c r="B16" s="3" t="s">
        <v>850</v>
      </c>
      <c r="C16" s="4" t="s">
        <v>864</v>
      </c>
      <c r="D16" s="4" t="s">
        <v>865</v>
      </c>
      <c r="E16" s="4" t="s">
        <v>866</v>
      </c>
      <c r="F16" s="4" t="s">
        <v>541</v>
      </c>
      <c r="G16" s="4" t="s">
        <v>867</v>
      </c>
    </row>
    <row r="17" spans="1:7" ht="31.95" customHeight="1" x14ac:dyDescent="0.3">
      <c r="A17" s="2">
        <v>13</v>
      </c>
      <c r="B17" s="3" t="s">
        <v>850</v>
      </c>
      <c r="C17" s="4" t="s">
        <v>868</v>
      </c>
      <c r="D17" s="4" t="s">
        <v>795</v>
      </c>
      <c r="E17" s="4" t="s">
        <v>866</v>
      </c>
      <c r="F17" s="4" t="s">
        <v>541</v>
      </c>
      <c r="G17" s="4" t="s">
        <v>869</v>
      </c>
    </row>
    <row r="18" spans="1:7" ht="31.95" customHeight="1" x14ac:dyDescent="0.3">
      <c r="A18" s="2">
        <v>14</v>
      </c>
      <c r="B18" s="3" t="s">
        <v>870</v>
      </c>
      <c r="C18" s="4" t="s">
        <v>871</v>
      </c>
      <c r="D18" s="4" t="s">
        <v>872</v>
      </c>
      <c r="E18" s="4" t="s">
        <v>873</v>
      </c>
      <c r="F18" s="4" t="s">
        <v>848</v>
      </c>
      <c r="G18" s="4" t="s">
        <v>874</v>
      </c>
    </row>
    <row r="19" spans="1:7" ht="31.95" customHeight="1" x14ac:dyDescent="0.3">
      <c r="A19" s="2">
        <v>15</v>
      </c>
      <c r="B19" s="3" t="s">
        <v>870</v>
      </c>
      <c r="C19" s="4" t="s">
        <v>875</v>
      </c>
      <c r="D19" s="4" t="s">
        <v>876</v>
      </c>
      <c r="E19" s="4" t="s">
        <v>877</v>
      </c>
      <c r="F19" s="4" t="s">
        <v>848</v>
      </c>
      <c r="G19" s="4" t="s">
        <v>878</v>
      </c>
    </row>
    <row r="20" spans="1:7" ht="31.95" customHeight="1" x14ac:dyDescent="0.3">
      <c r="A20" s="2">
        <v>16</v>
      </c>
      <c r="B20" s="3" t="s">
        <v>870</v>
      </c>
      <c r="C20" s="4" t="s">
        <v>879</v>
      </c>
      <c r="D20" s="4" t="s">
        <v>54</v>
      </c>
      <c r="E20" s="4" t="s">
        <v>516</v>
      </c>
      <c r="F20" s="4" t="s">
        <v>848</v>
      </c>
      <c r="G20" s="4" t="s">
        <v>880</v>
      </c>
    </row>
    <row r="21" spans="1:7" ht="31.95" customHeight="1" x14ac:dyDescent="0.3">
      <c r="A21" s="2">
        <v>17</v>
      </c>
      <c r="B21" s="3" t="s">
        <v>870</v>
      </c>
      <c r="C21" s="4" t="s">
        <v>881</v>
      </c>
      <c r="D21" s="4" t="s">
        <v>882</v>
      </c>
      <c r="E21" s="4" t="s">
        <v>883</v>
      </c>
      <c r="F21" s="4" t="s">
        <v>848</v>
      </c>
      <c r="G21" s="4" t="s">
        <v>884</v>
      </c>
    </row>
    <row r="22" spans="1:7" ht="31.95" customHeight="1" x14ac:dyDescent="0.3">
      <c r="A22" s="2">
        <v>18</v>
      </c>
      <c r="B22" s="3" t="s">
        <v>870</v>
      </c>
      <c r="C22" s="4" t="s">
        <v>885</v>
      </c>
      <c r="D22" s="4" t="s">
        <v>886</v>
      </c>
      <c r="E22" s="4" t="s">
        <v>485</v>
      </c>
      <c r="F22" s="4" t="s">
        <v>887</v>
      </c>
      <c r="G22" s="4" t="s">
        <v>888</v>
      </c>
    </row>
    <row r="23" spans="1:7" ht="31.95" customHeight="1" x14ac:dyDescent="0.3">
      <c r="A23" s="2">
        <v>19</v>
      </c>
      <c r="B23" s="3" t="s">
        <v>870</v>
      </c>
      <c r="C23" s="4" t="s">
        <v>889</v>
      </c>
      <c r="D23" s="4" t="s">
        <v>890</v>
      </c>
      <c r="E23" s="4" t="s">
        <v>516</v>
      </c>
      <c r="F23" s="4" t="s">
        <v>891</v>
      </c>
      <c r="G23" s="4" t="s">
        <v>892</v>
      </c>
    </row>
    <row r="24" spans="1:7" ht="31.95" customHeight="1" x14ac:dyDescent="0.3">
      <c r="A24" s="2">
        <v>20</v>
      </c>
      <c r="B24" s="3" t="s">
        <v>893</v>
      </c>
      <c r="C24" s="4" t="s">
        <v>454</v>
      </c>
      <c r="D24" s="4" t="s">
        <v>894</v>
      </c>
      <c r="E24" s="4" t="s">
        <v>455</v>
      </c>
      <c r="F24" s="4" t="s">
        <v>848</v>
      </c>
      <c r="G24" s="4" t="s">
        <v>895</v>
      </c>
    </row>
    <row r="25" spans="1:7" ht="31.95" customHeight="1" x14ac:dyDescent="0.3">
      <c r="A25" s="2">
        <v>21</v>
      </c>
      <c r="B25" s="3" t="s">
        <v>893</v>
      </c>
      <c r="C25" s="4" t="s">
        <v>479</v>
      </c>
      <c r="D25" s="4" t="s">
        <v>896</v>
      </c>
      <c r="E25" s="4" t="s">
        <v>455</v>
      </c>
      <c r="F25" s="4" t="s">
        <v>848</v>
      </c>
      <c r="G25" s="4" t="s">
        <v>897</v>
      </c>
    </row>
    <row r="26" spans="1:7" ht="31.95" customHeight="1" x14ac:dyDescent="0.3">
      <c r="A26" s="2">
        <v>22</v>
      </c>
      <c r="B26" s="3" t="s">
        <v>893</v>
      </c>
      <c r="C26" s="4" t="s">
        <v>167</v>
      </c>
      <c r="D26" s="4" t="s">
        <v>494</v>
      </c>
      <c r="E26" s="4" t="s">
        <v>516</v>
      </c>
      <c r="F26" s="4" t="s">
        <v>848</v>
      </c>
      <c r="G26" s="4" t="s">
        <v>898</v>
      </c>
    </row>
    <row r="27" spans="1:7" ht="31.95" customHeight="1" x14ac:dyDescent="0.3">
      <c r="A27" s="2">
        <v>23</v>
      </c>
      <c r="B27" s="3" t="s">
        <v>893</v>
      </c>
      <c r="C27" s="4" t="s">
        <v>899</v>
      </c>
      <c r="D27" s="4" t="s">
        <v>900</v>
      </c>
      <c r="E27" s="4" t="s">
        <v>901</v>
      </c>
      <c r="F27" s="4" t="s">
        <v>848</v>
      </c>
      <c r="G27" s="4" t="s">
        <v>902</v>
      </c>
    </row>
    <row r="28" spans="1:7" ht="31.95" customHeight="1" x14ac:dyDescent="0.3">
      <c r="A28" s="2">
        <v>24</v>
      </c>
      <c r="B28" s="3" t="s">
        <v>893</v>
      </c>
      <c r="C28" s="4" t="s">
        <v>903</v>
      </c>
      <c r="D28" s="4" t="s">
        <v>904</v>
      </c>
      <c r="E28" s="4" t="s">
        <v>822</v>
      </c>
      <c r="F28" s="4" t="s">
        <v>905</v>
      </c>
      <c r="G28" s="4" t="s">
        <v>906</v>
      </c>
    </row>
    <row r="29" spans="1:7" ht="31.95" customHeight="1" x14ac:dyDescent="0.3">
      <c r="A29" s="2">
        <v>25</v>
      </c>
      <c r="B29" s="3" t="s">
        <v>893</v>
      </c>
      <c r="C29" s="4" t="s">
        <v>907</v>
      </c>
      <c r="D29" s="4" t="s">
        <v>908</v>
      </c>
      <c r="E29" s="4" t="s">
        <v>822</v>
      </c>
      <c r="F29" s="4" t="s">
        <v>905</v>
      </c>
      <c r="G29" s="4" t="s">
        <v>909</v>
      </c>
    </row>
    <row r="30" spans="1:7" ht="31.95" customHeight="1" x14ac:dyDescent="0.3">
      <c r="A30" s="2">
        <v>26</v>
      </c>
      <c r="B30" s="3" t="s">
        <v>893</v>
      </c>
      <c r="C30" s="4" t="s">
        <v>910</v>
      </c>
      <c r="D30" s="4" t="s">
        <v>911</v>
      </c>
      <c r="E30" s="4" t="s">
        <v>912</v>
      </c>
      <c r="F30" s="4" t="s">
        <v>848</v>
      </c>
      <c r="G30" s="4" t="s">
        <v>913</v>
      </c>
    </row>
    <row r="31" spans="1:7" ht="31.95" customHeight="1" x14ac:dyDescent="0.3">
      <c r="A31" s="2">
        <v>27</v>
      </c>
      <c r="B31" s="3" t="s">
        <v>914</v>
      </c>
      <c r="C31" s="4" t="s">
        <v>915</v>
      </c>
      <c r="D31" s="4" t="s">
        <v>916</v>
      </c>
      <c r="E31" s="4" t="s">
        <v>822</v>
      </c>
      <c r="F31" s="4" t="s">
        <v>917</v>
      </c>
      <c r="G31" s="4" t="s">
        <v>918</v>
      </c>
    </row>
    <row r="32" spans="1:7" ht="31.95" customHeight="1" x14ac:dyDescent="0.3">
      <c r="A32" s="5">
        <v>28</v>
      </c>
      <c r="B32" s="6" t="s">
        <v>914</v>
      </c>
      <c r="C32" s="7" t="s">
        <v>919</v>
      </c>
      <c r="D32" s="7" t="s">
        <v>920</v>
      </c>
      <c r="E32" s="7" t="s">
        <v>822</v>
      </c>
      <c r="F32" s="7" t="s">
        <v>921</v>
      </c>
      <c r="G32" s="7" t="s">
        <v>922</v>
      </c>
    </row>
    <row r="33" spans="1:7" ht="31.95" customHeight="1" x14ac:dyDescent="0.3">
      <c r="A33" s="2">
        <v>29</v>
      </c>
      <c r="B33" s="3" t="s">
        <v>914</v>
      </c>
      <c r="C33" s="4" t="s">
        <v>923</v>
      </c>
      <c r="D33" s="4" t="s">
        <v>924</v>
      </c>
      <c r="E33" s="4" t="s">
        <v>925</v>
      </c>
      <c r="F33" s="4" t="s">
        <v>926</v>
      </c>
      <c r="G33" s="4" t="s">
        <v>927</v>
      </c>
    </row>
    <row r="34" spans="1:7" ht="31.95" customHeight="1" x14ac:dyDescent="0.3">
      <c r="A34" s="2">
        <v>30</v>
      </c>
      <c r="B34" s="3" t="s">
        <v>914</v>
      </c>
      <c r="C34" s="4" t="s">
        <v>928</v>
      </c>
      <c r="D34" s="4" t="s">
        <v>493</v>
      </c>
      <c r="E34" s="4" t="s">
        <v>516</v>
      </c>
      <c r="F34" s="4" t="s">
        <v>929</v>
      </c>
      <c r="G34" s="4" t="s">
        <v>930</v>
      </c>
    </row>
    <row r="35" spans="1:7" ht="31.95" customHeight="1" x14ac:dyDescent="0.3">
      <c r="A35" s="2">
        <v>31</v>
      </c>
      <c r="B35" s="3" t="s">
        <v>914</v>
      </c>
      <c r="C35" s="4" t="s">
        <v>931</v>
      </c>
      <c r="D35" s="4" t="s">
        <v>494</v>
      </c>
      <c r="E35" s="4" t="s">
        <v>516</v>
      </c>
      <c r="F35" s="4" t="s">
        <v>932</v>
      </c>
      <c r="G35" s="4" t="s">
        <v>933</v>
      </c>
    </row>
    <row r="36" spans="1:7" ht="31.95" customHeight="1" x14ac:dyDescent="0.3">
      <c r="A36" s="2">
        <v>32</v>
      </c>
      <c r="B36" s="3" t="s">
        <v>914</v>
      </c>
      <c r="C36" s="4" t="s">
        <v>934</v>
      </c>
      <c r="D36" s="4" t="s">
        <v>787</v>
      </c>
      <c r="E36" s="4" t="s">
        <v>516</v>
      </c>
      <c r="F36" s="4" t="s">
        <v>935</v>
      </c>
      <c r="G36" s="4" t="s">
        <v>936</v>
      </c>
    </row>
    <row r="37" spans="1:7" ht="31.95" customHeight="1" x14ac:dyDescent="0.3">
      <c r="A37" s="2">
        <v>33</v>
      </c>
      <c r="B37" s="3" t="s">
        <v>914</v>
      </c>
      <c r="C37" s="4" t="s">
        <v>937</v>
      </c>
      <c r="D37" s="4" t="s">
        <v>497</v>
      </c>
      <c r="E37" s="4" t="s">
        <v>516</v>
      </c>
      <c r="F37" s="4" t="s">
        <v>938</v>
      </c>
      <c r="G37" s="4" t="s">
        <v>939</v>
      </c>
    </row>
    <row r="38" spans="1:7" ht="31.95" customHeight="1" x14ac:dyDescent="0.3">
      <c r="A38" s="2">
        <v>34</v>
      </c>
      <c r="B38" s="3" t="s">
        <v>914</v>
      </c>
      <c r="C38" s="4" t="s">
        <v>940</v>
      </c>
      <c r="D38" s="4" t="s">
        <v>941</v>
      </c>
      <c r="E38" s="4" t="s">
        <v>516</v>
      </c>
      <c r="F38" s="4" t="s">
        <v>942</v>
      </c>
      <c r="G38" s="4" t="s">
        <v>943</v>
      </c>
    </row>
    <row r="39" spans="1:7" ht="31.95" customHeight="1" x14ac:dyDescent="0.3">
      <c r="A39" s="2">
        <v>35</v>
      </c>
      <c r="B39" s="3" t="s">
        <v>914</v>
      </c>
      <c r="C39" s="4" t="s">
        <v>944</v>
      </c>
      <c r="D39" s="4" t="s">
        <v>789</v>
      </c>
      <c r="E39" s="4" t="s">
        <v>516</v>
      </c>
      <c r="F39" s="4" t="s">
        <v>945</v>
      </c>
      <c r="G39" s="4" t="s">
        <v>946</v>
      </c>
    </row>
    <row r="40" spans="1:7" ht="31.95" customHeight="1" x14ac:dyDescent="0.3">
      <c r="A40" s="2">
        <v>36</v>
      </c>
      <c r="B40" s="3" t="s">
        <v>914</v>
      </c>
      <c r="C40" s="4" t="s">
        <v>947</v>
      </c>
      <c r="D40" s="4" t="s">
        <v>800</v>
      </c>
      <c r="E40" s="4" t="s">
        <v>516</v>
      </c>
      <c r="F40" s="4" t="s">
        <v>948</v>
      </c>
      <c r="G40" s="4" t="s">
        <v>949</v>
      </c>
    </row>
    <row r="41" spans="1:7" ht="31.95" customHeight="1" x14ac:dyDescent="0.3">
      <c r="A41" s="2">
        <v>37</v>
      </c>
      <c r="B41" s="3" t="s">
        <v>914</v>
      </c>
      <c r="C41" s="4" t="s">
        <v>518</v>
      </c>
      <c r="D41" s="4" t="s">
        <v>950</v>
      </c>
      <c r="E41" s="4" t="s">
        <v>519</v>
      </c>
      <c r="F41" s="4" t="s">
        <v>951</v>
      </c>
      <c r="G41" s="4" t="s">
        <v>952</v>
      </c>
    </row>
    <row r="42" spans="1:7" ht="31.95" customHeight="1" x14ac:dyDescent="0.3">
      <c r="A42" s="8">
        <v>38</v>
      </c>
      <c r="B42" s="9" t="s">
        <v>953</v>
      </c>
      <c r="C42" s="10" t="s">
        <v>954</v>
      </c>
      <c r="D42" s="10" t="s">
        <v>955</v>
      </c>
      <c r="E42" s="10" t="s">
        <v>956</v>
      </c>
      <c r="F42" s="10" t="s">
        <v>957</v>
      </c>
      <c r="G42" s="10" t="s">
        <v>958</v>
      </c>
    </row>
    <row r="43" spans="1:7" ht="31.95" customHeight="1" x14ac:dyDescent="0.3">
      <c r="A43" s="8">
        <v>39</v>
      </c>
      <c r="B43" s="9" t="s">
        <v>953</v>
      </c>
      <c r="C43" s="10" t="s">
        <v>959</v>
      </c>
      <c r="D43" s="10" t="s">
        <v>960</v>
      </c>
      <c r="E43" s="10" t="s">
        <v>956</v>
      </c>
      <c r="F43" s="10" t="s">
        <v>961</v>
      </c>
      <c r="G43" s="10" t="s">
        <v>962</v>
      </c>
    </row>
    <row r="44" spans="1:7" ht="31.95" customHeight="1" x14ac:dyDescent="0.3">
      <c r="A44" s="8">
        <v>40</v>
      </c>
      <c r="B44" s="9" t="s">
        <v>953</v>
      </c>
      <c r="C44" s="10" t="s">
        <v>963</v>
      </c>
      <c r="D44" s="10" t="s">
        <v>964</v>
      </c>
      <c r="E44" s="10" t="s">
        <v>956</v>
      </c>
      <c r="F44" s="10" t="s">
        <v>87</v>
      </c>
      <c r="G44" s="10" t="s">
        <v>965</v>
      </c>
    </row>
    <row r="45" spans="1:7" ht="31.95" customHeight="1" x14ac:dyDescent="0.3">
      <c r="A45" s="8">
        <v>41</v>
      </c>
      <c r="B45" s="9" t="s">
        <v>953</v>
      </c>
      <c r="C45" s="10" t="s">
        <v>966</v>
      </c>
      <c r="D45" s="10" t="s">
        <v>967</v>
      </c>
      <c r="E45" s="10" t="s">
        <v>956</v>
      </c>
      <c r="F45" s="10" t="s">
        <v>968</v>
      </c>
      <c r="G45" s="10" t="s">
        <v>969</v>
      </c>
    </row>
  </sheetData>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9"/>
  <sheetViews>
    <sheetView workbookViewId="0"/>
  </sheetViews>
  <sheetFormatPr defaultRowHeight="14.4" x14ac:dyDescent="0.3"/>
  <cols>
    <col min="1" max="1" width="90" customWidth="1"/>
    <col min="2" max="2" width="20" customWidth="1"/>
  </cols>
  <sheetData>
    <row r="1" spans="1:2" ht="22.05" customHeight="1" x14ac:dyDescent="0.3">
      <c r="A1" s="312" t="s">
        <v>970</v>
      </c>
      <c r="B1" s="198"/>
    </row>
    <row r="2" spans="1:2" ht="22.05" customHeight="1" x14ac:dyDescent="0.3">
      <c r="A2" s="311"/>
      <c r="B2" s="198"/>
    </row>
    <row r="3" spans="1:2" ht="22.05" customHeight="1" x14ac:dyDescent="0.3">
      <c r="A3" s="313" t="s">
        <v>971</v>
      </c>
      <c r="B3" s="198"/>
    </row>
    <row r="4" spans="1:2" ht="22.05" customHeight="1" x14ac:dyDescent="0.3">
      <c r="A4" s="244" t="s">
        <v>972</v>
      </c>
      <c r="B4" s="198"/>
    </row>
    <row r="5" spans="1:2" ht="22.05" customHeight="1" x14ac:dyDescent="0.3">
      <c r="A5" s="311"/>
      <c r="B5" s="198"/>
    </row>
    <row r="6" spans="1:2" ht="22.05" customHeight="1" x14ac:dyDescent="0.3">
      <c r="A6" s="313" t="s">
        <v>973</v>
      </c>
      <c r="B6" s="198"/>
    </row>
    <row r="7" spans="1:2" ht="22.05" customHeight="1" x14ac:dyDescent="0.3">
      <c r="A7" s="244" t="s">
        <v>974</v>
      </c>
      <c r="B7" s="198"/>
    </row>
    <row r="8" spans="1:2" ht="22.05" customHeight="1" x14ac:dyDescent="0.3">
      <c r="A8" s="311"/>
      <c r="B8" s="198"/>
    </row>
    <row r="9" spans="1:2" ht="22.05" customHeight="1" x14ac:dyDescent="0.3">
      <c r="A9" s="313" t="s">
        <v>975</v>
      </c>
      <c r="B9" s="198"/>
    </row>
    <row r="10" spans="1:2" ht="22.05" customHeight="1" x14ac:dyDescent="0.3">
      <c r="A10" s="244" t="s">
        <v>976</v>
      </c>
      <c r="B10" s="198"/>
    </row>
    <row r="11" spans="1:2" ht="22.05" customHeight="1" x14ac:dyDescent="0.3">
      <c r="A11" s="311"/>
      <c r="B11" s="198"/>
    </row>
    <row r="12" spans="1:2" ht="22.05" customHeight="1" x14ac:dyDescent="0.3">
      <c r="A12" s="313" t="s">
        <v>977</v>
      </c>
      <c r="B12" s="198"/>
    </row>
    <row r="13" spans="1:2" ht="22.05" customHeight="1" x14ac:dyDescent="0.3">
      <c r="A13" s="311" t="s">
        <v>978</v>
      </c>
      <c r="B13" s="198"/>
    </row>
    <row r="14" spans="1:2" ht="22.05" customHeight="1" x14ac:dyDescent="0.3">
      <c r="A14" s="311" t="s">
        <v>979</v>
      </c>
      <c r="B14" s="198"/>
    </row>
    <row r="15" spans="1:2" ht="22.05" customHeight="1" x14ac:dyDescent="0.3">
      <c r="A15" s="311" t="s">
        <v>980</v>
      </c>
      <c r="B15" s="198"/>
    </row>
    <row r="16" spans="1:2" ht="22.05" customHeight="1" x14ac:dyDescent="0.3">
      <c r="A16" s="311" t="s">
        <v>981</v>
      </c>
      <c r="B16" s="198"/>
    </row>
    <row r="17" spans="1:2" ht="22.05" customHeight="1" x14ac:dyDescent="0.3">
      <c r="A17" s="311" t="s">
        <v>982</v>
      </c>
      <c r="B17" s="198"/>
    </row>
    <row r="18" spans="1:2" ht="22.05" customHeight="1" x14ac:dyDescent="0.3">
      <c r="A18" s="311" t="s">
        <v>983</v>
      </c>
      <c r="B18" s="198"/>
    </row>
    <row r="19" spans="1:2" ht="22.05" customHeight="1" x14ac:dyDescent="0.3">
      <c r="A19" s="311"/>
      <c r="B19" s="198"/>
    </row>
    <row r="20" spans="1:2" ht="22.05" customHeight="1" x14ac:dyDescent="0.3">
      <c r="A20" s="313" t="s">
        <v>984</v>
      </c>
      <c r="B20" s="198"/>
    </row>
    <row r="21" spans="1:2" ht="22.05" customHeight="1" x14ac:dyDescent="0.3">
      <c r="A21" s="311" t="s">
        <v>985</v>
      </c>
      <c r="B21" s="198"/>
    </row>
    <row r="22" spans="1:2" ht="22.05" customHeight="1" x14ac:dyDescent="0.3">
      <c r="A22" s="311" t="s">
        <v>986</v>
      </c>
      <c r="B22" s="198"/>
    </row>
    <row r="23" spans="1:2" ht="22.05" customHeight="1" x14ac:dyDescent="0.3">
      <c r="A23" s="311" t="s">
        <v>987</v>
      </c>
      <c r="B23" s="198"/>
    </row>
    <row r="24" spans="1:2" ht="22.05" customHeight="1" x14ac:dyDescent="0.3">
      <c r="A24" s="311" t="s">
        <v>988</v>
      </c>
      <c r="B24" s="198"/>
    </row>
    <row r="25" spans="1:2" ht="22.05" customHeight="1" x14ac:dyDescent="0.3">
      <c r="A25" s="311" t="s">
        <v>989</v>
      </c>
      <c r="B25" s="198"/>
    </row>
    <row r="26" spans="1:2" ht="22.05" customHeight="1" x14ac:dyDescent="0.3">
      <c r="A26" s="311"/>
      <c r="B26" s="198"/>
    </row>
    <row r="27" spans="1:2" ht="22.05" customHeight="1" x14ac:dyDescent="0.3">
      <c r="A27" s="313" t="s">
        <v>990</v>
      </c>
      <c r="B27" s="198"/>
    </row>
    <row r="28" spans="1:2" ht="22.05" customHeight="1" x14ac:dyDescent="0.3">
      <c r="A28" s="314" t="s">
        <v>991</v>
      </c>
      <c r="B28" s="198"/>
    </row>
    <row r="29" spans="1:2" ht="22.05" customHeight="1" x14ac:dyDescent="0.3">
      <c r="A29" s="252" t="s">
        <v>992</v>
      </c>
      <c r="B29" s="198"/>
    </row>
    <row r="30" spans="1:2" ht="22.05" customHeight="1" x14ac:dyDescent="0.3">
      <c r="A30" s="252" t="s">
        <v>993</v>
      </c>
      <c r="B30" s="198"/>
    </row>
    <row r="31" spans="1:2" ht="22.05" customHeight="1" x14ac:dyDescent="0.3">
      <c r="A31" s="311"/>
      <c r="B31" s="198"/>
    </row>
    <row r="32" spans="1:2" ht="22.05" customHeight="1" x14ac:dyDescent="0.3">
      <c r="A32" s="313" t="s">
        <v>994</v>
      </c>
      <c r="B32" s="198"/>
    </row>
    <row r="33" spans="1:2" ht="22.05" customHeight="1" x14ac:dyDescent="0.3">
      <c r="A33" s="311" t="s">
        <v>995</v>
      </c>
      <c r="B33" s="198"/>
    </row>
    <row r="34" spans="1:2" ht="22.05" customHeight="1" x14ac:dyDescent="0.3">
      <c r="A34" s="311" t="s">
        <v>996</v>
      </c>
      <c r="B34" s="198"/>
    </row>
    <row r="35" spans="1:2" ht="22.05" customHeight="1" x14ac:dyDescent="0.3">
      <c r="A35" s="311" t="s">
        <v>997</v>
      </c>
      <c r="B35" s="198"/>
    </row>
    <row r="36" spans="1:2" ht="22.05" customHeight="1" x14ac:dyDescent="0.3">
      <c r="A36" s="311" t="s">
        <v>998</v>
      </c>
      <c r="B36" s="198"/>
    </row>
    <row r="37" spans="1:2" ht="22.05" customHeight="1" x14ac:dyDescent="0.3">
      <c r="A37" s="311" t="s">
        <v>999</v>
      </c>
      <c r="B37" s="198"/>
    </row>
    <row r="38" spans="1:2" ht="22.05" customHeight="1" x14ac:dyDescent="0.3">
      <c r="A38" s="311" t="s">
        <v>1000</v>
      </c>
      <c r="B38" s="198"/>
    </row>
    <row r="39" spans="1:2" ht="22.05" customHeight="1" x14ac:dyDescent="0.3">
      <c r="A39" s="311" t="s">
        <v>1001</v>
      </c>
      <c r="B39" s="198"/>
    </row>
  </sheetData>
  <mergeCells count="39">
    <mergeCell ref="A39:B39"/>
    <mergeCell ref="A34:B34"/>
    <mergeCell ref="A38:B38"/>
    <mergeCell ref="A29:B29"/>
    <mergeCell ref="A19:B19"/>
    <mergeCell ref="A10:B10"/>
    <mergeCell ref="A28:B28"/>
    <mergeCell ref="A13:B13"/>
    <mergeCell ref="A31:B31"/>
    <mergeCell ref="A37:B37"/>
    <mergeCell ref="A18:B18"/>
    <mergeCell ref="A27:B27"/>
    <mergeCell ref="A3:B3"/>
    <mergeCell ref="A12:B12"/>
    <mergeCell ref="A26:B26"/>
    <mergeCell ref="A21:B21"/>
    <mergeCell ref="A33:B33"/>
    <mergeCell ref="A5:B5"/>
    <mergeCell ref="A32:B32"/>
    <mergeCell ref="A14:B14"/>
    <mergeCell ref="A17:B17"/>
    <mergeCell ref="A23:B23"/>
    <mergeCell ref="A8:B8"/>
    <mergeCell ref="A22:B22"/>
    <mergeCell ref="A35:B35"/>
    <mergeCell ref="A1:B1"/>
    <mergeCell ref="A6:B6"/>
    <mergeCell ref="A16:B16"/>
    <mergeCell ref="A7:B7"/>
    <mergeCell ref="A25:B25"/>
    <mergeCell ref="A2:B2"/>
    <mergeCell ref="A4:B4"/>
    <mergeCell ref="A20:B20"/>
    <mergeCell ref="A9:B9"/>
    <mergeCell ref="A24:B24"/>
    <mergeCell ref="A30:B30"/>
    <mergeCell ref="A15:B15"/>
    <mergeCell ref="A11:B11"/>
    <mergeCell ref="A36:B3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heetViews>
  <sheetFormatPr defaultRowHeight="14.4" x14ac:dyDescent="0.3"/>
  <cols>
    <col min="1" max="1" width="8" customWidth="1"/>
    <col min="2" max="2" width="20" customWidth="1"/>
    <col min="3" max="3" width="55" customWidth="1"/>
    <col min="4" max="4" width="30" customWidth="1"/>
  </cols>
  <sheetData>
    <row r="1" spans="1:4" ht="28.05" customHeight="1" x14ac:dyDescent="0.3">
      <c r="A1" s="1" t="s">
        <v>1002</v>
      </c>
      <c r="B1" s="1" t="s">
        <v>1003</v>
      </c>
      <c r="C1" s="1" t="s">
        <v>1004</v>
      </c>
      <c r="D1" s="1" t="s">
        <v>1005</v>
      </c>
    </row>
    <row r="2" spans="1:4" ht="36" customHeight="1" x14ac:dyDescent="0.3">
      <c r="A2" s="11" t="s">
        <v>1006</v>
      </c>
      <c r="B2" s="12" t="s">
        <v>1007</v>
      </c>
      <c r="C2" s="12" t="s">
        <v>1008</v>
      </c>
      <c r="D2" s="12" t="s">
        <v>1009</v>
      </c>
    </row>
    <row r="3" spans="1:4" ht="36" customHeight="1" x14ac:dyDescent="0.3">
      <c r="A3" s="13" t="s">
        <v>6</v>
      </c>
      <c r="B3" s="14" t="s">
        <v>1010</v>
      </c>
      <c r="C3" s="14" t="s">
        <v>1011</v>
      </c>
      <c r="D3" s="14" t="s">
        <v>1012</v>
      </c>
    </row>
    <row r="4" spans="1:4" ht="36" customHeight="1" x14ac:dyDescent="0.3">
      <c r="A4" s="15" t="s">
        <v>9</v>
      </c>
      <c r="B4" s="16" t="s">
        <v>1013</v>
      </c>
      <c r="C4" s="16" t="s">
        <v>1014</v>
      </c>
      <c r="D4" s="16" t="s">
        <v>1015</v>
      </c>
    </row>
    <row r="5" spans="1:4" ht="36" customHeight="1" x14ac:dyDescent="0.3">
      <c r="A5" s="13" t="s">
        <v>12</v>
      </c>
      <c r="B5" s="14" t="s">
        <v>1016</v>
      </c>
      <c r="C5" s="14" t="s">
        <v>1017</v>
      </c>
      <c r="D5" s="14" t="s">
        <v>1018</v>
      </c>
    </row>
    <row r="6" spans="1:4" ht="36" customHeight="1" x14ac:dyDescent="0.3">
      <c r="A6" s="15" t="s">
        <v>15</v>
      </c>
      <c r="B6" s="16" t="s">
        <v>1019</v>
      </c>
      <c r="C6" s="16" t="s">
        <v>1020</v>
      </c>
      <c r="D6" s="16" t="s">
        <v>1021</v>
      </c>
    </row>
    <row r="7" spans="1:4" ht="36" customHeight="1" x14ac:dyDescent="0.3">
      <c r="A7" s="11" t="s">
        <v>1022</v>
      </c>
      <c r="B7" s="12" t="s">
        <v>1023</v>
      </c>
      <c r="C7" s="12" t="s">
        <v>1024</v>
      </c>
      <c r="D7" s="12" t="s">
        <v>1025</v>
      </c>
    </row>
    <row r="8" spans="1:4" ht="36" customHeight="1" x14ac:dyDescent="0.3">
      <c r="A8" s="17" t="s">
        <v>1026</v>
      </c>
      <c r="B8" s="18" t="s">
        <v>1027</v>
      </c>
      <c r="C8" s="18" t="s">
        <v>1028</v>
      </c>
      <c r="D8" s="18" t="s">
        <v>1029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Executive Memo</vt:lpstr>
      <vt:lpstr>Waterfall Chart</vt:lpstr>
      <vt:lpstr>Value Driver Analysis</vt:lpstr>
      <vt:lpstr>Counterfactual Analysis</vt:lpstr>
      <vt:lpstr>Operational KPIs</vt:lpstr>
      <vt:lpstr>Inputs</vt:lpstr>
      <vt:lpstr>Cash Flow Model</vt:lpstr>
      <vt:lpstr>Monte Carlo</vt:lpstr>
      <vt:lpstr>Reality Check</vt:lpstr>
      <vt:lpstr>Assumptions</vt:lpstr>
      <vt:lpstr>Project Charter</vt:lpstr>
      <vt:lpstr>Build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Tanya Ojha</cp:lastModifiedBy>
  <dcterms:created xsi:type="dcterms:W3CDTF">2026-06-04T22:09:52Z</dcterms:created>
  <dcterms:modified xsi:type="dcterms:W3CDTF">2026-06-05T01:52:59Z</dcterms:modified>
</cp:coreProperties>
</file>